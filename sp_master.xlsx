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Asahipack02\社内書類ｎｅｗ\12：営原表・売価表\06：価格表（ＰＲＩＣＥ　ＬＩＳＴ）\202605価格改定資料\"/>
    </mc:Choice>
  </mc:AlternateContent>
  <xr:revisionPtr revIDLastSave="0" documentId="13_ncr:1_{ADE9AFA4-819C-4632-9072-A4FAA7ED94F5}" xr6:coauthVersionLast="47" xr6:coauthVersionMax="47" xr10:uidLastSave="{00000000-0000-0000-0000-000000000000}"/>
  <bookViews>
    <workbookView xWindow="-120" yWindow="-120" windowWidth="29040" windowHeight="15720" firstSheet="3" activeTab="3" xr2:uid="{88A176D2-A188-4F47-BFDE-00059DA24F77}"/>
  </bookViews>
  <sheets>
    <sheet name="01_SPZIP" sheetId="1" r:id="rId1"/>
    <sheet name="02_SPラミ" sheetId="2" r:id="rId2"/>
    <sheet name="03_SP和紙雲竜" sheetId="3" r:id="rId3"/>
    <sheet name="04_SP和紙・ソフトクラフト（ロール）" sheetId="4" r:id="rId4"/>
    <sheet name="05_SP和紙・ソフトクラフト (単袋)" sheetId="15" r:id="rId5"/>
    <sheet name="06_SP真空ラミ" sheetId="16" r:id="rId6"/>
    <sheet name="07_SP真空和紙包" sheetId="5" r:id="rId7"/>
    <sheet name="08_SP和紙包 (ロール)" sheetId="17" r:id="rId8"/>
    <sheet name="09_SP和紙包（単袋）" sheetId="6" r:id="rId9"/>
    <sheet name="10_SP金銀和紙・和紙雲竜（単）・クラフト（単）" sheetId="7" r:id="rId10"/>
    <sheet name="11_SPポリポリ" sheetId="8" r:id="rId11"/>
    <sheet name="12_SPマットポリポリ" sheetId="9" r:id="rId12"/>
    <sheet name="13_SPポリ" sheetId="10" r:id="rId13"/>
    <sheet name="14_SPNEWマットポリ・マットポリ・コンビポリ" sheetId="11" r:id="rId14"/>
    <sheet name="15_SPSFポリ" sheetId="12" r:id="rId15"/>
    <sheet name="16_SPSFマットポリ" sheetId="13" r:id="rId16"/>
    <sheet name="17_SPマットコンビポリ" sheetId="14" r:id="rId17"/>
    <sheet name="18_SPバイオマスポリ" sheetId="18" r:id="rId18"/>
  </sheets>
  <definedNames>
    <definedName name="_xlnm.Print_Area" localSheetId="0">'01_SPZIP'!$A$1:$BF$51</definedName>
    <definedName name="_xlnm.Print_Area" localSheetId="1">'02_SPラミ'!$A$1:$BK$108</definedName>
    <definedName name="_xlnm.Print_Area" localSheetId="2">'03_SP和紙雲竜'!$A$1:$BK$108</definedName>
    <definedName name="_xlnm.Print_Area" localSheetId="3">'04_SP和紙・ソフトクラフト（ロール）'!$A$1:$BK$108</definedName>
    <definedName name="_xlnm.Print_Area" localSheetId="4">'05_SP和紙・ソフトクラフト (単袋)'!$A$1:$BK$54</definedName>
    <definedName name="_xlnm.Print_Area" localSheetId="5">'06_SP真空ラミ'!$A$1:$BK$108</definedName>
    <definedName name="_xlnm.Print_Area" localSheetId="6">'07_SP真空和紙包'!$A$1:$BK$107</definedName>
    <definedName name="_xlnm.Print_Area" localSheetId="7">'08_SP和紙包 (ロール)'!$A$1:$BK$54</definedName>
    <definedName name="_xlnm.Print_Area" localSheetId="8">'09_SP和紙包（単袋）'!$A$1:$BK$54</definedName>
    <definedName name="_xlnm.Print_Area" localSheetId="9">'10_SP金銀和紙・和紙雲竜（単）・クラフト（単）'!$A$1:$BK$64</definedName>
    <definedName name="_xlnm.Print_Area" localSheetId="10">'11_SPポリポリ'!$A$1:$BK$162</definedName>
    <definedName name="_xlnm.Print_Area" localSheetId="11">'12_SPマットポリポリ'!$A$1:$BK$108</definedName>
    <definedName name="_xlnm.Print_Area" localSheetId="12">'13_SPポリ'!$A$1:$BK$108</definedName>
    <definedName name="_xlnm.Print_Area" localSheetId="13">'14_SPNEWマットポリ・マットポリ・コンビポリ'!$A$1:$BK$54</definedName>
    <definedName name="_xlnm.Print_Area" localSheetId="14">'15_SPSFポリ'!$A$1:$BK$108</definedName>
    <definedName name="_xlnm.Print_Area" localSheetId="15">'16_SPSFマットポリ'!$A$1:$BK$108</definedName>
    <definedName name="_xlnm.Print_Area" localSheetId="16">'17_SPマットコンビポリ'!$A$1:$BK$54</definedName>
    <definedName name="_xlnm.Print_Area" localSheetId="17">'18_SPバイオマスポリ'!$A$1:$BK$54</definedName>
    <definedName name="_xlnm.Print_Titles" localSheetId="8">'09_SP和紙包（単袋）'!$1:$1</definedName>
    <definedName name="_xlnm.Print_Titles" localSheetId="16">'17_SPマットコンビポリ'!$1:$1</definedName>
    <definedName name="_xlnm.Print_Titles" localSheetId="17">'18_SPバイオマスポリ'!$1:$1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8" i="18" l="1"/>
  <c r="P24" i="18" s="1"/>
  <c r="P27" i="18" s="1"/>
  <c r="P16" i="18"/>
  <c r="P17" i="18" s="1"/>
  <c r="P10" i="13"/>
  <c r="P11" i="13" s="1"/>
  <c r="AO10" i="13"/>
  <c r="AO22" i="13" s="1"/>
  <c r="AS10" i="13"/>
  <c r="AS11" i="13" s="1"/>
  <c r="AO11" i="13"/>
  <c r="P12" i="13"/>
  <c r="P18" i="13" s="1"/>
  <c r="AO12" i="13"/>
  <c r="AO24" i="13" s="1"/>
  <c r="AO13" i="13"/>
  <c r="AO14" i="13" s="1"/>
  <c r="AS13" i="13"/>
  <c r="AS14" i="13" s="1"/>
  <c r="AO16" i="13"/>
  <c r="AO17" i="13" s="1"/>
  <c r="AS16" i="13"/>
  <c r="AS17" i="13" s="1"/>
  <c r="AV24" i="17"/>
  <c r="AZ24" i="17" s="1"/>
  <c r="P24" i="17"/>
  <c r="P12" i="17" s="1"/>
  <c r="AV22" i="17"/>
  <c r="AV10" i="17" s="1"/>
  <c r="AZ10" i="17" s="1"/>
  <c r="P22" i="17"/>
  <c r="P28" i="17" s="1"/>
  <c r="AV16" i="17"/>
  <c r="AV19" i="17" s="1"/>
  <c r="AV20" i="17" s="1"/>
  <c r="P16" i="17"/>
  <c r="T16" i="17" s="1"/>
  <c r="AV12" i="17"/>
  <c r="AZ12" i="17" s="1"/>
  <c r="AV73" i="16"/>
  <c r="AV76" i="16" s="1"/>
  <c r="P73" i="16"/>
  <c r="P76" i="16" s="1"/>
  <c r="AV71" i="16"/>
  <c r="AV72" i="16" s="1"/>
  <c r="P71" i="16"/>
  <c r="P77" i="16" s="1"/>
  <c r="P78" i="16" s="1"/>
  <c r="AV24" i="16"/>
  <c r="AV30" i="16" s="1"/>
  <c r="AZ30" i="16" s="1"/>
  <c r="BD30" i="16" s="1"/>
  <c r="BD33" i="16" s="1"/>
  <c r="P24" i="16"/>
  <c r="T24" i="16" s="1"/>
  <c r="AV22" i="16"/>
  <c r="AV10" i="16" s="1"/>
  <c r="P22" i="16"/>
  <c r="P28" i="16" s="1"/>
  <c r="O27" i="15"/>
  <c r="S27" i="15" s="1"/>
  <c r="O25" i="15"/>
  <c r="O26" i="15" s="1"/>
  <c r="O21" i="15"/>
  <c r="S21" i="15" s="1"/>
  <c r="O19" i="15"/>
  <c r="O20" i="15" s="1"/>
  <c r="O15" i="15"/>
  <c r="S15" i="15" s="1"/>
  <c r="O13" i="15"/>
  <c r="P25" i="9"/>
  <c r="P97" i="2"/>
  <c r="P97" i="3"/>
  <c r="P95" i="3"/>
  <c r="AV22" i="3"/>
  <c r="AR22" i="1"/>
  <c r="P24" i="1"/>
  <c r="AV18" i="14"/>
  <c r="AV16" i="14"/>
  <c r="P18" i="14"/>
  <c r="P16" i="14"/>
  <c r="AO61" i="13"/>
  <c r="AO59" i="13"/>
  <c r="P61" i="13"/>
  <c r="P59" i="13"/>
  <c r="P61" i="12"/>
  <c r="P59" i="12"/>
  <c r="AO12" i="12"/>
  <c r="AO10" i="12"/>
  <c r="P12" i="12"/>
  <c r="P10" i="12"/>
  <c r="P18" i="11"/>
  <c r="P16" i="11"/>
  <c r="AV16" i="11"/>
  <c r="AV18" i="11"/>
  <c r="AO61" i="10"/>
  <c r="AO59" i="10"/>
  <c r="P61" i="10"/>
  <c r="P59" i="10"/>
  <c r="AP20" i="10"/>
  <c r="AP18" i="10"/>
  <c r="P20" i="10"/>
  <c r="P18" i="10"/>
  <c r="P73" i="9"/>
  <c r="P71" i="9"/>
  <c r="AV25" i="9"/>
  <c r="AV23" i="9"/>
  <c r="P23" i="9"/>
  <c r="AV127" i="8"/>
  <c r="AV125" i="8"/>
  <c r="P127" i="8"/>
  <c r="P125" i="8"/>
  <c r="P97" i="8"/>
  <c r="P95" i="8"/>
  <c r="AV73" i="8"/>
  <c r="AV71" i="8"/>
  <c r="P73" i="8"/>
  <c r="P71" i="8"/>
  <c r="AV31" i="8"/>
  <c r="AV29" i="8"/>
  <c r="P31" i="8"/>
  <c r="P29" i="8"/>
  <c r="AC64" i="7"/>
  <c r="AC62" i="7"/>
  <c r="AC58" i="7"/>
  <c r="AC56" i="7"/>
  <c r="AC52" i="7"/>
  <c r="AC50" i="7"/>
  <c r="AC46" i="7"/>
  <c r="AC44" i="7"/>
  <c r="AC40" i="7"/>
  <c r="AC38" i="7"/>
  <c r="AC34" i="7"/>
  <c r="AC32" i="7"/>
  <c r="AC28" i="7"/>
  <c r="AC26" i="7"/>
  <c r="AC22" i="7"/>
  <c r="AC20" i="7"/>
  <c r="AC16" i="7"/>
  <c r="AC14" i="7"/>
  <c r="P15" i="6"/>
  <c r="P13" i="6"/>
  <c r="P71" i="5"/>
  <c r="P77" i="5" s="1"/>
  <c r="P73" i="5"/>
  <c r="AV22" i="5"/>
  <c r="AZ22" i="5" s="1"/>
  <c r="AV24" i="5"/>
  <c r="P24" i="5"/>
  <c r="P22" i="5"/>
  <c r="P73" i="4"/>
  <c r="P71" i="4"/>
  <c r="AV24" i="4"/>
  <c r="AV22" i="4"/>
  <c r="P24" i="4"/>
  <c r="P22" i="4"/>
  <c r="AV73" i="3"/>
  <c r="AV71" i="3"/>
  <c r="P73" i="3"/>
  <c r="P71" i="3"/>
  <c r="AV24" i="3"/>
  <c r="P24" i="3"/>
  <c r="P22" i="3"/>
  <c r="P19" i="18" l="1"/>
  <c r="P20" i="18" s="1"/>
  <c r="P22" i="18"/>
  <c r="P23" i="18" s="1"/>
  <c r="T24" i="18"/>
  <c r="T27" i="18" s="1"/>
  <c r="T22" i="18"/>
  <c r="X24" i="18"/>
  <c r="P12" i="18"/>
  <c r="P25" i="18"/>
  <c r="P26" i="18" s="1"/>
  <c r="P21" i="18"/>
  <c r="T18" i="18"/>
  <c r="T16" i="18"/>
  <c r="P10" i="18"/>
  <c r="T10" i="13"/>
  <c r="T11" i="13" s="1"/>
  <c r="AO28" i="13"/>
  <c r="AO29" i="13" s="1"/>
  <c r="AS22" i="13"/>
  <c r="AO23" i="13"/>
  <c r="AS12" i="13"/>
  <c r="AS15" i="13" s="1"/>
  <c r="T12" i="13"/>
  <c r="T15" i="13" s="1"/>
  <c r="P24" i="13"/>
  <c r="P27" i="13" s="1"/>
  <c r="AS24" i="13"/>
  <c r="AS27" i="13" s="1"/>
  <c r="AO30" i="13"/>
  <c r="AO27" i="13"/>
  <c r="P21" i="13"/>
  <c r="T18" i="13"/>
  <c r="T21" i="13" s="1"/>
  <c r="AO31" i="13"/>
  <c r="AO32" i="13" s="1"/>
  <c r="AS28" i="13"/>
  <c r="T13" i="13"/>
  <c r="T14" i="13" s="1"/>
  <c r="P13" i="13"/>
  <c r="P14" i="13" s="1"/>
  <c r="AS19" i="13"/>
  <c r="AS20" i="13" s="1"/>
  <c r="AO19" i="13"/>
  <c r="AO20" i="13" s="1"/>
  <c r="P16" i="13"/>
  <c r="AO15" i="13"/>
  <c r="AO25" i="13"/>
  <c r="AO26" i="13" s="1"/>
  <c r="P22" i="13"/>
  <c r="AO18" i="13"/>
  <c r="P15" i="13"/>
  <c r="P18" i="17"/>
  <c r="P21" i="17" s="1"/>
  <c r="P25" i="17"/>
  <c r="P26" i="17" s="1"/>
  <c r="AV25" i="17"/>
  <c r="AV26" i="17" s="1"/>
  <c r="P27" i="17"/>
  <c r="AV28" i="17"/>
  <c r="AV31" i="17" s="1"/>
  <c r="AV32" i="17" s="1"/>
  <c r="P30" i="17"/>
  <c r="T30" i="17" s="1"/>
  <c r="AV18" i="17"/>
  <c r="AV30" i="17"/>
  <c r="AZ30" i="17" s="1"/>
  <c r="AZ33" i="17" s="1"/>
  <c r="AZ22" i="17"/>
  <c r="P23" i="17"/>
  <c r="AV23" i="17"/>
  <c r="AZ15" i="17"/>
  <c r="BD12" i="17"/>
  <c r="BD24" i="17"/>
  <c r="AZ27" i="17"/>
  <c r="T19" i="17"/>
  <c r="T20" i="17" s="1"/>
  <c r="T17" i="17"/>
  <c r="X16" i="17"/>
  <c r="T28" i="17"/>
  <c r="P31" i="17"/>
  <c r="P32" i="17" s="1"/>
  <c r="P29" i="17"/>
  <c r="T33" i="17"/>
  <c r="X30" i="17"/>
  <c r="BD10" i="17"/>
  <c r="AZ13" i="17"/>
  <c r="AZ14" i="17" s="1"/>
  <c r="AZ11" i="17"/>
  <c r="T12" i="17"/>
  <c r="P15" i="17"/>
  <c r="T18" i="17"/>
  <c r="AZ16" i="17"/>
  <c r="AV11" i="17"/>
  <c r="P10" i="17"/>
  <c r="AV13" i="17"/>
  <c r="AV14" i="17" s="1"/>
  <c r="AZ28" i="17"/>
  <c r="T22" i="17"/>
  <c r="P17" i="17"/>
  <c r="AV27" i="17"/>
  <c r="T24" i="17"/>
  <c r="AV15" i="17"/>
  <c r="P19" i="17"/>
  <c r="P20" i="17" s="1"/>
  <c r="AV17" i="17"/>
  <c r="P10" i="16"/>
  <c r="P11" i="16" s="1"/>
  <c r="P16" i="16"/>
  <c r="P19" i="16" s="1"/>
  <c r="P20" i="16" s="1"/>
  <c r="P25" i="16"/>
  <c r="P26" i="16" s="1"/>
  <c r="T73" i="16"/>
  <c r="T76" i="16" s="1"/>
  <c r="P59" i="16"/>
  <c r="P60" i="16" s="1"/>
  <c r="P18" i="16"/>
  <c r="P21" i="16" s="1"/>
  <c r="AV18" i="16"/>
  <c r="P67" i="16"/>
  <c r="AV67" i="16"/>
  <c r="AV12" i="16"/>
  <c r="AV15" i="16" s="1"/>
  <c r="P27" i="16"/>
  <c r="AV59" i="16"/>
  <c r="AZ59" i="16" s="1"/>
  <c r="AZ62" i="16" s="1"/>
  <c r="AZ63" i="16" s="1"/>
  <c r="AV65" i="16"/>
  <c r="AZ65" i="16" s="1"/>
  <c r="T22" i="16"/>
  <c r="P23" i="16"/>
  <c r="T27" i="16"/>
  <c r="X24" i="16"/>
  <c r="X27" i="16" s="1"/>
  <c r="AV11" i="16"/>
  <c r="AV13" i="16"/>
  <c r="AV14" i="16" s="1"/>
  <c r="AZ10" i="16"/>
  <c r="T28" i="16"/>
  <c r="P31" i="16"/>
  <c r="P32" i="16" s="1"/>
  <c r="P29" i="16"/>
  <c r="P79" i="16"/>
  <c r="P61" i="16"/>
  <c r="P80" i="16"/>
  <c r="P81" i="16" s="1"/>
  <c r="T77" i="16"/>
  <c r="P12" i="16"/>
  <c r="P30" i="16"/>
  <c r="T71" i="16"/>
  <c r="AV79" i="16"/>
  <c r="AZ24" i="16"/>
  <c r="P74" i="16"/>
  <c r="P75" i="16" s="1"/>
  <c r="AZ73" i="16"/>
  <c r="AV74" i="16"/>
  <c r="AV75" i="16" s="1"/>
  <c r="AZ71" i="16"/>
  <c r="AV23" i="16"/>
  <c r="AV16" i="16"/>
  <c r="AV77" i="16"/>
  <c r="AZ22" i="16"/>
  <c r="AZ33" i="16"/>
  <c r="P72" i="16"/>
  <c r="P65" i="16"/>
  <c r="AV27" i="16"/>
  <c r="AV33" i="16"/>
  <c r="AV25" i="16"/>
  <c r="AV26" i="16" s="1"/>
  <c r="AV28" i="16"/>
  <c r="AV61" i="16"/>
  <c r="S25" i="15"/>
  <c r="W25" i="15" s="1"/>
  <c r="S13" i="15"/>
  <c r="O14" i="15"/>
  <c r="O12" i="15"/>
  <c r="W15" i="15"/>
  <c r="W21" i="15"/>
  <c r="O18" i="15"/>
  <c r="O24" i="15"/>
  <c r="W27" i="15"/>
  <c r="S19" i="15"/>
  <c r="P103" i="2"/>
  <c r="P95" i="2"/>
  <c r="AV73" i="2"/>
  <c r="AV61" i="2" s="1"/>
  <c r="AV71" i="2"/>
  <c r="AV72" i="2" s="1"/>
  <c r="P73" i="2"/>
  <c r="T73" i="2" s="1"/>
  <c r="P71" i="2"/>
  <c r="P72" i="2" s="1"/>
  <c r="AV30" i="2"/>
  <c r="AV36" i="2" s="1"/>
  <c r="AV28" i="2"/>
  <c r="AZ28" i="2" s="1"/>
  <c r="P30" i="2"/>
  <c r="T30" i="2" s="1"/>
  <c r="P28" i="2"/>
  <c r="P29" i="2" s="1"/>
  <c r="AR24" i="1"/>
  <c r="AR27" i="1" s="1"/>
  <c r="P27" i="1"/>
  <c r="P22" i="1"/>
  <c r="P25" i="1" s="1"/>
  <c r="P26" i="1" s="1"/>
  <c r="AV24" i="14"/>
  <c r="AV27" i="14" s="1"/>
  <c r="P24" i="14"/>
  <c r="P27" i="14" s="1"/>
  <c r="AV22" i="14"/>
  <c r="AV25" i="14" s="1"/>
  <c r="AV26" i="14" s="1"/>
  <c r="T22" i="14"/>
  <c r="X22" i="14" s="1"/>
  <c r="P22" i="14"/>
  <c r="P25" i="14" s="1"/>
  <c r="P26" i="14" s="1"/>
  <c r="AV21" i="14"/>
  <c r="P21" i="14"/>
  <c r="AV19" i="14"/>
  <c r="AV20" i="14" s="1"/>
  <c r="P19" i="14"/>
  <c r="P20" i="14" s="1"/>
  <c r="AZ18" i="14"/>
  <c r="BD18" i="14" s="1"/>
  <c r="BH18" i="14" s="1"/>
  <c r="BH21" i="14" s="1"/>
  <c r="T18" i="14"/>
  <c r="X18" i="14" s="1"/>
  <c r="AV17" i="14"/>
  <c r="P17" i="14"/>
  <c r="AZ16" i="14"/>
  <c r="BD16" i="14" s="1"/>
  <c r="T16" i="14"/>
  <c r="T17" i="14" s="1"/>
  <c r="P14" i="14"/>
  <c r="AV12" i="14"/>
  <c r="AV15" i="14" s="1"/>
  <c r="P12" i="14"/>
  <c r="AV10" i="14"/>
  <c r="P10" i="14"/>
  <c r="P13" i="14" s="1"/>
  <c r="P73" i="13"/>
  <c r="P79" i="13" s="1"/>
  <c r="P82" i="13" s="1"/>
  <c r="T61" i="13"/>
  <c r="T64" i="13" s="1"/>
  <c r="P64" i="13"/>
  <c r="AO60" i="13"/>
  <c r="P60" i="13"/>
  <c r="AS59" i="13"/>
  <c r="AS60" i="13" s="1"/>
  <c r="AO71" i="13"/>
  <c r="AO72" i="13" s="1"/>
  <c r="T59" i="13"/>
  <c r="P71" i="13"/>
  <c r="P71" i="12"/>
  <c r="P74" i="12" s="1"/>
  <c r="P75" i="12" s="1"/>
  <c r="P67" i="12"/>
  <c r="P62" i="12"/>
  <c r="P63" i="12" s="1"/>
  <c r="P60" i="12"/>
  <c r="P22" i="12"/>
  <c r="P16" i="12"/>
  <c r="P19" i="12" s="1"/>
  <c r="P20" i="12" s="1"/>
  <c r="AS12" i="12"/>
  <c r="AS15" i="12" s="1"/>
  <c r="AO11" i="12"/>
  <c r="P11" i="12"/>
  <c r="AS10" i="12"/>
  <c r="AS13" i="12" s="1"/>
  <c r="AS14" i="12" s="1"/>
  <c r="AO22" i="12"/>
  <c r="AS22" i="12" s="1"/>
  <c r="T10" i="12"/>
  <c r="T11" i="12" s="1"/>
  <c r="P13" i="12"/>
  <c r="P14" i="12" s="1"/>
  <c r="P22" i="11"/>
  <c r="P25" i="11" s="1"/>
  <c r="P26" i="11" s="1"/>
  <c r="P19" i="11"/>
  <c r="P20" i="11" s="1"/>
  <c r="AV21" i="11"/>
  <c r="P24" i="11"/>
  <c r="P27" i="11" s="1"/>
  <c r="P17" i="11"/>
  <c r="AV19" i="11"/>
  <c r="AV20" i="11" s="1"/>
  <c r="T16" i="11"/>
  <c r="P10" i="11"/>
  <c r="T10" i="11" s="1"/>
  <c r="T13" i="11" s="1"/>
  <c r="T14" i="11" s="1"/>
  <c r="AO64" i="10"/>
  <c r="P64" i="10"/>
  <c r="AO62" i="10"/>
  <c r="AO63" i="10" s="1"/>
  <c r="AS61" i="10"/>
  <c r="AS64" i="10" s="1"/>
  <c r="AO67" i="10"/>
  <c r="AO70" i="10" s="1"/>
  <c r="T61" i="10"/>
  <c r="T64" i="10" s="1"/>
  <c r="P67" i="10"/>
  <c r="AS59" i="10"/>
  <c r="AS62" i="10" s="1"/>
  <c r="AS63" i="10" s="1"/>
  <c r="AP26" i="10"/>
  <c r="P23" i="10"/>
  <c r="AP21" i="10"/>
  <c r="AP22" i="10" s="1"/>
  <c r="AT20" i="10"/>
  <c r="AT23" i="10" s="1"/>
  <c r="AP23" i="10"/>
  <c r="AP19" i="10"/>
  <c r="AT18" i="10"/>
  <c r="AT21" i="10" s="1"/>
  <c r="AT22" i="10" s="1"/>
  <c r="AP24" i="10"/>
  <c r="AP25" i="10" s="1"/>
  <c r="P79" i="9"/>
  <c r="T79" i="9" s="1"/>
  <c r="X79" i="9" s="1"/>
  <c r="AB79" i="9" s="1"/>
  <c r="AB82" i="9" s="1"/>
  <c r="P76" i="9"/>
  <c r="T73" i="9"/>
  <c r="P67" i="9"/>
  <c r="P70" i="9" s="1"/>
  <c r="P61" i="9"/>
  <c r="P64" i="9" s="1"/>
  <c r="P31" i="9"/>
  <c r="T31" i="9" s="1"/>
  <c r="P29" i="9"/>
  <c r="AV28" i="9"/>
  <c r="P26" i="9"/>
  <c r="P27" i="9" s="1"/>
  <c r="T25" i="9"/>
  <c r="AZ23" i="9"/>
  <c r="AZ26" i="9" s="1"/>
  <c r="AZ27" i="9" s="1"/>
  <c r="AV19" i="9"/>
  <c r="P19" i="9"/>
  <c r="P17" i="9"/>
  <c r="P20" i="9" s="1"/>
  <c r="P21" i="9" s="1"/>
  <c r="P11" i="9"/>
  <c r="P12" i="9" s="1"/>
  <c r="AV135" i="8"/>
  <c r="AV133" i="8"/>
  <c r="AZ133" i="8" s="1"/>
  <c r="AV132" i="8"/>
  <c r="P131" i="8"/>
  <c r="T131" i="8" s="1"/>
  <c r="AV130" i="8"/>
  <c r="P128" i="8"/>
  <c r="P129" i="8" s="1"/>
  <c r="AZ127" i="8"/>
  <c r="AV121" i="8"/>
  <c r="T127" i="8"/>
  <c r="X127" i="8" s="1"/>
  <c r="P133" i="8"/>
  <c r="P136" i="8" s="1"/>
  <c r="AV126" i="8"/>
  <c r="P126" i="8"/>
  <c r="AZ125" i="8"/>
  <c r="AV131" i="8"/>
  <c r="AV134" i="8" s="1"/>
  <c r="T125" i="8"/>
  <c r="X125" i="8" s="1"/>
  <c r="X128" i="8" s="1"/>
  <c r="X129" i="8" s="1"/>
  <c r="P122" i="8"/>
  <c r="P123" i="8" s="1"/>
  <c r="P121" i="8"/>
  <c r="P124" i="8" s="1"/>
  <c r="AV119" i="8"/>
  <c r="AV122" i="8" s="1"/>
  <c r="AV123" i="8" s="1"/>
  <c r="P119" i="8"/>
  <c r="P120" i="8" s="1"/>
  <c r="AV115" i="8"/>
  <c r="P115" i="8"/>
  <c r="P118" i="8" s="1"/>
  <c r="AV113" i="8"/>
  <c r="P113" i="8"/>
  <c r="T113" i="8" s="1"/>
  <c r="P101" i="8"/>
  <c r="P102" i="8" s="1"/>
  <c r="P100" i="8"/>
  <c r="T97" i="8"/>
  <c r="T100" i="8" s="1"/>
  <c r="P91" i="8"/>
  <c r="T91" i="8" s="1"/>
  <c r="T94" i="8" s="1"/>
  <c r="P85" i="8"/>
  <c r="AV77" i="8"/>
  <c r="AV80" i="8" s="1"/>
  <c r="AV81" i="8" s="1"/>
  <c r="AZ73" i="8"/>
  <c r="AZ76" i="8" s="1"/>
  <c r="P76" i="8"/>
  <c r="AV67" i="8"/>
  <c r="AZ67" i="8" s="1"/>
  <c r="AZ70" i="8" s="1"/>
  <c r="AV61" i="8"/>
  <c r="AZ61" i="8" s="1"/>
  <c r="AZ64" i="8" s="1"/>
  <c r="P32" i="8"/>
  <c r="P33" i="8" s="1"/>
  <c r="T31" i="8"/>
  <c r="P34" i="8"/>
  <c r="P30" i="8"/>
  <c r="AZ29" i="8"/>
  <c r="AZ32" i="8" s="1"/>
  <c r="AZ33" i="8" s="1"/>
  <c r="AV32" i="8"/>
  <c r="AV33" i="8" s="1"/>
  <c r="T29" i="8"/>
  <c r="X29" i="8" s="1"/>
  <c r="P35" i="8"/>
  <c r="P36" i="8" s="1"/>
  <c r="P25" i="8"/>
  <c r="P28" i="8" s="1"/>
  <c r="AV23" i="8"/>
  <c r="AV26" i="8" s="1"/>
  <c r="AV27" i="8" s="1"/>
  <c r="P23" i="8"/>
  <c r="P26" i="8" s="1"/>
  <c r="P27" i="8" s="1"/>
  <c r="AV17" i="8"/>
  <c r="P17" i="8"/>
  <c r="T17" i="8" s="1"/>
  <c r="X17" i="8" s="1"/>
  <c r="AB17" i="8" s="1"/>
  <c r="AG64" i="7"/>
  <c r="AK64" i="7" s="1"/>
  <c r="AG62" i="7"/>
  <c r="AC63" i="7"/>
  <c r="AC61" i="7"/>
  <c r="AK58" i="7"/>
  <c r="AG58" i="7"/>
  <c r="AC55" i="7" s="1"/>
  <c r="AC57" i="7"/>
  <c r="AG56" i="7"/>
  <c r="AG57" i="7" s="1"/>
  <c r="AC53" i="7"/>
  <c r="AC54" i="7" s="1"/>
  <c r="AG52" i="7"/>
  <c r="AC49" i="7" s="1"/>
  <c r="AG46" i="7"/>
  <c r="AC43" i="7" s="1"/>
  <c r="AC45" i="7"/>
  <c r="AG44" i="7"/>
  <c r="AK44" i="7" s="1"/>
  <c r="AK41" i="7" s="1"/>
  <c r="AK42" i="7" s="1"/>
  <c r="AG40" i="7"/>
  <c r="AC37" i="7" s="1"/>
  <c r="AG38" i="7"/>
  <c r="AC35" i="7" s="1"/>
  <c r="AC36" i="7" s="1"/>
  <c r="AC39" i="7"/>
  <c r="AG34" i="7"/>
  <c r="AC31" i="7" s="1"/>
  <c r="AC33" i="7"/>
  <c r="AG32" i="7"/>
  <c r="AG33" i="7" s="1"/>
  <c r="AG28" i="7"/>
  <c r="AK28" i="7" s="1"/>
  <c r="AK25" i="7" s="1"/>
  <c r="AG26" i="7"/>
  <c r="AC27" i="7"/>
  <c r="AG22" i="7"/>
  <c r="AC19" i="7" s="1"/>
  <c r="AC21" i="7"/>
  <c r="AG20" i="7"/>
  <c r="AG21" i="7" s="1"/>
  <c r="AC17" i="7"/>
  <c r="AC18" i="7" s="1"/>
  <c r="AG16" i="7"/>
  <c r="AK16" i="7" s="1"/>
  <c r="AK13" i="7" s="1"/>
  <c r="AC15" i="7"/>
  <c r="AG14" i="7"/>
  <c r="AC13" i="7"/>
  <c r="T15" i="6"/>
  <c r="P12" i="6" s="1"/>
  <c r="P14" i="6"/>
  <c r="T13" i="6"/>
  <c r="T14" i="6" s="1"/>
  <c r="P79" i="5"/>
  <c r="P82" i="5" s="1"/>
  <c r="P80" i="5"/>
  <c r="P81" i="5" s="1"/>
  <c r="P76" i="5"/>
  <c r="P74" i="5"/>
  <c r="P75" i="5" s="1"/>
  <c r="T73" i="5"/>
  <c r="T76" i="5" s="1"/>
  <c r="P67" i="5"/>
  <c r="T67" i="5" s="1"/>
  <c r="T70" i="5" s="1"/>
  <c r="P61" i="5"/>
  <c r="P64" i="5" s="1"/>
  <c r="P59" i="5"/>
  <c r="AV30" i="5"/>
  <c r="AV33" i="5" s="1"/>
  <c r="P30" i="5"/>
  <c r="T30" i="5" s="1"/>
  <c r="X30" i="5" s="1"/>
  <c r="X33" i="5" s="1"/>
  <c r="AV27" i="5"/>
  <c r="P27" i="5"/>
  <c r="AZ24" i="5"/>
  <c r="T24" i="5"/>
  <c r="X24" i="5" s="1"/>
  <c r="X27" i="5" s="1"/>
  <c r="P23" i="5"/>
  <c r="AV18" i="5"/>
  <c r="P18" i="5"/>
  <c r="P21" i="5" s="1"/>
  <c r="P16" i="5"/>
  <c r="AV12" i="5"/>
  <c r="AZ12" i="5" s="1"/>
  <c r="P12" i="5"/>
  <c r="P15" i="5" s="1"/>
  <c r="P10" i="5"/>
  <c r="T10" i="5" s="1"/>
  <c r="X10" i="5" s="1"/>
  <c r="P72" i="4"/>
  <c r="T71" i="4"/>
  <c r="X71" i="4" s="1"/>
  <c r="X72" i="4" s="1"/>
  <c r="P77" i="4"/>
  <c r="P80" i="4" s="1"/>
  <c r="P81" i="4" s="1"/>
  <c r="P65" i="4"/>
  <c r="P68" i="4" s="1"/>
  <c r="P69" i="4" s="1"/>
  <c r="P59" i="4"/>
  <c r="P62" i="4" s="1"/>
  <c r="P63" i="4" s="1"/>
  <c r="P30" i="4"/>
  <c r="P27" i="4"/>
  <c r="T24" i="4"/>
  <c r="T27" i="4" s="1"/>
  <c r="P12" i="4"/>
  <c r="P15" i="4" s="1"/>
  <c r="P23" i="4"/>
  <c r="T22" i="4"/>
  <c r="P28" i="4"/>
  <c r="P18" i="4"/>
  <c r="P21" i="4" s="1"/>
  <c r="P16" i="4"/>
  <c r="P19" i="4" s="1"/>
  <c r="P20" i="4" s="1"/>
  <c r="AV12" i="4"/>
  <c r="P10" i="4"/>
  <c r="P13" i="4" s="1"/>
  <c r="P14" i="4" s="1"/>
  <c r="P103" i="3"/>
  <c r="P96" i="3"/>
  <c r="T95" i="3"/>
  <c r="X95" i="3" s="1"/>
  <c r="X98" i="3" s="1"/>
  <c r="X99" i="3" s="1"/>
  <c r="P101" i="3"/>
  <c r="P104" i="3" s="1"/>
  <c r="P105" i="3" s="1"/>
  <c r="P89" i="3"/>
  <c r="P92" i="3" s="1"/>
  <c r="P93" i="3" s="1"/>
  <c r="P83" i="3"/>
  <c r="P86" i="3" s="1"/>
  <c r="P87" i="3" s="1"/>
  <c r="P79" i="3"/>
  <c r="P82" i="3" s="1"/>
  <c r="AV76" i="3"/>
  <c r="P76" i="3"/>
  <c r="AV74" i="3"/>
  <c r="AV75" i="3" s="1"/>
  <c r="T73" i="3"/>
  <c r="X73" i="3" s="1"/>
  <c r="AB73" i="3" s="1"/>
  <c r="AB76" i="3" s="1"/>
  <c r="P72" i="3"/>
  <c r="AZ71" i="3"/>
  <c r="BD71" i="3" s="1"/>
  <c r="T71" i="3"/>
  <c r="T74" i="3" s="1"/>
  <c r="T75" i="3" s="1"/>
  <c r="P77" i="3"/>
  <c r="P80" i="3" s="1"/>
  <c r="P81" i="3" s="1"/>
  <c r="P67" i="3"/>
  <c r="P70" i="3" s="1"/>
  <c r="P65" i="3"/>
  <c r="P68" i="3" s="1"/>
  <c r="P69" i="3" s="1"/>
  <c r="P61" i="3"/>
  <c r="T61" i="3" s="1"/>
  <c r="AV59" i="3"/>
  <c r="AV60" i="3" s="1"/>
  <c r="P59" i="3"/>
  <c r="P62" i="3" s="1"/>
  <c r="P63" i="3" s="1"/>
  <c r="AV30" i="3"/>
  <c r="P30" i="3"/>
  <c r="P33" i="3" s="1"/>
  <c r="AV27" i="3"/>
  <c r="AZ24" i="3"/>
  <c r="AZ27" i="3" s="1"/>
  <c r="AV25" i="3"/>
  <c r="AV26" i="3" s="1"/>
  <c r="T22" i="3"/>
  <c r="P25" i="3"/>
  <c r="P26" i="3" s="1"/>
  <c r="AV18" i="3"/>
  <c r="AV21" i="3" s="1"/>
  <c r="P16" i="3"/>
  <c r="P17" i="3" s="1"/>
  <c r="AV12" i="3"/>
  <c r="AV15" i="3" s="1"/>
  <c r="P10" i="3"/>
  <c r="T10" i="3" s="1"/>
  <c r="P59" i="2"/>
  <c r="T59" i="2" s="1"/>
  <c r="AV29" i="2"/>
  <c r="AR25" i="1"/>
  <c r="AR26" i="1" s="1"/>
  <c r="AR23" i="1"/>
  <c r="AR28" i="1"/>
  <c r="AV28" i="1" s="1"/>
  <c r="AZ28" i="1" s="1"/>
  <c r="AZ29" i="1" s="1"/>
  <c r="P13" i="18" l="1"/>
  <c r="P14" i="18" s="1"/>
  <c r="P11" i="18"/>
  <c r="T10" i="18"/>
  <c r="T12" i="18"/>
  <c r="P15" i="18"/>
  <c r="X27" i="18"/>
  <c r="AB24" i="18"/>
  <c r="AB27" i="18" s="1"/>
  <c r="X16" i="18"/>
  <c r="T19" i="18"/>
  <c r="T20" i="18" s="1"/>
  <c r="T17" i="18"/>
  <c r="T23" i="18"/>
  <c r="T25" i="18"/>
  <c r="T26" i="18" s="1"/>
  <c r="X22" i="18"/>
  <c r="T21" i="18"/>
  <c r="X18" i="18"/>
  <c r="P30" i="13"/>
  <c r="T24" i="13"/>
  <c r="T27" i="13" s="1"/>
  <c r="AS25" i="13"/>
  <c r="AS26" i="13" s="1"/>
  <c r="AS23" i="13"/>
  <c r="AS31" i="13"/>
  <c r="AS32" i="13" s="1"/>
  <c r="AS29" i="13"/>
  <c r="P28" i="13"/>
  <c r="P25" i="13"/>
  <c r="P26" i="13" s="1"/>
  <c r="T22" i="13"/>
  <c r="P23" i="13"/>
  <c r="P19" i="13"/>
  <c r="P20" i="13" s="1"/>
  <c r="T16" i="13"/>
  <c r="P17" i="13"/>
  <c r="AO33" i="13"/>
  <c r="AS30" i="13"/>
  <c r="AS33" i="13" s="1"/>
  <c r="AO21" i="13"/>
  <c r="AS18" i="13"/>
  <c r="AS21" i="13" s="1"/>
  <c r="AS71" i="13"/>
  <c r="AS74" i="13" s="1"/>
  <c r="AS75" i="13" s="1"/>
  <c r="X82" i="9"/>
  <c r="T82" i="9"/>
  <c r="T67" i="9"/>
  <c r="X67" i="9" s="1"/>
  <c r="P82" i="9"/>
  <c r="P20" i="8"/>
  <c r="P21" i="8" s="1"/>
  <c r="P116" i="8"/>
  <c r="P117" i="8" s="1"/>
  <c r="P114" i="8"/>
  <c r="P18" i="8"/>
  <c r="AV24" i="8"/>
  <c r="AK61" i="7"/>
  <c r="AG61" i="7"/>
  <c r="AC29" i="7"/>
  <c r="AC30" i="7" s="1"/>
  <c r="AC41" i="7"/>
  <c r="AC42" i="7" s="1"/>
  <c r="AC25" i="7"/>
  <c r="AK32" i="7"/>
  <c r="AK33" i="7" s="1"/>
  <c r="BD30" i="17"/>
  <c r="AV29" i="17"/>
  <c r="P33" i="17"/>
  <c r="AV33" i="17"/>
  <c r="AZ25" i="17"/>
  <c r="AZ26" i="17" s="1"/>
  <c r="AZ23" i="17"/>
  <c r="BD22" i="17"/>
  <c r="AZ18" i="17"/>
  <c r="AV21" i="17"/>
  <c r="T27" i="17"/>
  <c r="X24" i="17"/>
  <c r="X12" i="17"/>
  <c r="T15" i="17"/>
  <c r="X28" i="17"/>
  <c r="T31" i="17"/>
  <c r="T32" i="17" s="1"/>
  <c r="T29" i="17"/>
  <c r="T23" i="17"/>
  <c r="T25" i="17"/>
  <c r="T26" i="17" s="1"/>
  <c r="X22" i="17"/>
  <c r="BH10" i="17"/>
  <c r="BD13" i="17"/>
  <c r="BD14" i="17" s="1"/>
  <c r="BD11" i="17"/>
  <c r="AZ31" i="17"/>
  <c r="AZ32" i="17" s="1"/>
  <c r="AZ29" i="17"/>
  <c r="BD28" i="17"/>
  <c r="X19" i="17"/>
  <c r="X20" i="17" s="1"/>
  <c r="X17" i="17"/>
  <c r="AB16" i="17"/>
  <c r="P13" i="17"/>
  <c r="P14" i="17" s="1"/>
  <c r="T10" i="17"/>
  <c r="P11" i="17"/>
  <c r="X33" i="17"/>
  <c r="AB30" i="17"/>
  <c r="AB33" i="17" s="1"/>
  <c r="BH24" i="17"/>
  <c r="BH27" i="17" s="1"/>
  <c r="BD27" i="17"/>
  <c r="AZ19" i="17"/>
  <c r="AZ20" i="17" s="1"/>
  <c r="AZ17" i="17"/>
  <c r="BD16" i="17"/>
  <c r="BD33" i="17"/>
  <c r="BH30" i="17"/>
  <c r="BH33" i="17" s="1"/>
  <c r="BD15" i="17"/>
  <c r="BH12" i="17"/>
  <c r="BH15" i="17" s="1"/>
  <c r="T21" i="17"/>
  <c r="X18" i="17"/>
  <c r="P33" i="5"/>
  <c r="T33" i="5"/>
  <c r="T10" i="16"/>
  <c r="X10" i="16" s="1"/>
  <c r="P13" i="16"/>
  <c r="P14" i="16" s="1"/>
  <c r="T16" i="16"/>
  <c r="T17" i="16" s="1"/>
  <c r="P17" i="16"/>
  <c r="AV60" i="16"/>
  <c r="AZ12" i="16"/>
  <c r="BD12" i="16" s="1"/>
  <c r="BD15" i="16" s="1"/>
  <c r="T18" i="16"/>
  <c r="T21" i="16" s="1"/>
  <c r="P62" i="16"/>
  <c r="P63" i="16" s="1"/>
  <c r="T59" i="16"/>
  <c r="T60" i="16" s="1"/>
  <c r="AV68" i="16"/>
  <c r="AV69" i="16" s="1"/>
  <c r="AV66" i="16"/>
  <c r="AV62" i="16"/>
  <c r="AV63" i="16" s="1"/>
  <c r="X73" i="16"/>
  <c r="X76" i="16" s="1"/>
  <c r="AZ67" i="16"/>
  <c r="AV70" i="16"/>
  <c r="T25" i="16"/>
  <c r="T26" i="16" s="1"/>
  <c r="T23" i="16"/>
  <c r="T67" i="16"/>
  <c r="P70" i="16"/>
  <c r="X22" i="16"/>
  <c r="X25" i="16" s="1"/>
  <c r="X26" i="16" s="1"/>
  <c r="AZ18" i="16"/>
  <c r="AV21" i="16"/>
  <c r="BD59" i="16"/>
  <c r="BD62" i="16" s="1"/>
  <c r="BD63" i="16" s="1"/>
  <c r="AZ60" i="16"/>
  <c r="T11" i="16"/>
  <c r="T13" i="16"/>
  <c r="T14" i="16" s="1"/>
  <c r="X77" i="16"/>
  <c r="T80" i="16"/>
  <c r="T81" i="16" s="1"/>
  <c r="T78" i="16"/>
  <c r="P66" i="16"/>
  <c r="P68" i="16"/>
  <c r="P69" i="16" s="1"/>
  <c r="T65" i="16"/>
  <c r="AZ76" i="16"/>
  <c r="BD73" i="16"/>
  <c r="BD76" i="16" s="1"/>
  <c r="P33" i="16"/>
  <c r="T30" i="16"/>
  <c r="AV29" i="16"/>
  <c r="AV31" i="16"/>
  <c r="AV32" i="16" s="1"/>
  <c r="AZ28" i="16"/>
  <c r="BD71" i="16"/>
  <c r="AZ74" i="16"/>
  <c r="AZ75" i="16" s="1"/>
  <c r="AZ72" i="16"/>
  <c r="T74" i="16"/>
  <c r="T75" i="16" s="1"/>
  <c r="T72" i="16"/>
  <c r="X71" i="16"/>
  <c r="T12" i="16"/>
  <c r="P15" i="16"/>
  <c r="AZ27" i="16"/>
  <c r="BD24" i="16"/>
  <c r="BD27" i="16" s="1"/>
  <c r="AZ66" i="16"/>
  <c r="BD65" i="16"/>
  <c r="AZ68" i="16"/>
  <c r="AZ69" i="16" s="1"/>
  <c r="AZ16" i="16"/>
  <c r="AV17" i="16"/>
  <c r="AV19" i="16"/>
  <c r="AV20" i="16" s="1"/>
  <c r="AZ61" i="16"/>
  <c r="AV64" i="16"/>
  <c r="AV82" i="16"/>
  <c r="AZ79" i="16"/>
  <c r="T61" i="16"/>
  <c r="P64" i="16"/>
  <c r="P82" i="16"/>
  <c r="T79" i="16"/>
  <c r="X11" i="16"/>
  <c r="X13" i="16"/>
  <c r="X14" i="16" s="1"/>
  <c r="AZ23" i="16"/>
  <c r="BD22" i="16"/>
  <c r="AZ25" i="16"/>
  <c r="AZ26" i="16" s="1"/>
  <c r="X28" i="16"/>
  <c r="T31" i="16"/>
  <c r="T32" i="16" s="1"/>
  <c r="T29" i="16"/>
  <c r="AV80" i="16"/>
  <c r="AV81" i="16" s="1"/>
  <c r="AZ77" i="16"/>
  <c r="AV78" i="16"/>
  <c r="BD10" i="16"/>
  <c r="AZ11" i="16"/>
  <c r="AZ13" i="16"/>
  <c r="AZ14" i="16" s="1"/>
  <c r="P31" i="2"/>
  <c r="P32" i="2" s="1"/>
  <c r="P34" i="2"/>
  <c r="T34" i="2" s="1"/>
  <c r="P61" i="2"/>
  <c r="T61" i="2" s="1"/>
  <c r="P67" i="2"/>
  <c r="T67" i="2" s="1"/>
  <c r="AV59" i="2"/>
  <c r="AZ59" i="2" s="1"/>
  <c r="AZ62" i="2" s="1"/>
  <c r="AZ63" i="2" s="1"/>
  <c r="AV65" i="2"/>
  <c r="AZ65" i="2" s="1"/>
  <c r="AZ71" i="2"/>
  <c r="BD71" i="2" s="1"/>
  <c r="P22" i="2"/>
  <c r="T22" i="2" s="1"/>
  <c r="T23" i="2" s="1"/>
  <c r="AV22" i="2"/>
  <c r="AV76" i="2"/>
  <c r="AZ31" i="1"/>
  <c r="AZ32" i="1" s="1"/>
  <c r="AV31" i="1"/>
  <c r="AV32" i="1" s="1"/>
  <c r="S26" i="15"/>
  <c r="O22" i="15"/>
  <c r="O23" i="15" s="1"/>
  <c r="P60" i="3"/>
  <c r="T77" i="3"/>
  <c r="T80" i="3" s="1"/>
  <c r="T81" i="3" s="1"/>
  <c r="T22" i="1"/>
  <c r="T23" i="1" s="1"/>
  <c r="P23" i="1"/>
  <c r="T59" i="4"/>
  <c r="X59" i="4" s="1"/>
  <c r="T77" i="4"/>
  <c r="T80" i="4" s="1"/>
  <c r="T81" i="4" s="1"/>
  <c r="P78" i="4"/>
  <c r="S12" i="15"/>
  <c r="W12" i="15"/>
  <c r="W24" i="15"/>
  <c r="S24" i="15"/>
  <c r="W18" i="15"/>
  <c r="S18" i="15"/>
  <c r="W26" i="15"/>
  <c r="W22" i="15"/>
  <c r="W23" i="15" s="1"/>
  <c r="S22" i="15"/>
  <c r="S23" i="15" s="1"/>
  <c r="O10" i="15"/>
  <c r="O11" i="15" s="1"/>
  <c r="S14" i="15"/>
  <c r="W13" i="15"/>
  <c r="O16" i="15"/>
  <c r="O17" i="15" s="1"/>
  <c r="S20" i="15"/>
  <c r="W19" i="15"/>
  <c r="X96" i="3"/>
  <c r="T98" i="3"/>
  <c r="T99" i="3" s="1"/>
  <c r="P84" i="3"/>
  <c r="T89" i="3"/>
  <c r="X89" i="3" s="1"/>
  <c r="X92" i="3" s="1"/>
  <c r="X93" i="3" s="1"/>
  <c r="P90" i="3"/>
  <c r="AZ21" i="14"/>
  <c r="AZ17" i="14"/>
  <c r="AZ12" i="14"/>
  <c r="AZ24" i="14"/>
  <c r="AZ19" i="14"/>
  <c r="AZ20" i="14" s="1"/>
  <c r="AZ22" i="14"/>
  <c r="AZ25" i="14" s="1"/>
  <c r="AZ26" i="14" s="1"/>
  <c r="AV23" i="14"/>
  <c r="X21" i="14"/>
  <c r="AB18" i="14"/>
  <c r="AB21" i="14" s="1"/>
  <c r="T24" i="14"/>
  <c r="T21" i="14"/>
  <c r="T25" i="14"/>
  <c r="T26" i="14" s="1"/>
  <c r="P11" i="14"/>
  <c r="P23" i="14"/>
  <c r="X16" i="14"/>
  <c r="X19" i="14" s="1"/>
  <c r="X20" i="14" s="1"/>
  <c r="T19" i="14"/>
  <c r="T20" i="14" s="1"/>
  <c r="T10" i="14"/>
  <c r="T11" i="14" s="1"/>
  <c r="T23" i="14"/>
  <c r="AS62" i="13"/>
  <c r="AS63" i="13" s="1"/>
  <c r="T73" i="13"/>
  <c r="T76" i="13" s="1"/>
  <c r="T79" i="13"/>
  <c r="T82" i="13" s="1"/>
  <c r="AS23" i="12"/>
  <c r="AS25" i="12"/>
  <c r="AS26" i="12" s="1"/>
  <c r="T11" i="11"/>
  <c r="P21" i="11"/>
  <c r="AV12" i="11"/>
  <c r="AV15" i="11" s="1"/>
  <c r="AV22" i="11"/>
  <c r="AZ22" i="11" s="1"/>
  <c r="AZ25" i="11" s="1"/>
  <c r="AZ26" i="11" s="1"/>
  <c r="P13" i="11"/>
  <c r="P14" i="11" s="1"/>
  <c r="AZ18" i="11"/>
  <c r="BD18" i="11" s="1"/>
  <c r="T22" i="11"/>
  <c r="T23" i="11" s="1"/>
  <c r="P23" i="11"/>
  <c r="T18" i="11"/>
  <c r="X18" i="11" s="1"/>
  <c r="T24" i="11"/>
  <c r="T27" i="11" s="1"/>
  <c r="AV24" i="11"/>
  <c r="AZ24" i="11" s="1"/>
  <c r="P11" i="11"/>
  <c r="AS60" i="10"/>
  <c r="AP27" i="10"/>
  <c r="AP28" i="10" s="1"/>
  <c r="T61" i="9"/>
  <c r="X61" i="9" s="1"/>
  <c r="P34" i="9"/>
  <c r="T11" i="9"/>
  <c r="X11" i="9" s="1"/>
  <c r="P14" i="9"/>
  <c r="P15" i="9" s="1"/>
  <c r="AV136" i="8"/>
  <c r="AZ119" i="8"/>
  <c r="AV120" i="8"/>
  <c r="AZ131" i="8"/>
  <c r="BD131" i="8" s="1"/>
  <c r="BD134" i="8" s="1"/>
  <c r="BD135" i="8" s="1"/>
  <c r="T121" i="8"/>
  <c r="T124" i="8" s="1"/>
  <c r="T115" i="8"/>
  <c r="T130" i="8"/>
  <c r="T133" i="8"/>
  <c r="T136" i="8" s="1"/>
  <c r="T114" i="8"/>
  <c r="X113" i="8"/>
  <c r="X116" i="8" s="1"/>
  <c r="X117" i="8" s="1"/>
  <c r="AB125" i="8"/>
  <c r="T128" i="8"/>
  <c r="T129" i="8" s="1"/>
  <c r="T126" i="8"/>
  <c r="X126" i="8"/>
  <c r="T119" i="8"/>
  <c r="X119" i="8" s="1"/>
  <c r="AB119" i="8" s="1"/>
  <c r="AB120" i="8" s="1"/>
  <c r="X91" i="8"/>
  <c r="X94" i="8" s="1"/>
  <c r="P94" i="8"/>
  <c r="X97" i="8"/>
  <c r="AV64" i="8"/>
  <c r="BD73" i="8"/>
  <c r="BH73" i="8" s="1"/>
  <c r="BH76" i="8" s="1"/>
  <c r="AB18" i="8"/>
  <c r="AB20" i="8"/>
  <c r="AB21" i="8" s="1"/>
  <c r="T23" i="8"/>
  <c r="T26" i="8" s="1"/>
  <c r="T27" i="8" s="1"/>
  <c r="P24" i="8"/>
  <c r="T35" i="8"/>
  <c r="T36" i="8" s="1"/>
  <c r="P38" i="8"/>
  <c r="P39" i="8" s="1"/>
  <c r="AK56" i="7"/>
  <c r="AK52" i="7"/>
  <c r="AG49" i="7" s="1"/>
  <c r="AK46" i="7"/>
  <c r="AK43" i="7" s="1"/>
  <c r="AG45" i="7"/>
  <c r="AK40" i="7"/>
  <c r="AK38" i="7"/>
  <c r="AG35" i="7" s="1"/>
  <c r="AG36" i="7" s="1"/>
  <c r="AK34" i="7"/>
  <c r="AK31" i="7" s="1"/>
  <c r="AG25" i="7"/>
  <c r="AK22" i="7"/>
  <c r="AK20" i="7"/>
  <c r="AG13" i="7"/>
  <c r="X13" i="6"/>
  <c r="T10" i="6" s="1"/>
  <c r="T11" i="6" s="1"/>
  <c r="P10" i="6"/>
  <c r="P11" i="6" s="1"/>
  <c r="T61" i="5"/>
  <c r="X61" i="5" s="1"/>
  <c r="X64" i="5" s="1"/>
  <c r="T79" i="5"/>
  <c r="X79" i="5" s="1"/>
  <c r="X82" i="5" s="1"/>
  <c r="X67" i="5"/>
  <c r="X70" i="5" s="1"/>
  <c r="X73" i="5"/>
  <c r="X76" i="5" s="1"/>
  <c r="AV15" i="5"/>
  <c r="BD12" i="5"/>
  <c r="BD15" i="5" s="1"/>
  <c r="AZ15" i="5"/>
  <c r="AZ30" i="5"/>
  <c r="AZ33" i="5" s="1"/>
  <c r="T12" i="5"/>
  <c r="T15" i="5" s="1"/>
  <c r="P25" i="5"/>
  <c r="P26" i="5" s="1"/>
  <c r="P28" i="5"/>
  <c r="P29" i="5" s="1"/>
  <c r="T27" i="5"/>
  <c r="T22" i="5"/>
  <c r="T25" i="5" s="1"/>
  <c r="T26" i="5" s="1"/>
  <c r="T72" i="4"/>
  <c r="T65" i="4"/>
  <c r="P66" i="4"/>
  <c r="T74" i="4"/>
  <c r="T75" i="4" s="1"/>
  <c r="P60" i="4"/>
  <c r="T12" i="4"/>
  <c r="X24" i="4"/>
  <c r="X27" i="4" s="1"/>
  <c r="T16" i="4"/>
  <c r="X16" i="4" s="1"/>
  <c r="P17" i="4"/>
  <c r="T10" i="4"/>
  <c r="T13" i="4" s="1"/>
  <c r="T14" i="4" s="1"/>
  <c r="P11" i="4"/>
  <c r="T83" i="3"/>
  <c r="T86" i="3" s="1"/>
  <c r="T87" i="3" s="1"/>
  <c r="P102" i="3"/>
  <c r="AB95" i="3"/>
  <c r="T96" i="3"/>
  <c r="T64" i="3"/>
  <c r="X61" i="3"/>
  <c r="X64" i="3" s="1"/>
  <c r="T79" i="3"/>
  <c r="T82" i="3" s="1"/>
  <c r="P64" i="3"/>
  <c r="T67" i="3"/>
  <c r="T70" i="3" s="1"/>
  <c r="X76" i="3"/>
  <c r="T76" i="3"/>
  <c r="P66" i="3"/>
  <c r="T65" i="3"/>
  <c r="X65" i="3" s="1"/>
  <c r="T59" i="3"/>
  <c r="X59" i="3" s="1"/>
  <c r="AZ18" i="3"/>
  <c r="BD24" i="3"/>
  <c r="AV79" i="2"/>
  <c r="AV67" i="2"/>
  <c r="AZ67" i="2" s="1"/>
  <c r="AZ70" i="2" s="1"/>
  <c r="AV66" i="2"/>
  <c r="P65" i="2"/>
  <c r="T65" i="2" s="1"/>
  <c r="X65" i="2" s="1"/>
  <c r="P77" i="2"/>
  <c r="T77" i="2" s="1"/>
  <c r="T80" i="2" s="1"/>
  <c r="T81" i="2" s="1"/>
  <c r="T71" i="2"/>
  <c r="T72" i="2" s="1"/>
  <c r="AV18" i="2"/>
  <c r="AZ18" i="2" s="1"/>
  <c r="BD18" i="2" s="1"/>
  <c r="P18" i="2"/>
  <c r="T18" i="2" s="1"/>
  <c r="X18" i="2" s="1"/>
  <c r="P24" i="2"/>
  <c r="T24" i="2" s="1"/>
  <c r="X24" i="2" s="1"/>
  <c r="AV24" i="1"/>
  <c r="T24" i="1"/>
  <c r="X24" i="1" s="1"/>
  <c r="X27" i="1" s="1"/>
  <c r="BD67" i="2"/>
  <c r="AZ36" i="2"/>
  <c r="AV39" i="2"/>
  <c r="P106" i="2"/>
  <c r="T103" i="2"/>
  <c r="AZ61" i="2"/>
  <c r="AV64" i="2"/>
  <c r="P96" i="2"/>
  <c r="T95" i="2"/>
  <c r="BD72" i="3"/>
  <c r="BD74" i="3"/>
  <c r="BD75" i="3" s="1"/>
  <c r="AP32" i="10"/>
  <c r="AP29" i="10"/>
  <c r="AT26" i="10"/>
  <c r="AT29" i="10" s="1"/>
  <c r="BD59" i="2"/>
  <c r="T25" i="3"/>
  <c r="T26" i="3" s="1"/>
  <c r="T23" i="3"/>
  <c r="P31" i="4"/>
  <c r="P32" i="4" s="1"/>
  <c r="T28" i="4"/>
  <c r="X59" i="2"/>
  <c r="T62" i="2"/>
  <c r="T63" i="2" s="1"/>
  <c r="BH71" i="3"/>
  <c r="X34" i="2"/>
  <c r="T37" i="2"/>
  <c r="T38" i="2" s="1"/>
  <c r="BD65" i="2"/>
  <c r="AZ68" i="2"/>
  <c r="AZ69" i="2" s="1"/>
  <c r="AZ66" i="2"/>
  <c r="AZ59" i="3"/>
  <c r="X22" i="4"/>
  <c r="T23" i="4"/>
  <c r="T25" i="4"/>
  <c r="T26" i="4" s="1"/>
  <c r="T16" i="3"/>
  <c r="P83" i="2"/>
  <c r="P85" i="2"/>
  <c r="T97" i="2"/>
  <c r="P19" i="3"/>
  <c r="P20" i="3" s="1"/>
  <c r="X22" i="3"/>
  <c r="T30" i="3"/>
  <c r="T60" i="2"/>
  <c r="AV23" i="4"/>
  <c r="AV28" i="4"/>
  <c r="AV16" i="4"/>
  <c r="AV25" i="4"/>
  <c r="AV26" i="4" s="1"/>
  <c r="AZ22" i="4"/>
  <c r="AR29" i="1"/>
  <c r="X73" i="2"/>
  <c r="T76" i="2"/>
  <c r="P98" i="2"/>
  <c r="P99" i="2" s="1"/>
  <c r="AZ22" i="3"/>
  <c r="AZ30" i="3"/>
  <c r="AV33" i="3"/>
  <c r="AZ73" i="3"/>
  <c r="AV79" i="3"/>
  <c r="AV61" i="3"/>
  <c r="AV67" i="3"/>
  <c r="T62" i="4"/>
  <c r="T63" i="4" s="1"/>
  <c r="T73" i="4"/>
  <c r="P67" i="4"/>
  <c r="P76" i="4"/>
  <c r="P61" i="4"/>
  <c r="P79" i="4"/>
  <c r="AZ130" i="8"/>
  <c r="BD127" i="8"/>
  <c r="AV29" i="1"/>
  <c r="AV24" i="2"/>
  <c r="X30" i="2"/>
  <c r="T33" i="2"/>
  <c r="AV70" i="2"/>
  <c r="P80" i="2"/>
  <c r="P81" i="2" s="1"/>
  <c r="P100" i="2"/>
  <c r="P13" i="3"/>
  <c r="P14" i="3" s="1"/>
  <c r="P29" i="4"/>
  <c r="P78" i="5"/>
  <c r="T77" i="5"/>
  <c r="AZ31" i="8"/>
  <c r="AV25" i="8"/>
  <c r="AV19" i="8"/>
  <c r="AV37" i="8"/>
  <c r="AV34" i="8"/>
  <c r="X67" i="2"/>
  <c r="T70" i="2"/>
  <c r="AZ73" i="2"/>
  <c r="P62" i="2"/>
  <c r="P63" i="2" s="1"/>
  <c r="P66" i="2"/>
  <c r="T66" i="2"/>
  <c r="T97" i="3"/>
  <c r="P91" i="3"/>
  <c r="P100" i="3"/>
  <c r="X61" i="2"/>
  <c r="T64" i="2"/>
  <c r="P35" i="2"/>
  <c r="T59" i="5"/>
  <c r="P62" i="5"/>
  <c r="P63" i="5" s="1"/>
  <c r="P60" i="5"/>
  <c r="P91" i="2"/>
  <c r="T103" i="3"/>
  <c r="P106" i="3"/>
  <c r="AV33" i="2"/>
  <c r="X10" i="3"/>
  <c r="T13" i="3"/>
  <c r="T14" i="3" s="1"/>
  <c r="P27" i="3"/>
  <c r="P12" i="3"/>
  <c r="P18" i="3"/>
  <c r="P17" i="5"/>
  <c r="P19" i="5"/>
  <c r="P20" i="5" s="1"/>
  <c r="AZ30" i="2"/>
  <c r="P11" i="3"/>
  <c r="T24" i="3"/>
  <c r="P85" i="3"/>
  <c r="AV10" i="4"/>
  <c r="P33" i="4"/>
  <c r="T30" i="4"/>
  <c r="T16" i="5"/>
  <c r="AG63" i="7"/>
  <c r="AC59" i="7"/>
  <c r="AC60" i="7" s="1"/>
  <c r="AK62" i="7"/>
  <c r="P16" i="2"/>
  <c r="T28" i="2"/>
  <c r="P74" i="2"/>
  <c r="P75" i="2" s="1"/>
  <c r="P101" i="2"/>
  <c r="T11" i="3"/>
  <c r="AV72" i="3"/>
  <c r="AV77" i="3"/>
  <c r="AV65" i="3"/>
  <c r="AZ24" i="4"/>
  <c r="AV30" i="4"/>
  <c r="AV18" i="4"/>
  <c r="AV27" i="4"/>
  <c r="P89" i="2"/>
  <c r="AO24" i="12"/>
  <c r="AO18" i="12"/>
  <c r="AO15" i="12"/>
  <c r="T35" i="2"/>
  <c r="P60" i="2"/>
  <c r="AZ12" i="3"/>
  <c r="AZ12" i="4"/>
  <c r="AV15" i="4"/>
  <c r="AV23" i="3"/>
  <c r="AV10" i="3"/>
  <c r="AV16" i="3"/>
  <c r="AV28" i="3"/>
  <c r="AR31" i="1"/>
  <c r="AR32" i="1" s="1"/>
  <c r="BD28" i="2"/>
  <c r="AZ31" i="2"/>
  <c r="AZ32" i="2" s="1"/>
  <c r="AZ29" i="2"/>
  <c r="AZ72" i="2"/>
  <c r="AV62" i="3"/>
  <c r="AV63" i="3" s="1"/>
  <c r="AZ72" i="3"/>
  <c r="AZ74" i="3"/>
  <c r="AZ75" i="3" s="1"/>
  <c r="T78" i="4"/>
  <c r="X25" i="14"/>
  <c r="X26" i="14" s="1"/>
  <c r="X23" i="14"/>
  <c r="P77" i="13"/>
  <c r="P74" i="13"/>
  <c r="P75" i="13" s="1"/>
  <c r="P72" i="13"/>
  <c r="T71" i="13"/>
  <c r="T18" i="10"/>
  <c r="P19" i="10"/>
  <c r="P21" i="10"/>
  <c r="P22" i="10" s="1"/>
  <c r="P24" i="10"/>
  <c r="AB22" i="14"/>
  <c r="P10" i="1"/>
  <c r="P12" i="1"/>
  <c r="P16" i="1"/>
  <c r="P18" i="1"/>
  <c r="P30" i="1"/>
  <c r="AV28" i="5"/>
  <c r="AV23" i="5"/>
  <c r="AV25" i="5"/>
  <c r="AV26" i="5" s="1"/>
  <c r="AV16" i="5"/>
  <c r="AV10" i="5"/>
  <c r="AC23" i="7"/>
  <c r="AC24" i="7" s="1"/>
  <c r="AG27" i="7"/>
  <c r="AK26" i="7"/>
  <c r="T24" i="8"/>
  <c r="AZ113" i="8"/>
  <c r="AV114" i="8"/>
  <c r="AV116" i="8"/>
  <c r="AV117" i="8" s="1"/>
  <c r="X16" i="11"/>
  <c r="T17" i="11"/>
  <c r="T19" i="11"/>
  <c r="T20" i="11" s="1"/>
  <c r="P28" i="1"/>
  <c r="T18" i="4"/>
  <c r="T18" i="5"/>
  <c r="X23" i="8"/>
  <c r="BD67" i="8"/>
  <c r="P23" i="12"/>
  <c r="T22" i="12"/>
  <c r="P25" i="12"/>
  <c r="P26" i="12" s="1"/>
  <c r="P28" i="12"/>
  <c r="T13" i="5"/>
  <c r="T14" i="5" s="1"/>
  <c r="T11" i="5"/>
  <c r="T18" i="8"/>
  <c r="T20" i="8"/>
  <c r="T21" i="8" s="1"/>
  <c r="T30" i="8"/>
  <c r="T32" i="8"/>
  <c r="T33" i="8" s="1"/>
  <c r="X73" i="9"/>
  <c r="T76" i="9"/>
  <c r="T85" i="8"/>
  <c r="P88" i="8"/>
  <c r="AB128" i="8"/>
  <c r="AB129" i="8" s="1"/>
  <c r="AB126" i="8"/>
  <c r="AR10" i="1"/>
  <c r="AR12" i="1"/>
  <c r="AR16" i="1"/>
  <c r="AR18" i="1"/>
  <c r="AR30" i="1"/>
  <c r="AV31" i="2"/>
  <c r="AV32" i="2" s="1"/>
  <c r="P33" i="2"/>
  <c r="AV34" i="2"/>
  <c r="P36" i="2"/>
  <c r="AV62" i="2"/>
  <c r="AV63" i="2" s="1"/>
  <c r="P64" i="2"/>
  <c r="AV68" i="2"/>
  <c r="AV69" i="2" s="1"/>
  <c r="AV74" i="2"/>
  <c r="AV75" i="2" s="1"/>
  <c r="P76" i="2"/>
  <c r="AV77" i="2"/>
  <c r="P79" i="2"/>
  <c r="X13" i="5"/>
  <c r="X14" i="5" s="1"/>
  <c r="X11" i="5"/>
  <c r="AV21" i="5"/>
  <c r="AZ18" i="5"/>
  <c r="AK55" i="7"/>
  <c r="AG55" i="7"/>
  <c r="X20" i="8"/>
  <c r="X21" i="8" s="1"/>
  <c r="X18" i="8"/>
  <c r="X32" i="8"/>
  <c r="X33" i="8" s="1"/>
  <c r="X30" i="8"/>
  <c r="AB29" i="8"/>
  <c r="AV70" i="8"/>
  <c r="AV22" i="1"/>
  <c r="AV16" i="2"/>
  <c r="T71" i="8"/>
  <c r="P65" i="8"/>
  <c r="P59" i="8"/>
  <c r="P77" i="8"/>
  <c r="P72" i="8"/>
  <c r="P74" i="8"/>
  <c r="P75" i="8" s="1"/>
  <c r="AZ77" i="8"/>
  <c r="AV78" i="8"/>
  <c r="AZ19" i="9"/>
  <c r="AV22" i="9"/>
  <c r="X71" i="3"/>
  <c r="T72" i="3"/>
  <c r="P78" i="3"/>
  <c r="T101" i="3"/>
  <c r="X74" i="4"/>
  <c r="X75" i="4" s="1"/>
  <c r="AB71" i="4"/>
  <c r="AV20" i="8"/>
  <c r="AV21" i="8" s="1"/>
  <c r="AV18" i="8"/>
  <c r="AZ17" i="8"/>
  <c r="AB122" i="8"/>
  <c r="AB123" i="8" s="1"/>
  <c r="T29" i="9"/>
  <c r="P32" i="9"/>
  <c r="P33" i="9" s="1"/>
  <c r="P30" i="9"/>
  <c r="P28" i="3"/>
  <c r="P23" i="3"/>
  <c r="AZ27" i="5"/>
  <c r="BD24" i="5"/>
  <c r="BD27" i="5" s="1"/>
  <c r="AK19" i="7"/>
  <c r="AG19" i="7"/>
  <c r="X131" i="8"/>
  <c r="T134" i="8"/>
  <c r="T135" i="8" s="1"/>
  <c r="T132" i="8"/>
  <c r="BD133" i="8"/>
  <c r="AZ136" i="8"/>
  <c r="P13" i="5"/>
  <c r="P14" i="5" s="1"/>
  <c r="P11" i="5"/>
  <c r="P72" i="5"/>
  <c r="T71" i="5"/>
  <c r="P65" i="5"/>
  <c r="BD61" i="8"/>
  <c r="P18" i="12"/>
  <c r="P24" i="12"/>
  <c r="T12" i="12"/>
  <c r="T15" i="12" s="1"/>
  <c r="P15" i="12"/>
  <c r="AV74" i="8"/>
  <c r="AV75" i="8" s="1"/>
  <c r="AV72" i="8"/>
  <c r="AZ115" i="8"/>
  <c r="AV118" i="8"/>
  <c r="T28" i="9"/>
  <c r="X25" i="9"/>
  <c r="P73" i="10"/>
  <c r="T67" i="10"/>
  <c r="T70" i="10" s="1"/>
  <c r="P70" i="5"/>
  <c r="AZ23" i="8"/>
  <c r="AV35" i="8"/>
  <c r="AV59" i="8"/>
  <c r="AV65" i="8"/>
  <c r="AZ71" i="8"/>
  <c r="T95" i="8"/>
  <c r="P98" i="8"/>
  <c r="P99" i="8" s="1"/>
  <c r="P89" i="8"/>
  <c r="T101" i="8"/>
  <c r="T122" i="8"/>
  <c r="T123" i="8" s="1"/>
  <c r="AZ25" i="9"/>
  <c r="AV13" i="9"/>
  <c r="AV31" i="9"/>
  <c r="P26" i="10"/>
  <c r="T20" i="10"/>
  <c r="T23" i="10" s="1"/>
  <c r="P70" i="12"/>
  <c r="T67" i="12"/>
  <c r="T70" i="12" s="1"/>
  <c r="AG15" i="7"/>
  <c r="AC11" i="7"/>
  <c r="AC12" i="7" s="1"/>
  <c r="AK14" i="7"/>
  <c r="AC51" i="7"/>
  <c r="AG50" i="7"/>
  <c r="BD29" i="8"/>
  <c r="AZ30" i="8"/>
  <c r="X122" i="8"/>
  <c r="X123" i="8" s="1"/>
  <c r="X120" i="8"/>
  <c r="AZ121" i="8"/>
  <c r="AV124" i="8"/>
  <c r="P132" i="8"/>
  <c r="P134" i="8"/>
  <c r="P135" i="8" s="1"/>
  <c r="AO73" i="10"/>
  <c r="AS67" i="10"/>
  <c r="AS70" i="10" s="1"/>
  <c r="P70" i="10"/>
  <c r="P74" i="3"/>
  <c r="P75" i="3" s="1"/>
  <c r="P98" i="3"/>
  <c r="P99" i="3" s="1"/>
  <c r="P25" i="4"/>
  <c r="P26" i="4" s="1"/>
  <c r="P74" i="4"/>
  <c r="P75" i="4" s="1"/>
  <c r="AG39" i="7"/>
  <c r="AK45" i="7"/>
  <c r="AG41" i="7"/>
  <c r="AG42" i="7" s="1"/>
  <c r="P19" i="8"/>
  <c r="AV30" i="8"/>
  <c r="AV79" i="8"/>
  <c r="P83" i="8"/>
  <c r="P96" i="8"/>
  <c r="P103" i="8"/>
  <c r="P72" i="12"/>
  <c r="P77" i="12"/>
  <c r="T71" i="12"/>
  <c r="T73" i="8"/>
  <c r="P79" i="8"/>
  <c r="P104" i="8"/>
  <c r="P105" i="8" s="1"/>
  <c r="BD125" i="8"/>
  <c r="AZ128" i="8"/>
  <c r="AZ129" i="8" s="1"/>
  <c r="AZ126" i="8"/>
  <c r="BH131" i="8"/>
  <c r="AV11" i="14"/>
  <c r="AV13" i="14"/>
  <c r="AV14" i="14" s="1"/>
  <c r="AZ10" i="14"/>
  <c r="X15" i="6"/>
  <c r="T25" i="8"/>
  <c r="P37" i="8"/>
  <c r="P61" i="8"/>
  <c r="P67" i="8"/>
  <c r="AV76" i="8"/>
  <c r="X31" i="8"/>
  <c r="T34" i="8"/>
  <c r="T19" i="9"/>
  <c r="P22" i="9"/>
  <c r="AO64" i="13"/>
  <c r="AO67" i="13"/>
  <c r="AO73" i="13"/>
  <c r="AS61" i="13"/>
  <c r="AS64" i="13" s="1"/>
  <c r="P15" i="14"/>
  <c r="T12" i="14"/>
  <c r="AZ24" i="9"/>
  <c r="BD23" i="9"/>
  <c r="T34" i="9"/>
  <c r="X31" i="9"/>
  <c r="T62" i="13"/>
  <c r="T63" i="13" s="1"/>
  <c r="T60" i="13"/>
  <c r="AZ134" i="8"/>
  <c r="AZ135" i="8" s="1"/>
  <c r="T17" i="9"/>
  <c r="P18" i="9"/>
  <c r="T71" i="9"/>
  <c r="P74" i="9"/>
  <c r="P75" i="9" s="1"/>
  <c r="P65" i="9"/>
  <c r="P59" i="9"/>
  <c r="P77" i="9"/>
  <c r="T59" i="10"/>
  <c r="P62" i="10"/>
  <c r="P63" i="10" s="1"/>
  <c r="P65" i="10"/>
  <c r="P60" i="10"/>
  <c r="AV10" i="11"/>
  <c r="AZ16" i="11"/>
  <c r="P72" i="9"/>
  <c r="AV17" i="11"/>
  <c r="P73" i="12"/>
  <c r="P64" i="12"/>
  <c r="T61" i="12"/>
  <c r="T64" i="12" s="1"/>
  <c r="BD21" i="14"/>
  <c r="T116" i="8"/>
  <c r="T117" i="8" s="1"/>
  <c r="AB127" i="8"/>
  <c r="AB130" i="8" s="1"/>
  <c r="X130" i="8"/>
  <c r="P13" i="9"/>
  <c r="P28" i="9"/>
  <c r="T23" i="9"/>
  <c r="P24" i="9"/>
  <c r="P17" i="12"/>
  <c r="T16" i="12"/>
  <c r="AV26" i="9"/>
  <c r="AV27" i="9" s="1"/>
  <c r="AV29" i="9"/>
  <c r="AV24" i="9"/>
  <c r="AV11" i="9"/>
  <c r="AV17" i="9"/>
  <c r="AT19" i="10"/>
  <c r="AT24" i="10"/>
  <c r="AP30" i="10"/>
  <c r="AO65" i="10"/>
  <c r="AO60" i="10"/>
  <c r="P12" i="11"/>
  <c r="AS11" i="12"/>
  <c r="P76" i="13"/>
  <c r="AB16" i="14"/>
  <c r="X10" i="14"/>
  <c r="T13" i="14"/>
  <c r="T14" i="14" s="1"/>
  <c r="AO77" i="13"/>
  <c r="AO74" i="13"/>
  <c r="AO75" i="13" s="1"/>
  <c r="T13" i="12"/>
  <c r="T14" i="12" s="1"/>
  <c r="BD19" i="14"/>
  <c r="BD20" i="14" s="1"/>
  <c r="BD17" i="14"/>
  <c r="AV128" i="8"/>
  <c r="AV129" i="8" s="1"/>
  <c r="P130" i="8"/>
  <c r="X10" i="11"/>
  <c r="AO28" i="12"/>
  <c r="AO25" i="12"/>
  <c r="AO26" i="12" s="1"/>
  <c r="AO23" i="12"/>
  <c r="P67" i="13"/>
  <c r="BH16" i="14"/>
  <c r="P65" i="12"/>
  <c r="T59" i="12"/>
  <c r="P62" i="13"/>
  <c r="P63" i="13" s="1"/>
  <c r="P65" i="13"/>
  <c r="AO13" i="12"/>
  <c r="AO14" i="12" s="1"/>
  <c r="AO16" i="12"/>
  <c r="AO62" i="13"/>
  <c r="AO63" i="13" s="1"/>
  <c r="AO65" i="13"/>
  <c r="X23" i="18" l="1"/>
  <c r="AB22" i="18"/>
  <c r="X25" i="18"/>
  <c r="X26" i="18" s="1"/>
  <c r="X12" i="18"/>
  <c r="T15" i="18"/>
  <c r="T13" i="18"/>
  <c r="T14" i="18" s="1"/>
  <c r="T11" i="18"/>
  <c r="X10" i="18"/>
  <c r="AB16" i="18"/>
  <c r="X19" i="18"/>
  <c r="X20" i="18" s="1"/>
  <c r="X17" i="18"/>
  <c r="AB18" i="18"/>
  <c r="AB21" i="18" s="1"/>
  <c r="X21" i="18"/>
  <c r="P33" i="13"/>
  <c r="T30" i="13"/>
  <c r="T33" i="13" s="1"/>
  <c r="AS72" i="13"/>
  <c r="T28" i="13"/>
  <c r="P29" i="13"/>
  <c r="P31" i="13"/>
  <c r="P32" i="13" s="1"/>
  <c r="T19" i="13"/>
  <c r="T20" i="13" s="1"/>
  <c r="T17" i="13"/>
  <c r="T25" i="13"/>
  <c r="T26" i="13" s="1"/>
  <c r="T23" i="13"/>
  <c r="T14" i="9"/>
  <c r="T15" i="9" s="1"/>
  <c r="T12" i="9"/>
  <c r="T70" i="9"/>
  <c r="T64" i="9"/>
  <c r="AB91" i="8"/>
  <c r="AB94" i="8" s="1"/>
  <c r="BD132" i="8"/>
  <c r="X121" i="8"/>
  <c r="BD76" i="8"/>
  <c r="AK49" i="7"/>
  <c r="AG29" i="7"/>
  <c r="AG30" i="7" s="1"/>
  <c r="AK29" i="7"/>
  <c r="AK30" i="7" s="1"/>
  <c r="AG43" i="7"/>
  <c r="AG31" i="7"/>
  <c r="AK39" i="7"/>
  <c r="AK35" i="7"/>
  <c r="AK36" i="7" s="1"/>
  <c r="X14" i="6"/>
  <c r="AZ21" i="17"/>
  <c r="BD18" i="17"/>
  <c r="BH22" i="17"/>
  <c r="BD25" i="17"/>
  <c r="BD26" i="17" s="1"/>
  <c r="BD23" i="17"/>
  <c r="BH13" i="17"/>
  <c r="BH14" i="17" s="1"/>
  <c r="BH11" i="17"/>
  <c r="AB22" i="17"/>
  <c r="X25" i="17"/>
  <c r="X26" i="17" s="1"/>
  <c r="X23" i="17"/>
  <c r="T11" i="17"/>
  <c r="X10" i="17"/>
  <c r="T13" i="17"/>
  <c r="T14" i="17" s="1"/>
  <c r="AB19" i="17"/>
  <c r="AB20" i="17" s="1"/>
  <c r="AB17" i="17"/>
  <c r="AB24" i="17"/>
  <c r="AB27" i="17" s="1"/>
  <c r="X27" i="17"/>
  <c r="X21" i="17"/>
  <c r="AB18" i="17"/>
  <c r="AB21" i="17" s="1"/>
  <c r="AB28" i="17"/>
  <c r="X31" i="17"/>
  <c r="X32" i="17" s="1"/>
  <c r="X29" i="17"/>
  <c r="BH28" i="17"/>
  <c r="BD31" i="17"/>
  <c r="BD32" i="17" s="1"/>
  <c r="BD29" i="17"/>
  <c r="BD17" i="17"/>
  <c r="BD19" i="17"/>
  <c r="BD20" i="17" s="1"/>
  <c r="BH16" i="17"/>
  <c r="AB12" i="17"/>
  <c r="AB15" i="17" s="1"/>
  <c r="X15" i="17"/>
  <c r="X22" i="5"/>
  <c r="T23" i="5"/>
  <c r="P31" i="5"/>
  <c r="P32" i="5" s="1"/>
  <c r="T28" i="5"/>
  <c r="T29" i="5" s="1"/>
  <c r="T82" i="5"/>
  <c r="BD30" i="5"/>
  <c r="BD33" i="5" s="1"/>
  <c r="T64" i="5"/>
  <c r="T19" i="16"/>
  <c r="T20" i="16" s="1"/>
  <c r="X16" i="16"/>
  <c r="T62" i="16"/>
  <c r="T63" i="16" s="1"/>
  <c r="X59" i="16"/>
  <c r="X60" i="16" s="1"/>
  <c r="AZ15" i="16"/>
  <c r="X18" i="16"/>
  <c r="X21" i="16" s="1"/>
  <c r="BD60" i="16"/>
  <c r="BD18" i="16"/>
  <c r="BD21" i="16" s="1"/>
  <c r="AZ21" i="16"/>
  <c r="X67" i="16"/>
  <c r="X70" i="16" s="1"/>
  <c r="T70" i="16"/>
  <c r="X23" i="16"/>
  <c r="BD67" i="16"/>
  <c r="BD70" i="16" s="1"/>
  <c r="AZ70" i="16"/>
  <c r="BD66" i="16"/>
  <c r="BD68" i="16"/>
  <c r="BD69" i="16" s="1"/>
  <c r="BD25" i="16"/>
  <c r="BD26" i="16" s="1"/>
  <c r="BD23" i="16"/>
  <c r="X17" i="16"/>
  <c r="X19" i="16"/>
  <c r="X20" i="16" s="1"/>
  <c r="X31" i="16"/>
  <c r="X32" i="16" s="1"/>
  <c r="X29" i="16"/>
  <c r="T82" i="16"/>
  <c r="X79" i="16"/>
  <c r="X82" i="16" s="1"/>
  <c r="AZ19" i="16"/>
  <c r="AZ20" i="16" s="1"/>
  <c r="BD16" i="16"/>
  <c r="AZ17" i="16"/>
  <c r="X62" i="16"/>
  <c r="X63" i="16" s="1"/>
  <c r="BD77" i="16"/>
  <c r="AZ78" i="16"/>
  <c r="AZ80" i="16"/>
  <c r="AZ81" i="16" s="1"/>
  <c r="T64" i="16"/>
  <c r="X61" i="16"/>
  <c r="X64" i="16" s="1"/>
  <c r="X12" i="16"/>
  <c r="X15" i="16" s="1"/>
  <c r="T15" i="16"/>
  <c r="AZ29" i="16"/>
  <c r="AZ31" i="16"/>
  <c r="AZ32" i="16" s="1"/>
  <c r="BD28" i="16"/>
  <c r="AZ82" i="16"/>
  <c r="BD79" i="16"/>
  <c r="BD82" i="16" s="1"/>
  <c r="X30" i="16"/>
  <c r="X33" i="16" s="1"/>
  <c r="T33" i="16"/>
  <c r="BD11" i="16"/>
  <c r="BD13" i="16"/>
  <c r="BD14" i="16" s="1"/>
  <c r="BD61" i="16"/>
  <c r="BD64" i="16" s="1"/>
  <c r="AZ64" i="16"/>
  <c r="X74" i="16"/>
  <c r="X75" i="16" s="1"/>
  <c r="X72" i="16"/>
  <c r="T66" i="16"/>
  <c r="T68" i="16"/>
  <c r="T69" i="16" s="1"/>
  <c r="X65" i="16"/>
  <c r="BD74" i="16"/>
  <c r="BD75" i="16" s="1"/>
  <c r="BD72" i="16"/>
  <c r="X80" i="16"/>
  <c r="X81" i="16" s="1"/>
  <c r="X78" i="16"/>
  <c r="T60" i="4"/>
  <c r="X77" i="4"/>
  <c r="T21" i="2"/>
  <c r="P25" i="2"/>
  <c r="P26" i="2" s="1"/>
  <c r="AZ60" i="2"/>
  <c r="P70" i="2"/>
  <c r="P37" i="2"/>
  <c r="P38" i="2" s="1"/>
  <c r="T68" i="3"/>
  <c r="T69" i="3" s="1"/>
  <c r="T66" i="3"/>
  <c r="T62" i="3"/>
  <c r="T63" i="3" s="1"/>
  <c r="T78" i="3"/>
  <c r="X77" i="3"/>
  <c r="X80" i="3" s="1"/>
  <c r="X81" i="3" s="1"/>
  <c r="T60" i="3"/>
  <c r="AB89" i="3"/>
  <c r="AB90" i="3" s="1"/>
  <c r="P23" i="2"/>
  <c r="T78" i="2"/>
  <c r="AV60" i="2"/>
  <c r="X22" i="2"/>
  <c r="AB22" i="2" s="1"/>
  <c r="T74" i="2"/>
  <c r="T75" i="2" s="1"/>
  <c r="T25" i="2"/>
  <c r="T26" i="2" s="1"/>
  <c r="X71" i="2"/>
  <c r="X72" i="2" s="1"/>
  <c r="T68" i="2"/>
  <c r="T69" i="2" s="1"/>
  <c r="P27" i="2"/>
  <c r="T27" i="2"/>
  <c r="AV21" i="2"/>
  <c r="AZ22" i="2"/>
  <c r="AV23" i="2"/>
  <c r="AV25" i="2"/>
  <c r="AV26" i="2" s="1"/>
  <c r="X77" i="2"/>
  <c r="AB77" i="2" s="1"/>
  <c r="AZ21" i="2"/>
  <c r="P21" i="2"/>
  <c r="AZ74" i="2"/>
  <c r="AZ75" i="2" s="1"/>
  <c r="P78" i="2"/>
  <c r="T27" i="1"/>
  <c r="X67" i="3"/>
  <c r="X70" i="3" s="1"/>
  <c r="X90" i="3"/>
  <c r="AB61" i="3"/>
  <c r="AB64" i="3" s="1"/>
  <c r="T90" i="3"/>
  <c r="X79" i="3"/>
  <c r="AB79" i="3" s="1"/>
  <c r="AB82" i="3" s="1"/>
  <c r="X22" i="1"/>
  <c r="T25" i="1"/>
  <c r="T26" i="1" s="1"/>
  <c r="T11" i="4"/>
  <c r="T17" i="4"/>
  <c r="X10" i="4"/>
  <c r="X13" i="4" s="1"/>
  <c r="X14" i="4" s="1"/>
  <c r="T19" i="4"/>
  <c r="T20" i="4" s="1"/>
  <c r="AB24" i="4"/>
  <c r="AB27" i="4" s="1"/>
  <c r="W16" i="15"/>
  <c r="W17" i="15" s="1"/>
  <c r="S16" i="15"/>
  <c r="S17" i="15" s="1"/>
  <c r="W20" i="15"/>
  <c r="W10" i="15"/>
  <c r="W11" i="15" s="1"/>
  <c r="W14" i="15"/>
  <c r="S10" i="15"/>
  <c r="S11" i="15" s="1"/>
  <c r="BD22" i="11"/>
  <c r="X10" i="6"/>
  <c r="X11" i="6" s="1"/>
  <c r="T92" i="3"/>
  <c r="T93" i="3" s="1"/>
  <c r="BD24" i="14"/>
  <c r="AZ27" i="14"/>
  <c r="BD12" i="14"/>
  <c r="AZ15" i="14"/>
  <c r="BD22" i="14"/>
  <c r="AZ23" i="14"/>
  <c r="X24" i="14"/>
  <c r="T27" i="14"/>
  <c r="X17" i="14"/>
  <c r="AZ23" i="11"/>
  <c r="AV23" i="11"/>
  <c r="AZ21" i="11"/>
  <c r="X24" i="11"/>
  <c r="AB24" i="11" s="1"/>
  <c r="AB27" i="11" s="1"/>
  <c r="T21" i="11"/>
  <c r="AZ12" i="11"/>
  <c r="AZ15" i="11" s="1"/>
  <c r="AV27" i="11"/>
  <c r="AV25" i="11"/>
  <c r="AV26" i="11" s="1"/>
  <c r="X22" i="11"/>
  <c r="T25" i="11"/>
  <c r="T26" i="11" s="1"/>
  <c r="AZ132" i="8"/>
  <c r="AZ122" i="8"/>
  <c r="AZ123" i="8" s="1"/>
  <c r="BD119" i="8"/>
  <c r="AZ120" i="8"/>
  <c r="X133" i="8"/>
  <c r="X136" i="8" s="1"/>
  <c r="X115" i="8"/>
  <c r="T118" i="8"/>
  <c r="AB113" i="8"/>
  <c r="X114" i="8"/>
  <c r="T120" i="8"/>
  <c r="AB97" i="8"/>
  <c r="AB100" i="8" s="1"/>
  <c r="X100" i="8"/>
  <c r="X35" i="8"/>
  <c r="X38" i="8" s="1"/>
  <c r="X39" i="8" s="1"/>
  <c r="T38" i="8"/>
  <c r="T39" i="8" s="1"/>
  <c r="AK53" i="7"/>
  <c r="AK54" i="7" s="1"/>
  <c r="AK57" i="7"/>
  <c r="AG53" i="7"/>
  <c r="AG54" i="7" s="1"/>
  <c r="AK37" i="7"/>
  <c r="AG37" i="7"/>
  <c r="AK17" i="7"/>
  <c r="AK18" i="7" s="1"/>
  <c r="AK21" i="7"/>
  <c r="AG17" i="7"/>
  <c r="AG18" i="7" s="1"/>
  <c r="X12" i="5"/>
  <c r="X15" i="5" s="1"/>
  <c r="X65" i="4"/>
  <c r="T68" i="4"/>
  <c r="T69" i="4" s="1"/>
  <c r="T66" i="4"/>
  <c r="T15" i="4"/>
  <c r="X12" i="4"/>
  <c r="AB92" i="3"/>
  <c r="AB93" i="3" s="1"/>
  <c r="X83" i="3"/>
  <c r="T84" i="3"/>
  <c r="AB96" i="3"/>
  <c r="AB98" i="3"/>
  <c r="AB99" i="3" s="1"/>
  <c r="BD27" i="3"/>
  <c r="BH24" i="3"/>
  <c r="BH27" i="3" s="1"/>
  <c r="BD18" i="3"/>
  <c r="AZ21" i="3"/>
  <c r="AZ79" i="2"/>
  <c r="AV82" i="2"/>
  <c r="P68" i="2"/>
  <c r="P69" i="2" s="1"/>
  <c r="AZ24" i="1"/>
  <c r="AZ27" i="1" s="1"/>
  <c r="AV27" i="1"/>
  <c r="P62" i="8"/>
  <c r="P63" i="8" s="1"/>
  <c r="P60" i="8"/>
  <c r="T59" i="8"/>
  <c r="AZ16" i="2"/>
  <c r="AV19" i="2"/>
  <c r="AV20" i="2" s="1"/>
  <c r="AV17" i="2"/>
  <c r="AB34" i="2"/>
  <c r="X37" i="2"/>
  <c r="X38" i="2" s="1"/>
  <c r="X35" i="2"/>
  <c r="AZ124" i="8"/>
  <c r="BD121" i="8"/>
  <c r="X27" i="2"/>
  <c r="AB24" i="2"/>
  <c r="AB27" i="2" s="1"/>
  <c r="AV78" i="3"/>
  <c r="AV80" i="3"/>
  <c r="AV81" i="3" s="1"/>
  <c r="AZ77" i="3"/>
  <c r="T89" i="8"/>
  <c r="P90" i="8"/>
  <c r="P92" i="8"/>
  <c r="P93" i="8" s="1"/>
  <c r="AB73" i="9"/>
  <c r="AB76" i="9" s="1"/>
  <c r="X76" i="9"/>
  <c r="AG23" i="7"/>
  <c r="AG24" i="7" s="1"/>
  <c r="AK27" i="7"/>
  <c r="AK23" i="7"/>
  <c r="AK24" i="7" s="1"/>
  <c r="BH23" i="9"/>
  <c r="BD26" i="9"/>
  <c r="BD27" i="9" s="1"/>
  <c r="BD24" i="9"/>
  <c r="P40" i="8"/>
  <c r="T37" i="8"/>
  <c r="BD126" i="8"/>
  <c r="BD128" i="8"/>
  <c r="BD129" i="8" s="1"/>
  <c r="BH125" i="8"/>
  <c r="X62" i="3"/>
  <c r="X63" i="3" s="1"/>
  <c r="X60" i="3"/>
  <c r="AB59" i="3"/>
  <c r="BD64" i="8"/>
  <c r="BH61" i="8"/>
  <c r="BH64" i="8" s="1"/>
  <c r="T33" i="3"/>
  <c r="X30" i="3"/>
  <c r="P68" i="8"/>
  <c r="P69" i="8" s="1"/>
  <c r="P66" i="8"/>
  <c r="T65" i="8"/>
  <c r="AZ22" i="1"/>
  <c r="AV23" i="1"/>
  <c r="AV25" i="1"/>
  <c r="AV26" i="1" s="1"/>
  <c r="AV30" i="1"/>
  <c r="AR33" i="1"/>
  <c r="AZ64" i="2"/>
  <c r="BD61" i="2"/>
  <c r="AB31" i="9"/>
  <c r="AB34" i="9" s="1"/>
  <c r="X34" i="9"/>
  <c r="T72" i="8"/>
  <c r="T74" i="8"/>
  <c r="T75" i="8" s="1"/>
  <c r="X71" i="8"/>
  <c r="BD23" i="11"/>
  <c r="BH22" i="11"/>
  <c r="BD25" i="11"/>
  <c r="BD26" i="11" s="1"/>
  <c r="AO27" i="12"/>
  <c r="AO30" i="12"/>
  <c r="AS24" i="12"/>
  <c r="AS27" i="12" s="1"/>
  <c r="AZ21" i="5"/>
  <c r="BD18" i="5"/>
  <c r="BD21" i="5" s="1"/>
  <c r="T21" i="4"/>
  <c r="X18" i="4"/>
  <c r="T21" i="10"/>
  <c r="T22" i="10" s="1"/>
  <c r="T19" i="10"/>
  <c r="AV29" i="3"/>
  <c r="AV31" i="3"/>
  <c r="AV32" i="3" s="1"/>
  <c r="AZ28" i="3"/>
  <c r="X68" i="3"/>
  <c r="X69" i="3" s="1"/>
  <c r="X66" i="3"/>
  <c r="AB65" i="3"/>
  <c r="AB59" i="2"/>
  <c r="X62" i="2"/>
  <c r="X63" i="2" s="1"/>
  <c r="X60" i="2"/>
  <c r="T59" i="9"/>
  <c r="P60" i="9"/>
  <c r="P62" i="9"/>
  <c r="P63" i="9" s="1"/>
  <c r="AV12" i="1"/>
  <c r="AR15" i="1"/>
  <c r="P31" i="12"/>
  <c r="P32" i="12" s="1"/>
  <c r="P29" i="12"/>
  <c r="T28" i="12"/>
  <c r="AZ16" i="3"/>
  <c r="AV19" i="3"/>
  <c r="AV20" i="3" s="1"/>
  <c r="AV17" i="3"/>
  <c r="AV11" i="4"/>
  <c r="AV13" i="4"/>
  <c r="AV14" i="4" s="1"/>
  <c r="AZ10" i="4"/>
  <c r="T18" i="3"/>
  <c r="P21" i="3"/>
  <c r="T61" i="4"/>
  <c r="P64" i="4"/>
  <c r="P88" i="2"/>
  <c r="T85" i="2"/>
  <c r="T106" i="2"/>
  <c r="X103" i="2"/>
  <c r="AO68" i="13"/>
  <c r="AO69" i="13" s="1"/>
  <c r="AO66" i="13"/>
  <c r="AS65" i="13"/>
  <c r="BD24" i="4"/>
  <c r="AZ27" i="4"/>
  <c r="BH127" i="8"/>
  <c r="BH130" i="8" s="1"/>
  <c r="BD130" i="8"/>
  <c r="BD62" i="2"/>
  <c r="BD63" i="2" s="1"/>
  <c r="BD60" i="2"/>
  <c r="BH59" i="2"/>
  <c r="T12" i="11"/>
  <c r="P15" i="11"/>
  <c r="P68" i="5"/>
  <c r="P69" i="5" s="1"/>
  <c r="P66" i="5"/>
  <c r="T65" i="5"/>
  <c r="AS18" i="12"/>
  <c r="AS21" i="12" s="1"/>
  <c r="AO21" i="12"/>
  <c r="T72" i="5"/>
  <c r="X71" i="5"/>
  <c r="T74" i="5"/>
  <c r="T75" i="5" s="1"/>
  <c r="T91" i="2"/>
  <c r="P94" i="2"/>
  <c r="T91" i="3"/>
  <c r="P94" i="3"/>
  <c r="AB65" i="2"/>
  <c r="X68" i="2"/>
  <c r="X69" i="2" s="1"/>
  <c r="X66" i="2"/>
  <c r="AO68" i="10"/>
  <c r="AO69" i="10" s="1"/>
  <c r="AO71" i="10"/>
  <c r="AS65" i="10"/>
  <c r="AO66" i="10"/>
  <c r="T22" i="9"/>
  <c r="X19" i="9"/>
  <c r="X36" i="8"/>
  <c r="AB35" i="8"/>
  <c r="AV16" i="1"/>
  <c r="AR19" i="1"/>
  <c r="AR20" i="1" s="1"/>
  <c r="AR17" i="1"/>
  <c r="P90" i="2"/>
  <c r="T89" i="2"/>
  <c r="P92" i="2"/>
  <c r="P93" i="2" s="1"/>
  <c r="X97" i="3"/>
  <c r="T100" i="3"/>
  <c r="T79" i="4"/>
  <c r="P82" i="4"/>
  <c r="AZ79" i="3"/>
  <c r="AV82" i="3"/>
  <c r="BD22" i="4"/>
  <c r="AZ23" i="4"/>
  <c r="AZ25" i="4"/>
  <c r="AZ26" i="4" s="1"/>
  <c r="X97" i="2"/>
  <c r="T100" i="2"/>
  <c r="BH18" i="2"/>
  <c r="BH21" i="2" s="1"/>
  <c r="BD21" i="2"/>
  <c r="AO19" i="12"/>
  <c r="AO20" i="12" s="1"/>
  <c r="AO17" i="12"/>
  <c r="AS16" i="12"/>
  <c r="BH19" i="14"/>
  <c r="BH20" i="14" s="1"/>
  <c r="BH17" i="14"/>
  <c r="AP31" i="10"/>
  <c r="AP33" i="10"/>
  <c r="AP34" i="10" s="1"/>
  <c r="AT30" i="10"/>
  <c r="AB18" i="11"/>
  <c r="AB21" i="11" s="1"/>
  <c r="X21" i="11"/>
  <c r="BD73" i="2"/>
  <c r="AZ76" i="2"/>
  <c r="BD73" i="3"/>
  <c r="AZ76" i="3"/>
  <c r="P70" i="13"/>
  <c r="T67" i="13"/>
  <c r="T70" i="13" s="1"/>
  <c r="AT25" i="10"/>
  <c r="AT27" i="10"/>
  <c r="AT28" i="10" s="1"/>
  <c r="T65" i="9"/>
  <c r="P68" i="9"/>
  <c r="P69" i="9" s="1"/>
  <c r="P66" i="9"/>
  <c r="X25" i="8"/>
  <c r="T28" i="8"/>
  <c r="P84" i="8"/>
  <c r="T83" i="8"/>
  <c r="P86" i="8"/>
  <c r="P87" i="8" s="1"/>
  <c r="T98" i="8"/>
  <c r="T99" i="8" s="1"/>
  <c r="T96" i="8"/>
  <c r="X95" i="8"/>
  <c r="T32" i="9"/>
  <c r="T33" i="9" s="1"/>
  <c r="X29" i="9"/>
  <c r="T30" i="9"/>
  <c r="AB74" i="4"/>
  <c r="AB75" i="4" s="1"/>
  <c r="AB72" i="4"/>
  <c r="AV10" i="1"/>
  <c r="AR11" i="1"/>
  <c r="AR13" i="1"/>
  <c r="AR14" i="1" s="1"/>
  <c r="T28" i="1"/>
  <c r="P31" i="1"/>
  <c r="P32" i="1" s="1"/>
  <c r="P29" i="1"/>
  <c r="AZ10" i="3"/>
  <c r="AV13" i="3"/>
  <c r="AV14" i="3" s="1"/>
  <c r="AV11" i="3"/>
  <c r="P102" i="2"/>
  <c r="T101" i="2"/>
  <c r="P104" i="2"/>
  <c r="P105" i="2" s="1"/>
  <c r="T85" i="3"/>
  <c r="P88" i="3"/>
  <c r="T12" i="3"/>
  <c r="P15" i="3"/>
  <c r="T62" i="5"/>
  <c r="T63" i="5" s="1"/>
  <c r="T60" i="5"/>
  <c r="X59" i="5"/>
  <c r="AV17" i="4"/>
  <c r="AZ16" i="4"/>
  <c r="AV19" i="4"/>
  <c r="AV20" i="4" s="1"/>
  <c r="BD24" i="11"/>
  <c r="AZ27" i="11"/>
  <c r="AP35" i="10"/>
  <c r="AT32" i="10"/>
  <c r="AT35" i="10" s="1"/>
  <c r="P68" i="13"/>
  <c r="P69" i="13" s="1"/>
  <c r="P66" i="13"/>
  <c r="T65" i="13"/>
  <c r="P79" i="12"/>
  <c r="P76" i="12"/>
  <c r="T73" i="12"/>
  <c r="T76" i="12" s="1"/>
  <c r="X12" i="14"/>
  <c r="T15" i="14"/>
  <c r="X12" i="6"/>
  <c r="T12" i="6"/>
  <c r="T79" i="8"/>
  <c r="P82" i="8"/>
  <c r="AZ79" i="8"/>
  <c r="AV82" i="8"/>
  <c r="BH29" i="8"/>
  <c r="BD32" i="8"/>
  <c r="BD33" i="8" s="1"/>
  <c r="BD30" i="8"/>
  <c r="P29" i="10"/>
  <c r="P32" i="10"/>
  <c r="T26" i="10"/>
  <c r="T29" i="10" s="1"/>
  <c r="BD71" i="8"/>
  <c r="AZ74" i="8"/>
  <c r="AZ75" i="8" s="1"/>
  <c r="AZ72" i="8"/>
  <c r="P76" i="10"/>
  <c r="T73" i="10"/>
  <c r="T76" i="10" s="1"/>
  <c r="AZ22" i="9"/>
  <c r="BD19" i="9"/>
  <c r="AB30" i="8"/>
  <c r="AB32" i="8"/>
  <c r="AB33" i="8" s="1"/>
  <c r="T36" i="2"/>
  <c r="P39" i="2"/>
  <c r="T23" i="12"/>
  <c r="T25" i="12"/>
  <c r="T26" i="12" s="1"/>
  <c r="AV13" i="5"/>
  <c r="AV14" i="5" s="1"/>
  <c r="AV11" i="5"/>
  <c r="AZ10" i="5"/>
  <c r="T30" i="1"/>
  <c r="P33" i="1"/>
  <c r="T74" i="13"/>
  <c r="T75" i="13" s="1"/>
  <c r="T72" i="13"/>
  <c r="T17" i="5"/>
  <c r="T19" i="5"/>
  <c r="T20" i="5" s="1"/>
  <c r="X16" i="5"/>
  <c r="X82" i="3"/>
  <c r="AB67" i="2"/>
  <c r="AB70" i="2" s="1"/>
  <c r="X70" i="2"/>
  <c r="T67" i="4"/>
  <c r="P70" i="4"/>
  <c r="BD30" i="3"/>
  <c r="AZ33" i="3"/>
  <c r="AV29" i="4"/>
  <c r="AZ28" i="4"/>
  <c r="AV31" i="4"/>
  <c r="AV32" i="4" s="1"/>
  <c r="X28" i="4"/>
  <c r="T29" i="4"/>
  <c r="T31" i="4"/>
  <c r="T32" i="4" s="1"/>
  <c r="AV18" i="9"/>
  <c r="AV20" i="9"/>
  <c r="AV21" i="9" s="1"/>
  <c r="AZ17" i="9"/>
  <c r="T74" i="9"/>
  <c r="T75" i="9" s="1"/>
  <c r="X71" i="9"/>
  <c r="T72" i="9"/>
  <c r="X73" i="8"/>
  <c r="T76" i="8"/>
  <c r="AS73" i="10"/>
  <c r="AS76" i="10" s="1"/>
  <c r="AO76" i="10"/>
  <c r="AC47" i="7"/>
  <c r="AC48" i="7" s="1"/>
  <c r="AG51" i="7"/>
  <c r="AK50" i="7"/>
  <c r="AV34" i="9"/>
  <c r="AZ31" i="9"/>
  <c r="AV68" i="8"/>
  <c r="AV69" i="8" s="1"/>
  <c r="AV66" i="8"/>
  <c r="AZ65" i="8"/>
  <c r="BH133" i="8"/>
  <c r="BH136" i="8" s="1"/>
  <c r="BD136" i="8"/>
  <c r="AZ34" i="2"/>
  <c r="AV37" i="2"/>
  <c r="AV38" i="2" s="1"/>
  <c r="AV35" i="2"/>
  <c r="AV17" i="5"/>
  <c r="AV19" i="5"/>
  <c r="AV20" i="5" s="1"/>
  <c r="AZ16" i="5"/>
  <c r="T18" i="1"/>
  <c r="P21" i="1"/>
  <c r="BH71" i="2"/>
  <c r="BD74" i="2"/>
  <c r="BD75" i="2" s="1"/>
  <c r="BD72" i="2"/>
  <c r="T27" i="3"/>
  <c r="X24" i="3"/>
  <c r="X73" i="4"/>
  <c r="T76" i="4"/>
  <c r="AZ23" i="3"/>
  <c r="BD22" i="3"/>
  <c r="AZ25" i="3"/>
  <c r="AZ26" i="3" s="1"/>
  <c r="BD36" i="2"/>
  <c r="AZ39" i="2"/>
  <c r="BH134" i="8"/>
  <c r="BH135" i="8" s="1"/>
  <c r="BH132" i="8"/>
  <c r="X74" i="3"/>
  <c r="X75" i="3" s="1"/>
  <c r="X72" i="3"/>
  <c r="AB71" i="3"/>
  <c r="BD113" i="8"/>
  <c r="AZ114" i="8"/>
  <c r="AZ116" i="8"/>
  <c r="AZ117" i="8" s="1"/>
  <c r="X25" i="4"/>
  <c r="X26" i="4" s="1"/>
  <c r="X23" i="4"/>
  <c r="AB22" i="4"/>
  <c r="AG59" i="7"/>
  <c r="AG60" i="7" s="1"/>
  <c r="AK63" i="7"/>
  <c r="AK59" i="7"/>
  <c r="AK60" i="7" s="1"/>
  <c r="BH74" i="3"/>
  <c r="BH75" i="3" s="1"/>
  <c r="BH72" i="3"/>
  <c r="BD115" i="8"/>
  <c r="AZ118" i="8"/>
  <c r="P31" i="3"/>
  <c r="P32" i="3" s="1"/>
  <c r="P29" i="3"/>
  <c r="T28" i="3"/>
  <c r="AZ61" i="3"/>
  <c r="AV64" i="3"/>
  <c r="AO80" i="13"/>
  <c r="AO81" i="13" s="1"/>
  <c r="AO78" i="13"/>
  <c r="AS77" i="13"/>
  <c r="AV14" i="9"/>
  <c r="AV15" i="9" s="1"/>
  <c r="AZ11" i="9"/>
  <c r="AV12" i="9"/>
  <c r="P16" i="9"/>
  <c r="T13" i="9"/>
  <c r="AB31" i="8"/>
  <c r="AB34" i="8" s="1"/>
  <c r="X34" i="8"/>
  <c r="P22" i="8"/>
  <c r="T19" i="8"/>
  <c r="AV16" i="9"/>
  <c r="AZ13" i="9"/>
  <c r="AV62" i="8"/>
  <c r="AV63" i="8" s="1"/>
  <c r="AV60" i="8"/>
  <c r="AZ59" i="8"/>
  <c r="X70" i="9"/>
  <c r="AB67" i="9"/>
  <c r="AB70" i="9" s="1"/>
  <c r="BD17" i="8"/>
  <c r="AZ18" i="8"/>
  <c r="AZ20" i="8"/>
  <c r="AZ21" i="8" s="1"/>
  <c r="BD77" i="8"/>
  <c r="AZ78" i="8"/>
  <c r="AZ80" i="8"/>
  <c r="AZ81" i="8" s="1"/>
  <c r="BD70" i="8"/>
  <c r="BH67" i="8"/>
  <c r="BH70" i="8" s="1"/>
  <c r="X19" i="11"/>
  <c r="X20" i="11" s="1"/>
  <c r="X17" i="11"/>
  <c r="AB16" i="11"/>
  <c r="T16" i="1"/>
  <c r="P17" i="1"/>
  <c r="P19" i="1"/>
  <c r="P20" i="1" s="1"/>
  <c r="BD12" i="4"/>
  <c r="AZ15" i="4"/>
  <c r="AB10" i="3"/>
  <c r="X13" i="3"/>
  <c r="X14" i="3" s="1"/>
  <c r="X11" i="3"/>
  <c r="P84" i="2"/>
  <c r="T83" i="2"/>
  <c r="P86" i="2"/>
  <c r="P87" i="2" s="1"/>
  <c r="T65" i="10"/>
  <c r="P68" i="10"/>
  <c r="P69" i="10" s="1"/>
  <c r="P71" i="10"/>
  <c r="P66" i="10"/>
  <c r="X14" i="9"/>
  <c r="X15" i="9" s="1"/>
  <c r="X12" i="9"/>
  <c r="AB11" i="9"/>
  <c r="T24" i="10"/>
  <c r="P25" i="10"/>
  <c r="P30" i="10"/>
  <c r="P27" i="10"/>
  <c r="P28" i="10" s="1"/>
  <c r="X23" i="3"/>
  <c r="X25" i="3"/>
  <c r="X26" i="3" s="1"/>
  <c r="AB22" i="3"/>
  <c r="AV18" i="1"/>
  <c r="AR21" i="1"/>
  <c r="X13" i="14"/>
  <c r="X14" i="14" s="1"/>
  <c r="X11" i="14"/>
  <c r="AB10" i="14"/>
  <c r="T77" i="9"/>
  <c r="P78" i="9"/>
  <c r="P80" i="9"/>
  <c r="P81" i="9" s="1"/>
  <c r="BD16" i="11"/>
  <c r="AZ19" i="11"/>
  <c r="AZ20" i="11" s="1"/>
  <c r="AZ17" i="11"/>
  <c r="T20" i="9"/>
  <c r="T21" i="9" s="1"/>
  <c r="T18" i="9"/>
  <c r="X17" i="9"/>
  <c r="AG11" i="7"/>
  <c r="AG12" i="7" s="1"/>
  <c r="AK15" i="7"/>
  <c r="AK11" i="7"/>
  <c r="AK12" i="7" s="1"/>
  <c r="AZ28" i="9"/>
  <c r="BD25" i="9"/>
  <c r="AB25" i="9"/>
  <c r="AB28" i="9" s="1"/>
  <c r="X28" i="9"/>
  <c r="X101" i="3"/>
  <c r="T102" i="3"/>
  <c r="T104" i="3"/>
  <c r="T105" i="3" s="1"/>
  <c r="X28" i="5"/>
  <c r="X19" i="4"/>
  <c r="X20" i="4" s="1"/>
  <c r="X17" i="4"/>
  <c r="AB16" i="4"/>
  <c r="T88" i="8"/>
  <c r="X85" i="8"/>
  <c r="X26" i="8"/>
  <c r="X27" i="8" s="1"/>
  <c r="X24" i="8"/>
  <c r="AB23" i="8"/>
  <c r="T12" i="1"/>
  <c r="P15" i="1"/>
  <c r="P80" i="13"/>
  <c r="P81" i="13" s="1"/>
  <c r="P78" i="13"/>
  <c r="T77" i="13"/>
  <c r="AZ15" i="3"/>
  <c r="BD12" i="3"/>
  <c r="X74" i="2"/>
  <c r="X75" i="2" s="1"/>
  <c r="X64" i="2"/>
  <c r="AB61" i="2"/>
  <c r="AB64" i="2" s="1"/>
  <c r="AZ37" i="8"/>
  <c r="AV40" i="8"/>
  <c r="X33" i="2"/>
  <c r="AB30" i="2"/>
  <c r="AB33" i="2" s="1"/>
  <c r="T17" i="3"/>
  <c r="T19" i="3"/>
  <c r="T20" i="3" s="1"/>
  <c r="X16" i="3"/>
  <c r="BH67" i="2"/>
  <c r="BH70" i="2" s="1"/>
  <c r="BD70" i="2"/>
  <c r="T19" i="12"/>
  <c r="T20" i="12" s="1"/>
  <c r="T17" i="12"/>
  <c r="P66" i="12"/>
  <c r="T65" i="12"/>
  <c r="P68" i="12"/>
  <c r="P69" i="12" s="1"/>
  <c r="T62" i="10"/>
  <c r="T63" i="10" s="1"/>
  <c r="T60" i="10"/>
  <c r="T26" i="9"/>
  <c r="T27" i="9" s="1"/>
  <c r="X23" i="9"/>
  <c r="T24" i="9"/>
  <c r="T103" i="8"/>
  <c r="P106" i="8"/>
  <c r="AB17" i="14"/>
  <c r="AB19" i="14"/>
  <c r="AB20" i="14" s="1"/>
  <c r="AS73" i="13"/>
  <c r="AS76" i="13" s="1"/>
  <c r="AO79" i="13"/>
  <c r="AO76" i="13"/>
  <c r="AV38" i="8"/>
  <c r="AV39" i="8" s="1"/>
  <c r="AV36" i="8"/>
  <c r="AZ35" i="8"/>
  <c r="T62" i="12"/>
  <c r="T63" i="12" s="1"/>
  <c r="T60" i="12"/>
  <c r="AV32" i="9"/>
  <c r="AV33" i="9" s="1"/>
  <c r="AV30" i="9"/>
  <c r="AZ29" i="9"/>
  <c r="AZ10" i="11"/>
  <c r="AV13" i="11"/>
  <c r="AV14" i="11" s="1"/>
  <c r="AV11" i="11"/>
  <c r="AS67" i="13"/>
  <c r="AS70" i="13" s="1"/>
  <c r="AO70" i="13"/>
  <c r="T72" i="12"/>
  <c r="T74" i="12"/>
  <c r="T75" i="12" s="1"/>
  <c r="BD23" i="8"/>
  <c r="AZ24" i="8"/>
  <c r="AZ26" i="8"/>
  <c r="AZ27" i="8" s="1"/>
  <c r="T24" i="12"/>
  <c r="T27" i="12" s="1"/>
  <c r="P30" i="12"/>
  <c r="P27" i="12"/>
  <c r="T79" i="2"/>
  <c r="P82" i="2"/>
  <c r="AZ23" i="5"/>
  <c r="AZ25" i="5"/>
  <c r="AZ26" i="5" s="1"/>
  <c r="BD22" i="5"/>
  <c r="AZ28" i="5"/>
  <c r="AV29" i="5"/>
  <c r="AV31" i="5"/>
  <c r="AV32" i="5" s="1"/>
  <c r="T10" i="1"/>
  <c r="P13" i="1"/>
  <c r="P14" i="1" s="1"/>
  <c r="P11" i="1"/>
  <c r="BD31" i="2"/>
  <c r="BD32" i="2" s="1"/>
  <c r="BD29" i="2"/>
  <c r="BH28" i="2"/>
  <c r="AZ18" i="4"/>
  <c r="AV21" i="4"/>
  <c r="T31" i="2"/>
  <c r="T32" i="2" s="1"/>
  <c r="X28" i="2"/>
  <c r="T29" i="2"/>
  <c r="BD30" i="2"/>
  <c r="AZ33" i="2"/>
  <c r="AZ19" i="8"/>
  <c r="AV22" i="8"/>
  <c r="AZ24" i="2"/>
  <c r="AV27" i="2"/>
  <c r="X62" i="4"/>
  <c r="X63" i="4" s="1"/>
  <c r="X60" i="4"/>
  <c r="AB59" i="4"/>
  <c r="AB73" i="2"/>
  <c r="AB76" i="2" s="1"/>
  <c r="X76" i="2"/>
  <c r="X23" i="5"/>
  <c r="X25" i="5"/>
  <c r="X26" i="5" s="1"/>
  <c r="BH65" i="2"/>
  <c r="BD68" i="2"/>
  <c r="BD69" i="2" s="1"/>
  <c r="BD66" i="2"/>
  <c r="T96" i="2"/>
  <c r="T98" i="2"/>
  <c r="T99" i="2" s="1"/>
  <c r="X95" i="2"/>
  <c r="X21" i="2"/>
  <c r="AB18" i="2"/>
  <c r="AB21" i="2" s="1"/>
  <c r="AZ34" i="8"/>
  <c r="BD31" i="8"/>
  <c r="AV66" i="3"/>
  <c r="AV68" i="3"/>
  <c r="AV69" i="3" s="1"/>
  <c r="AZ65" i="3"/>
  <c r="T33" i="4"/>
  <c r="X30" i="4"/>
  <c r="T80" i="5"/>
  <c r="T81" i="5" s="1"/>
  <c r="T78" i="5"/>
  <c r="X77" i="5"/>
  <c r="AZ67" i="3"/>
  <c r="AV70" i="3"/>
  <c r="BD59" i="3"/>
  <c r="AZ60" i="3"/>
  <c r="AZ62" i="3"/>
  <c r="AZ63" i="3" s="1"/>
  <c r="P70" i="8"/>
  <c r="T67" i="8"/>
  <c r="BH18" i="11"/>
  <c r="BH21" i="11" s="1"/>
  <c r="BD21" i="11"/>
  <c r="T104" i="8"/>
  <c r="T105" i="8" s="1"/>
  <c r="T102" i="8"/>
  <c r="X101" i="8"/>
  <c r="X134" i="8"/>
  <c r="X135" i="8" s="1"/>
  <c r="AB131" i="8"/>
  <c r="X132" i="8"/>
  <c r="P64" i="8"/>
  <c r="T61" i="8"/>
  <c r="AZ13" i="14"/>
  <c r="AZ14" i="14" s="1"/>
  <c r="BD10" i="14"/>
  <c r="AZ11" i="14"/>
  <c r="X64" i="9"/>
  <c r="AB61" i="9"/>
  <c r="AB64" i="9" s="1"/>
  <c r="AO31" i="12"/>
  <c r="AO32" i="12" s="1"/>
  <c r="AO29" i="12"/>
  <c r="AS28" i="12"/>
  <c r="X13" i="11"/>
  <c r="X14" i="11" s="1"/>
  <c r="X11" i="11"/>
  <c r="AB10" i="11"/>
  <c r="P78" i="12"/>
  <c r="P80" i="12"/>
  <c r="P81" i="12" s="1"/>
  <c r="T77" i="12"/>
  <c r="AB121" i="8"/>
  <c r="AB124" i="8" s="1"/>
  <c r="X124" i="8"/>
  <c r="P21" i="12"/>
  <c r="T18" i="12"/>
  <c r="T21" i="12" s="1"/>
  <c r="T77" i="8"/>
  <c r="P80" i="8"/>
  <c r="P81" i="8" s="1"/>
  <c r="P78" i="8"/>
  <c r="AZ77" i="2"/>
  <c r="AV80" i="2"/>
  <c r="AV81" i="2" s="1"/>
  <c r="AV78" i="2"/>
  <c r="T21" i="5"/>
  <c r="X18" i="5"/>
  <c r="X21" i="5" s="1"/>
  <c r="AB25" i="14"/>
  <c r="AB26" i="14" s="1"/>
  <c r="AB23" i="14"/>
  <c r="AZ30" i="4"/>
  <c r="AV33" i="4"/>
  <c r="T16" i="2"/>
  <c r="P17" i="2"/>
  <c r="P19" i="2"/>
  <c r="P20" i="2" s="1"/>
  <c r="X80" i="4"/>
  <c r="X81" i="4" s="1"/>
  <c r="AB77" i="4"/>
  <c r="X78" i="4"/>
  <c r="X103" i="3"/>
  <c r="T106" i="3"/>
  <c r="AZ25" i="8"/>
  <c r="AV28" i="8"/>
  <c r="AB12" i="18" l="1"/>
  <c r="AB15" i="18" s="1"/>
  <c r="X15" i="18"/>
  <c r="AB19" i="18"/>
  <c r="AB20" i="18" s="1"/>
  <c r="AB17" i="18"/>
  <c r="X13" i="18"/>
  <c r="X14" i="18" s="1"/>
  <c r="X11" i="18"/>
  <c r="AB10" i="18"/>
  <c r="AB23" i="18"/>
  <c r="AB25" i="18"/>
  <c r="AB26" i="18" s="1"/>
  <c r="T29" i="13"/>
  <c r="T31" i="13"/>
  <c r="T32" i="13" s="1"/>
  <c r="BD12" i="11"/>
  <c r="AB133" i="8"/>
  <c r="AB136" i="8" s="1"/>
  <c r="BH18" i="17"/>
  <c r="BH21" i="17" s="1"/>
  <c r="BD21" i="17"/>
  <c r="BH25" i="17"/>
  <c r="BH26" i="17" s="1"/>
  <c r="BH23" i="17"/>
  <c r="BH17" i="17"/>
  <c r="BH19" i="17"/>
  <c r="BH20" i="17" s="1"/>
  <c r="AB10" i="17"/>
  <c r="X13" i="17"/>
  <c r="X14" i="17" s="1"/>
  <c r="X11" i="17"/>
  <c r="BH31" i="17"/>
  <c r="BH32" i="17" s="1"/>
  <c r="BH29" i="17"/>
  <c r="AB25" i="17"/>
  <c r="AB26" i="17" s="1"/>
  <c r="AB23" i="17"/>
  <c r="AB31" i="17"/>
  <c r="AB32" i="17" s="1"/>
  <c r="AB29" i="17"/>
  <c r="T31" i="5"/>
  <c r="T32" i="5" s="1"/>
  <c r="BD19" i="16"/>
  <c r="BD20" i="16" s="1"/>
  <c r="BD17" i="16"/>
  <c r="X66" i="16"/>
  <c r="X68" i="16"/>
  <c r="X69" i="16" s="1"/>
  <c r="BD29" i="16"/>
  <c r="BD31" i="16"/>
  <c r="BD32" i="16" s="1"/>
  <c r="BD78" i="16"/>
  <c r="BD80" i="16"/>
  <c r="BD81" i="16" s="1"/>
  <c r="AB10" i="4"/>
  <c r="X78" i="3"/>
  <c r="AB77" i="3"/>
  <c r="X78" i="2"/>
  <c r="X80" i="2"/>
  <c r="X81" i="2" s="1"/>
  <c r="AB71" i="2"/>
  <c r="AB67" i="3"/>
  <c r="AB70" i="3" s="1"/>
  <c r="X23" i="2"/>
  <c r="X25" i="2"/>
  <c r="X26" i="2" s="1"/>
  <c r="BD22" i="2"/>
  <c r="AZ25" i="2"/>
  <c r="AZ26" i="2" s="1"/>
  <c r="AZ23" i="2"/>
  <c r="X23" i="1"/>
  <c r="X25" i="1"/>
  <c r="X26" i="1" s="1"/>
  <c r="X11" i="4"/>
  <c r="BH12" i="14"/>
  <c r="BH15" i="14" s="1"/>
  <c r="BD15" i="14"/>
  <c r="BD27" i="14"/>
  <c r="BH24" i="14"/>
  <c r="BH27" i="14" s="1"/>
  <c r="BD23" i="14"/>
  <c r="BH22" i="14"/>
  <c r="BD25" i="14"/>
  <c r="BD26" i="14" s="1"/>
  <c r="AB24" i="14"/>
  <c r="AB27" i="14" s="1"/>
  <c r="X27" i="14"/>
  <c r="X27" i="11"/>
  <c r="X25" i="11"/>
  <c r="X26" i="11" s="1"/>
  <c r="X23" i="11"/>
  <c r="AB22" i="11"/>
  <c r="BD122" i="8"/>
  <c r="BD123" i="8" s="1"/>
  <c r="BD120" i="8"/>
  <c r="BH119" i="8"/>
  <c r="AB115" i="8"/>
  <c r="AB118" i="8" s="1"/>
  <c r="X118" i="8"/>
  <c r="AB114" i="8"/>
  <c r="AB116" i="8"/>
  <c r="AB117" i="8" s="1"/>
  <c r="X68" i="4"/>
  <c r="X69" i="4" s="1"/>
  <c r="AB65" i="4"/>
  <c r="X66" i="4"/>
  <c r="X15" i="4"/>
  <c r="AB12" i="4"/>
  <c r="AB15" i="4" s="1"/>
  <c r="X86" i="3"/>
  <c r="X87" i="3" s="1"/>
  <c r="X84" i="3"/>
  <c r="AB83" i="3"/>
  <c r="BD21" i="3"/>
  <c r="BH18" i="3"/>
  <c r="BH21" i="3" s="1"/>
  <c r="AZ82" i="2"/>
  <c r="BD79" i="2"/>
  <c r="X16" i="2"/>
  <c r="T19" i="2"/>
  <c r="T20" i="2" s="1"/>
  <c r="T17" i="2"/>
  <c r="BH74" i="2"/>
  <c r="BH75" i="2" s="1"/>
  <c r="BH72" i="2"/>
  <c r="X31" i="4"/>
  <c r="X32" i="4" s="1"/>
  <c r="X29" i="4"/>
  <c r="AB28" i="4"/>
  <c r="AS30" i="12"/>
  <c r="AS33" i="12" s="1"/>
  <c r="AO33" i="12"/>
  <c r="BH68" i="2"/>
  <c r="BH69" i="2" s="1"/>
  <c r="BH66" i="2"/>
  <c r="X37" i="8"/>
  <c r="T40" i="8"/>
  <c r="BD30" i="4"/>
  <c r="AZ33" i="4"/>
  <c r="X29" i="5"/>
  <c r="X31" i="5"/>
  <c r="X32" i="5" s="1"/>
  <c r="AZ19" i="5"/>
  <c r="AZ20" i="5" s="1"/>
  <c r="BD16" i="5"/>
  <c r="AZ17" i="5"/>
  <c r="T86" i="8"/>
  <c r="T87" i="8" s="1"/>
  <c r="T84" i="8"/>
  <c r="X83" i="8"/>
  <c r="AS68" i="10"/>
  <c r="AS69" i="10" s="1"/>
  <c r="AS66" i="10"/>
  <c r="AB80" i="2"/>
  <c r="AB81" i="2" s="1"/>
  <c r="AB78" i="2"/>
  <c r="AB30" i="3"/>
  <c r="AB33" i="3" s="1"/>
  <c r="X33" i="3"/>
  <c r="X106" i="3"/>
  <c r="AB103" i="3"/>
  <c r="AB106" i="3" s="1"/>
  <c r="T68" i="13"/>
  <c r="T69" i="13" s="1"/>
  <c r="T66" i="13"/>
  <c r="AS71" i="10"/>
  <c r="AO74" i="10"/>
  <c r="AO75" i="10" s="1"/>
  <c r="AO72" i="10"/>
  <c r="T66" i="5"/>
  <c r="X65" i="5"/>
  <c r="T68" i="5"/>
  <c r="T69" i="5" s="1"/>
  <c r="X10" i="1"/>
  <c r="T13" i="1"/>
  <c r="T14" i="1" s="1"/>
  <c r="T11" i="1"/>
  <c r="AB97" i="2"/>
  <c r="AB100" i="2" s="1"/>
  <c r="X100" i="2"/>
  <c r="X61" i="4"/>
  <c r="T64" i="4"/>
  <c r="AB18" i="4"/>
  <c r="AB21" i="4" s="1"/>
  <c r="X21" i="4"/>
  <c r="BH23" i="11"/>
  <c r="BH25" i="11"/>
  <c r="BH26" i="11" s="1"/>
  <c r="BH24" i="9"/>
  <c r="BH26" i="9"/>
  <c r="BH27" i="9" s="1"/>
  <c r="AB37" i="2"/>
  <c r="AB38" i="2" s="1"/>
  <c r="AB35" i="2"/>
  <c r="T66" i="12"/>
  <c r="T68" i="12"/>
  <c r="T69" i="12" s="1"/>
  <c r="X28" i="1"/>
  <c r="T29" i="1"/>
  <c r="T31" i="1"/>
  <c r="T32" i="1" s="1"/>
  <c r="T27" i="10"/>
  <c r="T28" i="10" s="1"/>
  <c r="T25" i="10"/>
  <c r="BD59" i="8"/>
  <c r="AZ60" i="8"/>
  <c r="AZ62" i="8"/>
  <c r="AZ63" i="8" s="1"/>
  <c r="X13" i="9"/>
  <c r="T16" i="9"/>
  <c r="X12" i="1"/>
  <c r="X15" i="1" s="1"/>
  <c r="T15" i="1"/>
  <c r="AZ10" i="1"/>
  <c r="AV11" i="1"/>
  <c r="AV13" i="1"/>
  <c r="AV14" i="1" s="1"/>
  <c r="BH30" i="2"/>
  <c r="BH33" i="2" s="1"/>
  <c r="BD33" i="2"/>
  <c r="X79" i="2"/>
  <c r="T82" i="2"/>
  <c r="AZ18" i="9"/>
  <c r="BD17" i="9"/>
  <c r="AZ20" i="9"/>
  <c r="AZ21" i="9" s="1"/>
  <c r="AZ82" i="8"/>
  <c r="BD79" i="8"/>
  <c r="AB24" i="8"/>
  <c r="AB26" i="8"/>
  <c r="AB27" i="8" s="1"/>
  <c r="X17" i="5"/>
  <c r="X19" i="5"/>
  <c r="X20" i="5" s="1"/>
  <c r="T78" i="12"/>
  <c r="T80" i="12"/>
  <c r="T81" i="12" s="1"/>
  <c r="X61" i="8"/>
  <c r="T64" i="8"/>
  <c r="AB62" i="4"/>
  <c r="AB63" i="4" s="1"/>
  <c r="AB60" i="4"/>
  <c r="BD15" i="4"/>
  <c r="BH12" i="4"/>
  <c r="BH15" i="4" s="1"/>
  <c r="X19" i="8"/>
  <c r="T22" i="8"/>
  <c r="AK51" i="7"/>
  <c r="AG47" i="7"/>
  <c r="AG48" i="7" s="1"/>
  <c r="AK47" i="7"/>
  <c r="AK48" i="7" s="1"/>
  <c r="X36" i="2"/>
  <c r="T39" i="2"/>
  <c r="X79" i="8"/>
  <c r="T82" i="8"/>
  <c r="BD10" i="3"/>
  <c r="AZ13" i="3"/>
  <c r="AZ14" i="3" s="1"/>
  <c r="AZ11" i="3"/>
  <c r="AB25" i="8"/>
  <c r="AB28" i="8" s="1"/>
  <c r="X28" i="8"/>
  <c r="AT33" i="10"/>
  <c r="AT34" i="10" s="1"/>
  <c r="AT31" i="10"/>
  <c r="BD16" i="3"/>
  <c r="AZ19" i="3"/>
  <c r="AZ20" i="3" s="1"/>
  <c r="AZ17" i="3"/>
  <c r="AB11" i="4"/>
  <c r="AB13" i="4"/>
  <c r="AB14" i="4" s="1"/>
  <c r="X91" i="3"/>
  <c r="T94" i="3"/>
  <c r="AZ29" i="3"/>
  <c r="AZ31" i="3"/>
  <c r="AZ32" i="3" s="1"/>
  <c r="BD28" i="3"/>
  <c r="X78" i="5"/>
  <c r="X80" i="5"/>
  <c r="X81" i="5" s="1"/>
  <c r="BH23" i="8"/>
  <c r="BD26" i="8"/>
  <c r="BD27" i="8" s="1"/>
  <c r="BD24" i="8"/>
  <c r="AZ28" i="8"/>
  <c r="BD25" i="8"/>
  <c r="X18" i="1"/>
  <c r="X21" i="1" s="1"/>
  <c r="T21" i="1"/>
  <c r="BD16" i="4"/>
  <c r="AZ19" i="4"/>
  <c r="AZ20" i="4" s="1"/>
  <c r="AZ17" i="4"/>
  <c r="X100" i="3"/>
  <c r="AB97" i="3"/>
  <c r="AB100" i="3" s="1"/>
  <c r="T94" i="2"/>
  <c r="X91" i="2"/>
  <c r="T88" i="2"/>
  <c r="X85" i="2"/>
  <c r="T62" i="9"/>
  <c r="T63" i="9" s="1"/>
  <c r="T60" i="9"/>
  <c r="X59" i="9"/>
  <c r="BD64" i="2"/>
  <c r="BH61" i="2"/>
  <c r="BH64" i="2" s="1"/>
  <c r="AZ16" i="9"/>
  <c r="BD13" i="9"/>
  <c r="BD11" i="9"/>
  <c r="AZ12" i="9"/>
  <c r="AZ14" i="9"/>
  <c r="AZ15" i="9" s="1"/>
  <c r="AZ34" i="9"/>
  <c r="BD31" i="9"/>
  <c r="X62" i="5"/>
  <c r="X63" i="5" s="1"/>
  <c r="X60" i="5"/>
  <c r="T90" i="2"/>
  <c r="T92" i="2"/>
  <c r="T93" i="2" s="1"/>
  <c r="X89" i="2"/>
  <c r="T90" i="8"/>
  <c r="X89" i="8"/>
  <c r="T92" i="8"/>
  <c r="T93" i="8" s="1"/>
  <c r="BD35" i="8"/>
  <c r="AZ36" i="8"/>
  <c r="AZ38" i="8"/>
  <c r="AZ39" i="8" s="1"/>
  <c r="T106" i="8"/>
  <c r="X103" i="8"/>
  <c r="BH77" i="8"/>
  <c r="BD80" i="8"/>
  <c r="BD81" i="8" s="1"/>
  <c r="BD78" i="8"/>
  <c r="AB24" i="3"/>
  <c r="AB27" i="3" s="1"/>
  <c r="X27" i="3"/>
  <c r="X104" i="3"/>
  <c r="X105" i="3" s="1"/>
  <c r="AB101" i="3"/>
  <c r="X102" i="3"/>
  <c r="AZ18" i="1"/>
  <c r="AZ21" i="1" s="1"/>
  <c r="AV21" i="1"/>
  <c r="AS78" i="13"/>
  <c r="AS80" i="13"/>
  <c r="AS81" i="13" s="1"/>
  <c r="AB23" i="4"/>
  <c r="AB25" i="4"/>
  <c r="AB26" i="4" s="1"/>
  <c r="AS29" i="12"/>
  <c r="AS31" i="12"/>
  <c r="AS32" i="12" s="1"/>
  <c r="X33" i="4"/>
  <c r="AB30" i="4"/>
  <c r="AB33" i="4" s="1"/>
  <c r="X26" i="9"/>
  <c r="X27" i="9" s="1"/>
  <c r="X24" i="9"/>
  <c r="AB23" i="9"/>
  <c r="AB74" i="2"/>
  <c r="AB75" i="2" s="1"/>
  <c r="AB72" i="2"/>
  <c r="BD17" i="11"/>
  <c r="BH16" i="11"/>
  <c r="BD19" i="11"/>
  <c r="BD20" i="11" s="1"/>
  <c r="AB23" i="3"/>
  <c r="AB25" i="3"/>
  <c r="AB26" i="3" s="1"/>
  <c r="BD33" i="3"/>
  <c r="BH30" i="3"/>
  <c r="BH33" i="3" s="1"/>
  <c r="AB78" i="3"/>
  <c r="AB80" i="3"/>
  <c r="AB81" i="3" s="1"/>
  <c r="X32" i="9"/>
  <c r="X33" i="9" s="1"/>
  <c r="X30" i="9"/>
  <c r="AB29" i="9"/>
  <c r="AS66" i="13"/>
  <c r="AS68" i="13"/>
  <c r="AS69" i="13" s="1"/>
  <c r="X18" i="3"/>
  <c r="T21" i="3"/>
  <c r="T31" i="12"/>
  <c r="T32" i="12" s="1"/>
  <c r="T29" i="12"/>
  <c r="AB71" i="8"/>
  <c r="X74" i="8"/>
  <c r="X75" i="8" s="1"/>
  <c r="X72" i="8"/>
  <c r="AB62" i="3"/>
  <c r="AB63" i="3" s="1"/>
  <c r="AB60" i="3"/>
  <c r="BD67" i="3"/>
  <c r="AZ70" i="3"/>
  <c r="T84" i="2"/>
  <c r="T86" i="2"/>
  <c r="T87" i="2" s="1"/>
  <c r="X83" i="2"/>
  <c r="X79" i="4"/>
  <c r="T82" i="4"/>
  <c r="BD65" i="8"/>
  <c r="AZ66" i="8"/>
  <c r="AZ68" i="8"/>
  <c r="AZ69" i="8" s="1"/>
  <c r="AB13" i="11"/>
  <c r="AB14" i="11" s="1"/>
  <c r="AB11" i="11"/>
  <c r="BD34" i="8"/>
  <c r="BH31" i="8"/>
  <c r="BH34" i="8" s="1"/>
  <c r="X18" i="9"/>
  <c r="AB17" i="9"/>
  <c r="X20" i="9"/>
  <c r="X21" i="9" s="1"/>
  <c r="AB14" i="9"/>
  <c r="AB15" i="9" s="1"/>
  <c r="AB12" i="9"/>
  <c r="X76" i="4"/>
  <c r="AB73" i="4"/>
  <c r="AB76" i="4" s="1"/>
  <c r="X74" i="9"/>
  <c r="X75" i="9" s="1"/>
  <c r="X72" i="9"/>
  <c r="AB71" i="9"/>
  <c r="BD27" i="4"/>
  <c r="BH24" i="4"/>
  <c r="BH27" i="4" s="1"/>
  <c r="AB13" i="3"/>
  <c r="AB14" i="3" s="1"/>
  <c r="AB11" i="3"/>
  <c r="AZ29" i="4"/>
  <c r="BD28" i="4"/>
  <c r="AZ31" i="4"/>
  <c r="AZ32" i="4" s="1"/>
  <c r="X74" i="5"/>
  <c r="X75" i="5" s="1"/>
  <c r="X72" i="5"/>
  <c r="AB80" i="4"/>
  <c r="AB81" i="4" s="1"/>
  <c r="AB78" i="4"/>
  <c r="T78" i="8"/>
  <c r="T80" i="8"/>
  <c r="T81" i="8" s="1"/>
  <c r="X77" i="8"/>
  <c r="X67" i="8"/>
  <c r="T70" i="8"/>
  <c r="X96" i="2"/>
  <c r="AB95" i="2"/>
  <c r="X98" i="2"/>
  <c r="X99" i="2" s="1"/>
  <c r="AB28" i="2"/>
  <c r="X31" i="2"/>
  <c r="X32" i="2" s="1"/>
  <c r="X29" i="2"/>
  <c r="BD28" i="5"/>
  <c r="AZ31" i="5"/>
  <c r="AZ32" i="5" s="1"/>
  <c r="AZ29" i="5"/>
  <c r="X17" i="3"/>
  <c r="AB16" i="3"/>
  <c r="X19" i="3"/>
  <c r="X20" i="3" s="1"/>
  <c r="BH12" i="3"/>
  <c r="BH15" i="3" s="1"/>
  <c r="BD15" i="3"/>
  <c r="AB85" i="8"/>
  <c r="AB88" i="8" s="1"/>
  <c r="X88" i="8"/>
  <c r="T71" i="10"/>
  <c r="P72" i="10"/>
  <c r="P74" i="10"/>
  <c r="P75" i="10" s="1"/>
  <c r="BH17" i="8"/>
  <c r="BD20" i="8"/>
  <c r="BD21" i="8" s="1"/>
  <c r="BD18" i="8"/>
  <c r="BD34" i="2"/>
  <c r="AZ37" i="2"/>
  <c r="AZ38" i="2" s="1"/>
  <c r="AZ35" i="2"/>
  <c r="BH71" i="8"/>
  <c r="BD74" i="8"/>
  <c r="BD75" i="8" s="1"/>
  <c r="BD72" i="8"/>
  <c r="X12" i="3"/>
  <c r="T15" i="3"/>
  <c r="BD76" i="3"/>
  <c r="BH73" i="3"/>
  <c r="BH76" i="3" s="1"/>
  <c r="BD23" i="4"/>
  <c r="BD25" i="4"/>
  <c r="BD26" i="4" s="1"/>
  <c r="BH22" i="4"/>
  <c r="AZ16" i="1"/>
  <c r="AV19" i="1"/>
  <c r="AV20" i="1" s="1"/>
  <c r="AV17" i="1"/>
  <c r="AB68" i="2"/>
  <c r="AB69" i="2" s="1"/>
  <c r="AB66" i="2"/>
  <c r="X12" i="11"/>
  <c r="T15" i="11"/>
  <c r="AZ11" i="4"/>
  <c r="AZ13" i="4"/>
  <c r="AZ14" i="4" s="1"/>
  <c r="BD10" i="4"/>
  <c r="AB62" i="2"/>
  <c r="AB63" i="2" s="1"/>
  <c r="AB60" i="2"/>
  <c r="AZ30" i="1"/>
  <c r="AZ33" i="1" s="1"/>
  <c r="AV33" i="1"/>
  <c r="AZ80" i="3"/>
  <c r="AZ81" i="3" s="1"/>
  <c r="BD77" i="3"/>
  <c r="AZ78" i="3"/>
  <c r="AZ19" i="2"/>
  <c r="AZ20" i="2" s="1"/>
  <c r="AZ17" i="2"/>
  <c r="BD16" i="2"/>
  <c r="BD77" i="2"/>
  <c r="AZ80" i="2"/>
  <c r="AZ81" i="2" s="1"/>
  <c r="AZ78" i="2"/>
  <c r="AZ40" i="8"/>
  <c r="BD37" i="8"/>
  <c r="BH115" i="8"/>
  <c r="BH118" i="8" s="1"/>
  <c r="BD118" i="8"/>
  <c r="AB72" i="3"/>
  <c r="AB74" i="3"/>
  <c r="AB75" i="3" s="1"/>
  <c r="AZ68" i="3"/>
  <c r="AZ69" i="3" s="1"/>
  <c r="AZ66" i="3"/>
  <c r="BD65" i="3"/>
  <c r="BD23" i="5"/>
  <c r="BD25" i="5"/>
  <c r="BD26" i="5" s="1"/>
  <c r="P33" i="12"/>
  <c r="T30" i="12"/>
  <c r="T33" i="12" s="1"/>
  <c r="AO82" i="13"/>
  <c r="AS79" i="13"/>
  <c r="AS82" i="13" s="1"/>
  <c r="BH25" i="9"/>
  <c r="BH28" i="9" s="1"/>
  <c r="BD28" i="9"/>
  <c r="X16" i="1"/>
  <c r="T17" i="1"/>
  <c r="T19" i="1"/>
  <c r="T20" i="1" s="1"/>
  <c r="BH36" i="2"/>
  <c r="BH39" i="2" s="1"/>
  <c r="BD39" i="2"/>
  <c r="X67" i="4"/>
  <c r="T70" i="4"/>
  <c r="BH19" i="9"/>
  <c r="BH22" i="9" s="1"/>
  <c r="BD22" i="9"/>
  <c r="T68" i="9"/>
  <c r="T69" i="9" s="1"/>
  <c r="X65" i="9"/>
  <c r="T66" i="9"/>
  <c r="AB36" i="8"/>
  <c r="AB38" i="8"/>
  <c r="AB39" i="8" s="1"/>
  <c r="BH62" i="2"/>
  <c r="BH63" i="2" s="1"/>
  <c r="BH60" i="2"/>
  <c r="AB66" i="3"/>
  <c r="AB68" i="3"/>
  <c r="AB69" i="3" s="1"/>
  <c r="BH12" i="11"/>
  <c r="BH15" i="11" s="1"/>
  <c r="BD15" i="11"/>
  <c r="T60" i="8"/>
  <c r="T62" i="8"/>
  <c r="T63" i="8" s="1"/>
  <c r="X59" i="8"/>
  <c r="X102" i="8"/>
  <c r="X104" i="8"/>
  <c r="X105" i="8" s="1"/>
  <c r="AB101" i="8"/>
  <c r="BD60" i="3"/>
  <c r="BH59" i="3"/>
  <c r="BD62" i="3"/>
  <c r="BD63" i="3" s="1"/>
  <c r="BD24" i="2"/>
  <c r="AZ27" i="2"/>
  <c r="T80" i="13"/>
  <c r="T81" i="13" s="1"/>
  <c r="T78" i="13"/>
  <c r="AB19" i="4"/>
  <c r="AB20" i="4" s="1"/>
  <c r="AB17" i="4"/>
  <c r="T80" i="9"/>
  <c r="T81" i="9" s="1"/>
  <c r="X77" i="9"/>
  <c r="T78" i="9"/>
  <c r="T68" i="10"/>
  <c r="T69" i="10" s="1"/>
  <c r="T66" i="10"/>
  <c r="AB17" i="11"/>
  <c r="AB19" i="11"/>
  <c r="AB20" i="11" s="1"/>
  <c r="BD61" i="3"/>
  <c r="AZ64" i="3"/>
  <c r="T32" i="10"/>
  <c r="T35" i="10" s="1"/>
  <c r="P35" i="10"/>
  <c r="X15" i="14"/>
  <c r="AB12" i="14"/>
  <c r="AB15" i="14" s="1"/>
  <c r="BH24" i="11"/>
  <c r="BH27" i="11" s="1"/>
  <c r="BD27" i="11"/>
  <c r="X85" i="3"/>
  <c r="T88" i="3"/>
  <c r="BH73" i="2"/>
  <c r="BH76" i="2" s="1"/>
  <c r="BD76" i="2"/>
  <c r="BD79" i="3"/>
  <c r="AZ82" i="3"/>
  <c r="AB25" i="2"/>
  <c r="AB26" i="2" s="1"/>
  <c r="AB23" i="2"/>
  <c r="X106" i="2"/>
  <c r="AB103" i="2"/>
  <c r="AB106" i="2" s="1"/>
  <c r="BH128" i="8"/>
  <c r="BH129" i="8" s="1"/>
  <c r="BH126" i="8"/>
  <c r="AZ22" i="8"/>
  <c r="BD19" i="8"/>
  <c r="BH29" i="2"/>
  <c r="BH31" i="2"/>
  <c r="BH32" i="2" s="1"/>
  <c r="AZ30" i="9"/>
  <c r="BD29" i="9"/>
  <c r="AZ32" i="9"/>
  <c r="AZ33" i="9" s="1"/>
  <c r="AB73" i="8"/>
  <c r="AB76" i="8" s="1"/>
  <c r="X76" i="8"/>
  <c r="AZ13" i="5"/>
  <c r="AZ14" i="5" s="1"/>
  <c r="AZ11" i="5"/>
  <c r="BD10" i="5"/>
  <c r="T102" i="2"/>
  <c r="X101" i="2"/>
  <c r="T104" i="2"/>
  <c r="T105" i="2" s="1"/>
  <c r="AB19" i="9"/>
  <c r="AB22" i="9" s="1"/>
  <c r="X22" i="9"/>
  <c r="T66" i="8"/>
  <c r="T68" i="8"/>
  <c r="T69" i="8" s="1"/>
  <c r="X65" i="8"/>
  <c r="BD11" i="14"/>
  <c r="BH10" i="14"/>
  <c r="BD13" i="14"/>
  <c r="BD14" i="14" s="1"/>
  <c r="T79" i="12"/>
  <c r="T82" i="12" s="1"/>
  <c r="P82" i="12"/>
  <c r="BH121" i="8"/>
  <c r="BH124" i="8" s="1"/>
  <c r="BD124" i="8"/>
  <c r="BH32" i="8"/>
  <c r="BH33" i="8" s="1"/>
  <c r="BH30" i="8"/>
  <c r="AB132" i="8"/>
  <c r="AB134" i="8"/>
  <c r="AB135" i="8" s="1"/>
  <c r="BD18" i="4"/>
  <c r="AZ21" i="4"/>
  <c r="AZ11" i="11"/>
  <c r="BD10" i="11"/>
  <c r="AZ13" i="11"/>
  <c r="AZ14" i="11" s="1"/>
  <c r="AB13" i="14"/>
  <c r="AB14" i="14" s="1"/>
  <c r="AB11" i="14"/>
  <c r="T30" i="10"/>
  <c r="P31" i="10"/>
  <c r="P33" i="10"/>
  <c r="P34" i="10" s="1"/>
  <c r="X28" i="3"/>
  <c r="T29" i="3"/>
  <c r="T31" i="3"/>
  <c r="T32" i="3" s="1"/>
  <c r="BH113" i="8"/>
  <c r="BD116" i="8"/>
  <c r="BD117" i="8" s="1"/>
  <c r="BD114" i="8"/>
  <c r="BH22" i="3"/>
  <c r="BD25" i="3"/>
  <c r="BD26" i="3" s="1"/>
  <c r="BD23" i="3"/>
  <c r="X30" i="1"/>
  <c r="X33" i="1" s="1"/>
  <c r="T33" i="1"/>
  <c r="X96" i="8"/>
  <c r="X98" i="8"/>
  <c r="X99" i="8" s="1"/>
  <c r="AB95" i="8"/>
  <c r="AS17" i="12"/>
  <c r="AS19" i="12"/>
  <c r="AS20" i="12" s="1"/>
  <c r="AZ12" i="1"/>
  <c r="AZ15" i="1" s="1"/>
  <c r="AV15" i="1"/>
  <c r="AZ23" i="1"/>
  <c r="AZ25" i="1"/>
  <c r="AZ26" i="1" s="1"/>
  <c r="AB13" i="18" l="1"/>
  <c r="AB14" i="18" s="1"/>
  <c r="AB11" i="18"/>
  <c r="AB13" i="17"/>
  <c r="AB14" i="17" s="1"/>
  <c r="AB11" i="17"/>
  <c r="BD25" i="2"/>
  <c r="BD26" i="2" s="1"/>
  <c r="BD23" i="2"/>
  <c r="BH22" i="2"/>
  <c r="BH23" i="14"/>
  <c r="BH25" i="14"/>
  <c r="BH26" i="14" s="1"/>
  <c r="AB25" i="11"/>
  <c r="AB26" i="11" s="1"/>
  <c r="AB23" i="11"/>
  <c r="BH122" i="8"/>
  <c r="BH123" i="8" s="1"/>
  <c r="BH120" i="8"/>
  <c r="AB66" i="4"/>
  <c r="AB68" i="4"/>
  <c r="AB69" i="4" s="1"/>
  <c r="AB86" i="3"/>
  <c r="AB87" i="3" s="1"/>
  <c r="AB84" i="3"/>
  <c r="BD82" i="2"/>
  <c r="BH79" i="2"/>
  <c r="BH82" i="2" s="1"/>
  <c r="AB77" i="9"/>
  <c r="X80" i="9"/>
  <c r="X81" i="9" s="1"/>
  <c r="X78" i="9"/>
  <c r="AB19" i="3"/>
  <c r="AB20" i="3" s="1"/>
  <c r="AB17" i="3"/>
  <c r="BD70" i="3"/>
  <c r="BH67" i="3"/>
  <c r="BH70" i="3" s="1"/>
  <c r="BH11" i="14"/>
  <c r="BH13" i="14"/>
  <c r="BH14" i="14" s="1"/>
  <c r="X11" i="1"/>
  <c r="X13" i="1"/>
  <c r="X14" i="1" s="1"/>
  <c r="BD11" i="4"/>
  <c r="BD13" i="4"/>
  <c r="BD14" i="4" s="1"/>
  <c r="BH10" i="4"/>
  <c r="BH26" i="8"/>
  <c r="BH27" i="8" s="1"/>
  <c r="BH24" i="8"/>
  <c r="BD13" i="11"/>
  <c r="BD14" i="11" s="1"/>
  <c r="BD11" i="11"/>
  <c r="BH10" i="11"/>
  <c r="AB102" i="8"/>
  <c r="AB104" i="8"/>
  <c r="AB105" i="8" s="1"/>
  <c r="BD19" i="2"/>
  <c r="BD20" i="2" s="1"/>
  <c r="BD17" i="2"/>
  <c r="BH16" i="2"/>
  <c r="BH80" i="8"/>
  <c r="BH81" i="8" s="1"/>
  <c r="BH78" i="8"/>
  <c r="BH79" i="8"/>
  <c r="BH82" i="8" s="1"/>
  <c r="BD82" i="8"/>
  <c r="BD37" i="2"/>
  <c r="BD38" i="2" s="1"/>
  <c r="BD35" i="2"/>
  <c r="BH34" i="2"/>
  <c r="BD22" i="8"/>
  <c r="BH19" i="8"/>
  <c r="BH22" i="8" s="1"/>
  <c r="BH20" i="8"/>
  <c r="BH21" i="8" s="1"/>
  <c r="BH18" i="8"/>
  <c r="BD29" i="4"/>
  <c r="BD31" i="4"/>
  <c r="BD32" i="4" s="1"/>
  <c r="BH28" i="4"/>
  <c r="BH65" i="8"/>
  <c r="BD68" i="8"/>
  <c r="BD69" i="8" s="1"/>
  <c r="BD66" i="8"/>
  <c r="X88" i="3"/>
  <c r="AB85" i="3"/>
  <c r="AB88" i="3" s="1"/>
  <c r="BD66" i="3"/>
  <c r="BD68" i="3"/>
  <c r="BD69" i="3" s="1"/>
  <c r="BH65" i="3"/>
  <c r="X39" i="2"/>
  <c r="AB36" i="2"/>
  <c r="AB39" i="2" s="1"/>
  <c r="BH59" i="8"/>
  <c r="BD62" i="8"/>
  <c r="BD63" i="8" s="1"/>
  <c r="BD60" i="8"/>
  <c r="BD33" i="4"/>
  <c r="BH30" i="4"/>
  <c r="BH33" i="4" s="1"/>
  <c r="BD28" i="8"/>
  <c r="BH25" i="8"/>
  <c r="BH28" i="8" s="1"/>
  <c r="T33" i="10"/>
  <c r="T34" i="10" s="1"/>
  <c r="T31" i="10"/>
  <c r="X70" i="4"/>
  <c r="AB67" i="4"/>
  <c r="AB70" i="4" s="1"/>
  <c r="X94" i="2"/>
  <c r="AB91" i="2"/>
  <c r="AB94" i="2" s="1"/>
  <c r="BH10" i="3"/>
  <c r="BD13" i="3"/>
  <c r="BD14" i="3" s="1"/>
  <c r="BD11" i="3"/>
  <c r="AB31" i="4"/>
  <c r="AB32" i="4" s="1"/>
  <c r="AB29" i="4"/>
  <c r="X90" i="2"/>
  <c r="AB89" i="2"/>
  <c r="X92" i="2"/>
  <c r="X93" i="2" s="1"/>
  <c r="BD64" i="3"/>
  <c r="BH61" i="3"/>
  <c r="BH64" i="3" s="1"/>
  <c r="AB67" i="8"/>
  <c r="AB70" i="8" s="1"/>
  <c r="X70" i="8"/>
  <c r="BH19" i="11"/>
  <c r="BH20" i="11" s="1"/>
  <c r="BH17" i="11"/>
  <c r="AB79" i="8"/>
  <c r="AB82" i="8" s="1"/>
  <c r="X82" i="8"/>
  <c r="AB13" i="9"/>
  <c r="AB16" i="9" s="1"/>
  <c r="X16" i="9"/>
  <c r="AB77" i="8"/>
  <c r="X80" i="8"/>
  <c r="X81" i="8" s="1"/>
  <c r="X78" i="8"/>
  <c r="BD29" i="5"/>
  <c r="BD31" i="5"/>
  <c r="BD32" i="5" s="1"/>
  <c r="AB72" i="8"/>
  <c r="AB74" i="8"/>
  <c r="AB75" i="8" s="1"/>
  <c r="AB103" i="8"/>
  <c r="AB106" i="8" s="1"/>
  <c r="X106" i="8"/>
  <c r="X60" i="9"/>
  <c r="AB59" i="9"/>
  <c r="X62" i="9"/>
  <c r="X63" i="9" s="1"/>
  <c r="BH16" i="3"/>
  <c r="BD19" i="3"/>
  <c r="BD20" i="3" s="1"/>
  <c r="BD17" i="3"/>
  <c r="AZ11" i="1"/>
  <c r="AZ13" i="1"/>
  <c r="AZ14" i="1" s="1"/>
  <c r="X64" i="4"/>
  <c r="AB61" i="4"/>
  <c r="AB64" i="4" s="1"/>
  <c r="X66" i="5"/>
  <c r="X68" i="5"/>
  <c r="X69" i="5" s="1"/>
  <c r="AB96" i="8"/>
  <c r="AB98" i="8"/>
  <c r="AB99" i="8" s="1"/>
  <c r="BH116" i="8"/>
  <c r="BH117" i="8" s="1"/>
  <c r="BH114" i="8"/>
  <c r="BD27" i="2"/>
  <c r="BH24" i="2"/>
  <c r="BH27" i="2" s="1"/>
  <c r="AB12" i="11"/>
  <c r="AB15" i="11" s="1"/>
  <c r="X15" i="11"/>
  <c r="AB12" i="3"/>
  <c r="AB15" i="3" s="1"/>
  <c r="X15" i="3"/>
  <c r="T74" i="10"/>
  <c r="T75" i="10" s="1"/>
  <c r="T72" i="10"/>
  <c r="AB26" i="9"/>
  <c r="AB27" i="9" s="1"/>
  <c r="AB24" i="9"/>
  <c r="BD34" i="9"/>
  <c r="BH31" i="9"/>
  <c r="BH34" i="9" s="1"/>
  <c r="BD17" i="4"/>
  <c r="BD19" i="4"/>
  <c r="BD20" i="4" s="1"/>
  <c r="BH16" i="4"/>
  <c r="BD29" i="3"/>
  <c r="BD31" i="3"/>
  <c r="BD32" i="3" s="1"/>
  <c r="BH28" i="3"/>
  <c r="X90" i="8"/>
  <c r="AB89" i="8"/>
  <c r="X92" i="8"/>
  <c r="X93" i="8" s="1"/>
  <c r="BH13" i="9"/>
  <c r="BH16" i="9" s="1"/>
  <c r="BD16" i="9"/>
  <c r="AB32" i="9"/>
  <c r="AB33" i="9" s="1"/>
  <c r="AB30" i="9"/>
  <c r="BD19" i="5"/>
  <c r="BD20" i="5" s="1"/>
  <c r="BD17" i="5"/>
  <c r="BD11" i="5"/>
  <c r="BD13" i="5"/>
  <c r="BD14" i="5" s="1"/>
  <c r="X31" i="1"/>
  <c r="X32" i="1" s="1"/>
  <c r="X29" i="1"/>
  <c r="BH25" i="3"/>
  <c r="BH26" i="3" s="1"/>
  <c r="BH23" i="3"/>
  <c r="X68" i="8"/>
  <c r="X69" i="8" s="1"/>
  <c r="X66" i="8"/>
  <c r="AB65" i="8"/>
  <c r="X62" i="8"/>
  <c r="X63" i="8" s="1"/>
  <c r="X60" i="8"/>
  <c r="AB59" i="8"/>
  <c r="X66" i="9"/>
  <c r="AB65" i="9"/>
  <c r="X68" i="9"/>
  <c r="X69" i="9" s="1"/>
  <c r="X19" i="1"/>
  <c r="X20" i="1" s="1"/>
  <c r="X17" i="1"/>
  <c r="AB31" i="2"/>
  <c r="AB32" i="2" s="1"/>
  <c r="AB29" i="2"/>
  <c r="AB20" i="9"/>
  <c r="AB21" i="9" s="1"/>
  <c r="AB18" i="9"/>
  <c r="X82" i="4"/>
  <c r="AB79" i="4"/>
  <c r="AB82" i="4" s="1"/>
  <c r="BD20" i="9"/>
  <c r="BD21" i="9" s="1"/>
  <c r="BH17" i="9"/>
  <c r="BD18" i="9"/>
  <c r="AB37" i="8"/>
  <c r="AB40" i="8" s="1"/>
  <c r="X40" i="8"/>
  <c r="AZ19" i="1"/>
  <c r="AZ20" i="1" s="1"/>
  <c r="AZ17" i="1"/>
  <c r="BH23" i="4"/>
  <c r="BH25" i="4"/>
  <c r="BH26" i="4" s="1"/>
  <c r="AB85" i="2"/>
  <c r="AB88" i="2" s="1"/>
  <c r="X88" i="2"/>
  <c r="X84" i="8"/>
  <c r="AB83" i="8"/>
  <c r="X86" i="8"/>
  <c r="X87" i="8" s="1"/>
  <c r="BD40" i="8"/>
  <c r="BH37" i="8"/>
  <c r="BH40" i="8" s="1"/>
  <c r="AB74" i="9"/>
  <c r="AB75" i="9" s="1"/>
  <c r="AB72" i="9"/>
  <c r="BH77" i="2"/>
  <c r="BD80" i="2"/>
  <c r="BD81" i="2" s="1"/>
  <c r="BD78" i="2"/>
  <c r="AB61" i="8"/>
  <c r="AB64" i="8" s="1"/>
  <c r="X64" i="8"/>
  <c r="BD21" i="4"/>
  <c r="BH18" i="4"/>
  <c r="BH21" i="4" s="1"/>
  <c r="BH60" i="3"/>
  <c r="BH62" i="3"/>
  <c r="BH63" i="3" s="1"/>
  <c r="BD78" i="3"/>
  <c r="BD80" i="3"/>
  <c r="BD81" i="3" s="1"/>
  <c r="BH77" i="3"/>
  <c r="X84" i="2"/>
  <c r="AB83" i="2"/>
  <c r="X86" i="2"/>
  <c r="X87" i="2" s="1"/>
  <c r="X31" i="3"/>
  <c r="X32" i="3" s="1"/>
  <c r="X29" i="3"/>
  <c r="AB28" i="3"/>
  <c r="X102" i="2"/>
  <c r="AB101" i="2"/>
  <c r="X104" i="2"/>
  <c r="X105" i="2" s="1"/>
  <c r="BD32" i="9"/>
  <c r="BD33" i="9" s="1"/>
  <c r="BD30" i="9"/>
  <c r="BH29" i="9"/>
  <c r="BH74" i="8"/>
  <c r="BH75" i="8" s="1"/>
  <c r="BH72" i="8"/>
  <c r="AB96" i="2"/>
  <c r="AB98" i="2"/>
  <c r="AB99" i="2" s="1"/>
  <c r="AB18" i="3"/>
  <c r="AB21" i="3" s="1"/>
  <c r="X21" i="3"/>
  <c r="BH35" i="8"/>
  <c r="BD38" i="8"/>
  <c r="BD39" i="8" s="1"/>
  <c r="BD36" i="8"/>
  <c r="AB19" i="8"/>
  <c r="AB22" i="8" s="1"/>
  <c r="X22" i="8"/>
  <c r="AS74" i="10"/>
  <c r="AS75" i="10" s="1"/>
  <c r="AS72" i="10"/>
  <c r="BD82" i="3"/>
  <c r="BH79" i="3"/>
  <c r="BH82" i="3" s="1"/>
  <c r="AB104" i="3"/>
  <c r="AB105" i="3" s="1"/>
  <c r="AB102" i="3"/>
  <c r="BD14" i="9"/>
  <c r="BD15" i="9" s="1"/>
  <c r="BD12" i="9"/>
  <c r="BH11" i="9"/>
  <c r="X94" i="3"/>
  <c r="AB91" i="3"/>
  <c r="AB94" i="3" s="1"/>
  <c r="AB79" i="2"/>
  <c r="AB82" i="2" s="1"/>
  <c r="X82" i="2"/>
  <c r="AB16" i="2"/>
  <c r="X19" i="2"/>
  <c r="X20" i="2" s="1"/>
  <c r="X17" i="2"/>
  <c r="BH23" i="2" l="1"/>
  <c r="BH25" i="2"/>
  <c r="BH26" i="2" s="1"/>
  <c r="AB19" i="2"/>
  <c r="AB20" i="2" s="1"/>
  <c r="AB17" i="2"/>
  <c r="BH80" i="3"/>
  <c r="BH81" i="3" s="1"/>
  <c r="BH78" i="3"/>
  <c r="BH13" i="11"/>
  <c r="BH14" i="11" s="1"/>
  <c r="BH11" i="11"/>
  <c r="BH18" i="9"/>
  <c r="BH20" i="9"/>
  <c r="BH21" i="9" s="1"/>
  <c r="AB60" i="8"/>
  <c r="AB62" i="8"/>
  <c r="AB63" i="8" s="1"/>
  <c r="BH19" i="4"/>
  <c r="BH20" i="4" s="1"/>
  <c r="BH17" i="4"/>
  <c r="AB90" i="2"/>
  <c r="AB92" i="2"/>
  <c r="AB93" i="2" s="1"/>
  <c r="AB84" i="2"/>
  <c r="AB86" i="2"/>
  <c r="AB87" i="2" s="1"/>
  <c r="BH35" i="2"/>
  <c r="BH37" i="2"/>
  <c r="BH38" i="2" s="1"/>
  <c r="BH80" i="2"/>
  <c r="BH81" i="2" s="1"/>
  <c r="BH78" i="2"/>
  <c r="BH68" i="8"/>
  <c r="BH69" i="8" s="1"/>
  <c r="BH66" i="8"/>
  <c r="BH13" i="3"/>
  <c r="BH14" i="3" s="1"/>
  <c r="BH11" i="3"/>
  <c r="BH29" i="4"/>
  <c r="BH31" i="4"/>
  <c r="BH32" i="4" s="1"/>
  <c r="AB90" i="8"/>
  <c r="AB92" i="8"/>
  <c r="AB93" i="8" s="1"/>
  <c r="BH19" i="3"/>
  <c r="BH20" i="3" s="1"/>
  <c r="BH17" i="3"/>
  <c r="BH62" i="8"/>
  <c r="BH63" i="8" s="1"/>
  <c r="BH60" i="8"/>
  <c r="BH11" i="4"/>
  <c r="BH13" i="4"/>
  <c r="BH14" i="4" s="1"/>
  <c r="AB29" i="3"/>
  <c r="AB31" i="3"/>
  <c r="AB32" i="3" s="1"/>
  <c r="BH31" i="3"/>
  <c r="BH32" i="3" s="1"/>
  <c r="BH29" i="3"/>
  <c r="AB62" i="9"/>
  <c r="AB63" i="9" s="1"/>
  <c r="AB60" i="9"/>
  <c r="AB80" i="9"/>
  <c r="AB81" i="9" s="1"/>
  <c r="AB78" i="9"/>
  <c r="BH30" i="9"/>
  <c r="BH32" i="9"/>
  <c r="BH33" i="9" s="1"/>
  <c r="AB102" i="2"/>
  <c r="AB104" i="2"/>
  <c r="AB105" i="2" s="1"/>
  <c r="BH38" i="8"/>
  <c r="BH39" i="8" s="1"/>
  <c r="BH36" i="8"/>
  <c r="AB84" i="8"/>
  <c r="AB86" i="8"/>
  <c r="AB87" i="8" s="1"/>
  <c r="BH14" i="9"/>
  <c r="BH15" i="9" s="1"/>
  <c r="BH12" i="9"/>
  <c r="AB68" i="9"/>
  <c r="AB69" i="9" s="1"/>
  <c r="AB66" i="9"/>
  <c r="AB78" i="8"/>
  <c r="AB80" i="8"/>
  <c r="AB81" i="8" s="1"/>
  <c r="BH68" i="3"/>
  <c r="BH69" i="3" s="1"/>
  <c r="BH66" i="3"/>
  <c r="BH17" i="2"/>
  <c r="BH19" i="2"/>
  <c r="BH20" i="2" s="1"/>
  <c r="AB66" i="8"/>
  <c r="AB68" i="8"/>
  <c r="AB69" i="8" s="1"/>
</calcChain>
</file>

<file path=xl/sharedStrings.xml><?xml version="1.0" encoding="utf-8"?>
<sst xmlns="http://schemas.openxmlformats.org/spreadsheetml/2006/main" count="2490" uniqueCount="332">
  <si>
    <t>【ロール用】</t>
    <rPh sb="4" eb="5">
      <t>ヨウ</t>
    </rPh>
    <phoneticPr fontId="5"/>
  </si>
  <si>
    <t>ＺＩＰロール　　ラミ</t>
    <phoneticPr fontId="5"/>
  </si>
  <si>
    <t>セレクト</t>
    <phoneticPr fontId="5"/>
  </si>
  <si>
    <t>ｶﾀﾛｸﾞ№</t>
    <phoneticPr fontId="5"/>
  </si>
  <si>
    <t>㎏</t>
    <phoneticPr fontId="5"/>
  </si>
  <si>
    <t>数量</t>
    <rPh sb="0" eb="2">
      <t>スウリョウ</t>
    </rPh>
    <phoneticPr fontId="5"/>
  </si>
  <si>
    <t>１色</t>
    <rPh sb="1" eb="2">
      <t>イロ</t>
    </rPh>
    <phoneticPr fontId="5"/>
  </si>
  <si>
    <t>２色</t>
    <rPh sb="1" eb="2">
      <t>ショク</t>
    </rPh>
    <phoneticPr fontId="5"/>
  </si>
  <si>
    <t>３色</t>
    <rPh sb="1" eb="2">
      <t>イロ</t>
    </rPh>
    <phoneticPr fontId="5"/>
  </si>
  <si>
    <t>300ｍ～</t>
    <phoneticPr fontId="5"/>
  </si>
  <si>
    <t>売</t>
    <rPh sb="0" eb="1">
      <t>ウ</t>
    </rPh>
    <phoneticPr fontId="5"/>
  </si>
  <si>
    <t>準</t>
    <rPh sb="0" eb="1">
      <t>ジュン</t>
    </rPh>
    <phoneticPr fontId="5"/>
  </si>
  <si>
    <t>Ｄ</t>
    <phoneticPr fontId="5"/>
  </si>
  <si>
    <t>約850枚～</t>
    <rPh sb="0" eb="1">
      <t>ヤク</t>
    </rPh>
    <rPh sb="4" eb="5">
      <t>マイ</t>
    </rPh>
    <phoneticPr fontId="5"/>
  </si>
  <si>
    <t>約600枚～</t>
    <rPh sb="0" eb="1">
      <t>ヤク</t>
    </rPh>
    <rPh sb="4" eb="5">
      <t>マイ</t>
    </rPh>
    <phoneticPr fontId="5"/>
  </si>
  <si>
    <t>600ｍ～</t>
    <phoneticPr fontId="5"/>
  </si>
  <si>
    <t>約1700枚～</t>
    <rPh sb="0" eb="1">
      <t>ヤク</t>
    </rPh>
    <rPh sb="5" eb="6">
      <t>マイ</t>
    </rPh>
    <phoneticPr fontId="5"/>
  </si>
  <si>
    <t>約1200枚～</t>
    <rPh sb="0" eb="1">
      <t>ヤク</t>
    </rPh>
    <rPh sb="5" eb="6">
      <t>マイ</t>
    </rPh>
    <phoneticPr fontId="5"/>
  </si>
  <si>
    <t>900ｍ～</t>
    <phoneticPr fontId="5"/>
  </si>
  <si>
    <t>約2500枚～</t>
    <rPh sb="0" eb="1">
      <t>ヤク</t>
    </rPh>
    <rPh sb="5" eb="6">
      <t>マイ</t>
    </rPh>
    <phoneticPr fontId="5"/>
  </si>
  <si>
    <t>約1900枚～</t>
    <rPh sb="0" eb="1">
      <t>ヤク</t>
    </rPh>
    <rPh sb="5" eb="6">
      <t>マイ</t>
    </rPh>
    <phoneticPr fontId="5"/>
  </si>
  <si>
    <t>1800ｍ～</t>
    <phoneticPr fontId="5"/>
  </si>
  <si>
    <t>約5100枚～</t>
    <rPh sb="0" eb="1">
      <t>ヤク</t>
    </rPh>
    <rPh sb="5" eb="6">
      <t>マイ</t>
    </rPh>
    <phoneticPr fontId="5"/>
  </si>
  <si>
    <t>約3800枚～</t>
    <rPh sb="0" eb="1">
      <t>ヤク</t>
    </rPh>
    <rPh sb="5" eb="6">
      <t>マイ</t>
    </rPh>
    <phoneticPr fontId="5"/>
  </si>
  <si>
    <r>
      <t>※印刷は（墨・赤・緑・橙・黄・紺・桃・青・草・小豆）の10色になります。　</t>
    </r>
    <r>
      <rPr>
        <b/>
        <sz val="9"/>
        <rFont val="ＭＳ Ｐゴシック"/>
        <family val="3"/>
        <charset val="128"/>
      </rPr>
      <t>★金色印刷不可</t>
    </r>
    <rPh sb="1" eb="3">
      <t>インサツ</t>
    </rPh>
    <rPh sb="38" eb="40">
      <t>キンイロ</t>
    </rPh>
    <rPh sb="40" eb="42">
      <t>インサツ</t>
    </rPh>
    <rPh sb="42" eb="44">
      <t>フカ</t>
    </rPh>
    <phoneticPr fontId="5"/>
  </si>
  <si>
    <t>※単袋の場合、ロールに印刷した後にカットするので仕上り数に若干の誤差が生じます。</t>
    <rPh sb="1" eb="2">
      <t>タン</t>
    </rPh>
    <rPh sb="2" eb="3">
      <t>フクロ</t>
    </rPh>
    <rPh sb="4" eb="6">
      <t>バアイ</t>
    </rPh>
    <rPh sb="11" eb="13">
      <t>インサツ</t>
    </rPh>
    <rPh sb="15" eb="16">
      <t>ノチ</t>
    </rPh>
    <rPh sb="24" eb="26">
      <t>シアガ</t>
    </rPh>
    <rPh sb="27" eb="28">
      <t>スウ</t>
    </rPh>
    <rPh sb="29" eb="31">
      <t>ジャッカン</t>
    </rPh>
    <rPh sb="32" eb="34">
      <t>ゴサ</t>
    </rPh>
    <rPh sb="35" eb="36">
      <t>ショウ</t>
    </rPh>
    <phoneticPr fontId="5"/>
  </si>
  <si>
    <t>※版の保持期限は、最終ご注文日より1年半です。</t>
    <rPh sb="9" eb="11">
      <t>サイシュウ</t>
    </rPh>
    <rPh sb="12" eb="15">
      <t>チュウモンビ</t>
    </rPh>
    <phoneticPr fontId="5"/>
  </si>
  <si>
    <t>ロール版代</t>
    <rPh sb="3" eb="4">
      <t>ハン</t>
    </rPh>
    <rPh sb="4" eb="5">
      <t>ダイ</t>
    </rPh>
    <phoneticPr fontId="5"/>
  </si>
  <si>
    <t>2Ｋ</t>
    <phoneticPr fontId="5"/>
  </si>
  <si>
    <t>13,000円</t>
    <rPh sb="6" eb="7">
      <t>エン</t>
    </rPh>
    <phoneticPr fontId="5"/>
  </si>
  <si>
    <t>5Ｋ</t>
    <phoneticPr fontId="5"/>
  </si>
  <si>
    <t>15,000円</t>
    <rPh sb="6" eb="7">
      <t>エン</t>
    </rPh>
    <phoneticPr fontId="5"/>
  </si>
  <si>
    <t>ラミ　　　　　　　　　　　</t>
    <phoneticPr fontId="5"/>
  </si>
  <si>
    <t>稔りとんぼ</t>
    <rPh sb="0" eb="1">
      <t>ミノ</t>
    </rPh>
    <phoneticPr fontId="5"/>
  </si>
  <si>
    <t>オレンジドット</t>
    <phoneticPr fontId="14"/>
  </si>
  <si>
    <t>便箋</t>
  </si>
  <si>
    <t>素材の味</t>
    <phoneticPr fontId="14"/>
  </si>
  <si>
    <t>赤菱自慢のお米</t>
    <rPh sb="0" eb="1">
      <t>アカ</t>
    </rPh>
    <rPh sb="1" eb="2">
      <t>ヒシ</t>
    </rPh>
    <rPh sb="2" eb="4">
      <t>ジマン</t>
    </rPh>
    <rPh sb="6" eb="7">
      <t>コメ</t>
    </rPh>
    <phoneticPr fontId="5"/>
  </si>
  <si>
    <t>空と稲穂</t>
    <rPh sb="0" eb="1">
      <t>ソラ</t>
    </rPh>
    <rPh sb="2" eb="4">
      <t>イナホ</t>
    </rPh>
    <phoneticPr fontId="5"/>
  </si>
  <si>
    <t>稲穂とグリーンぼかし</t>
  </si>
  <si>
    <t>お米緑の里</t>
    <phoneticPr fontId="14"/>
  </si>
  <si>
    <t>雅（みやび）</t>
    <rPh sb="0" eb="1">
      <t>ミヤビ</t>
    </rPh>
    <phoneticPr fontId="5"/>
  </si>
  <si>
    <t>新緑の渓流</t>
    <rPh sb="0" eb="2">
      <t>シンリョク</t>
    </rPh>
    <rPh sb="3" eb="5">
      <t>ケイリュウ</t>
    </rPh>
    <phoneticPr fontId="5"/>
  </si>
  <si>
    <t>ピンク日本の米</t>
  </si>
  <si>
    <t>清流の里</t>
    <phoneticPr fontId="14"/>
  </si>
  <si>
    <t>陽だまり稲穂</t>
    <rPh sb="0" eb="1">
      <t>ヒ</t>
    </rPh>
    <rPh sb="4" eb="6">
      <t>イナホ</t>
    </rPh>
    <phoneticPr fontId="14"/>
  </si>
  <si>
    <t>雲竜柄　無地</t>
    <rPh sb="0" eb="2">
      <t>ウンリュウ</t>
    </rPh>
    <rPh sb="2" eb="3">
      <t>エ</t>
    </rPh>
    <rPh sb="4" eb="6">
      <t>ムジ</t>
    </rPh>
    <phoneticPr fontId="5"/>
  </si>
  <si>
    <t>筆丸ピンク</t>
  </si>
  <si>
    <t>青空の輝き</t>
    <phoneticPr fontId="14"/>
  </si>
  <si>
    <t>金帯雲竜</t>
    <rPh sb="0" eb="1">
      <t>キン</t>
    </rPh>
    <rPh sb="1" eb="2">
      <t>オビ</t>
    </rPh>
    <rPh sb="2" eb="4">
      <t>ウンリュウ</t>
    </rPh>
    <phoneticPr fontId="14"/>
  </si>
  <si>
    <t>彩り</t>
  </si>
  <si>
    <t>千代紙　もち米</t>
    <phoneticPr fontId="14"/>
  </si>
  <si>
    <t>４色</t>
    <rPh sb="1" eb="2">
      <t>ショク</t>
    </rPh>
    <phoneticPr fontId="5"/>
  </si>
  <si>
    <t>919
951</t>
    <phoneticPr fontId="5"/>
  </si>
  <si>
    <t xml:space="preserve">
919</t>
  </si>
  <si>
    <t>約1050枚～</t>
    <rPh sb="0" eb="1">
      <t>ヤク</t>
    </rPh>
    <rPh sb="5" eb="6">
      <t>マイ</t>
    </rPh>
    <phoneticPr fontId="5"/>
  </si>
  <si>
    <t>約2100枚～</t>
    <rPh sb="0" eb="1">
      <t>ヤク</t>
    </rPh>
    <rPh sb="5" eb="6">
      <t>マイ</t>
    </rPh>
    <phoneticPr fontId="5"/>
  </si>
  <si>
    <t>約3200枚～</t>
    <rPh sb="0" eb="1">
      <t>ヤク</t>
    </rPh>
    <rPh sb="5" eb="6">
      <t>マイ</t>
    </rPh>
    <phoneticPr fontId="5"/>
  </si>
  <si>
    <t>売</t>
    <rPh sb="0" eb="1">
      <t>バイ</t>
    </rPh>
    <phoneticPr fontId="5"/>
  </si>
  <si>
    <t>約6400枚～</t>
    <rPh sb="0" eb="1">
      <t>ヤク</t>
    </rPh>
    <rPh sb="5" eb="6">
      <t>マイ</t>
    </rPh>
    <phoneticPr fontId="5"/>
  </si>
  <si>
    <t>※印刷は（墨・赤・金・緑・橙・黄・紺・桃・青・草・小豆）の11色になります。</t>
    <rPh sb="1" eb="3">
      <t>インサツ</t>
    </rPh>
    <rPh sb="13" eb="14">
      <t>ダイダイ</t>
    </rPh>
    <rPh sb="15" eb="16">
      <t>キ</t>
    </rPh>
    <rPh sb="17" eb="18">
      <t>コン</t>
    </rPh>
    <rPh sb="19" eb="20">
      <t>モモ</t>
    </rPh>
    <rPh sb="21" eb="22">
      <t>アオ</t>
    </rPh>
    <rPh sb="23" eb="24">
      <t>クサ</t>
    </rPh>
    <rPh sb="25" eb="27">
      <t>アズキ</t>
    </rPh>
    <phoneticPr fontId="5"/>
  </si>
  <si>
    <t>1Ｋ～2Ｋ</t>
    <phoneticPr fontId="5"/>
  </si>
  <si>
    <t>841
842
874
880
881
882
905
906
919
924
927
928
929
933
952
953
955
977</t>
    <phoneticPr fontId="5"/>
  </si>
  <si>
    <t>約750枚～</t>
    <rPh sb="0" eb="1">
      <t>ヤク</t>
    </rPh>
    <rPh sb="4" eb="5">
      <t>マイ</t>
    </rPh>
    <phoneticPr fontId="5"/>
  </si>
  <si>
    <t>約1500枚～</t>
    <rPh sb="0" eb="1">
      <t>ヤク</t>
    </rPh>
    <rPh sb="5" eb="6">
      <t>マイ</t>
    </rPh>
    <phoneticPr fontId="5"/>
  </si>
  <si>
    <t>約2250枚～</t>
    <rPh sb="0" eb="1">
      <t>ヤク</t>
    </rPh>
    <rPh sb="5" eb="6">
      <t>マイ</t>
    </rPh>
    <phoneticPr fontId="5"/>
  </si>
  <si>
    <t>約4500枚～</t>
    <rPh sb="0" eb="1">
      <t>ヤク</t>
    </rPh>
    <rPh sb="5" eb="6">
      <t>マイ</t>
    </rPh>
    <phoneticPr fontId="5"/>
  </si>
  <si>
    <t>842
874
880
882
919
924
927
977</t>
    <phoneticPr fontId="5"/>
  </si>
  <si>
    <t>※単袋の場合、ロールに印刷した後にカットするので仕上り数に若干の</t>
    <rPh sb="1" eb="2">
      <t>タン</t>
    </rPh>
    <rPh sb="2" eb="3">
      <t>フクロ</t>
    </rPh>
    <rPh sb="4" eb="6">
      <t>バアイ</t>
    </rPh>
    <rPh sb="11" eb="13">
      <t>インサツ</t>
    </rPh>
    <rPh sb="15" eb="16">
      <t>ノチ</t>
    </rPh>
    <rPh sb="24" eb="26">
      <t>シアガ</t>
    </rPh>
    <rPh sb="27" eb="28">
      <t>スウ</t>
    </rPh>
    <phoneticPr fontId="5"/>
  </si>
  <si>
    <t xml:space="preserve">  誤差が生じます。</t>
    <phoneticPr fontId="14"/>
  </si>
  <si>
    <t>約500枚～</t>
    <rPh sb="0" eb="1">
      <t>ヤク</t>
    </rPh>
    <rPh sb="4" eb="5">
      <t>マイ</t>
    </rPh>
    <phoneticPr fontId="5"/>
  </si>
  <si>
    <t>3Ｋ</t>
    <phoneticPr fontId="5"/>
  </si>
  <si>
    <t>14,000円</t>
    <rPh sb="6" eb="7">
      <t>エン</t>
    </rPh>
    <phoneticPr fontId="5"/>
  </si>
  <si>
    <t>10Ｋ</t>
    <phoneticPr fontId="5"/>
  </si>
  <si>
    <t>20,000円</t>
    <rPh sb="6" eb="7">
      <t>エン</t>
    </rPh>
    <phoneticPr fontId="5"/>
  </si>
  <si>
    <t>約3100枚～</t>
    <rPh sb="0" eb="1">
      <t>ヤク</t>
    </rPh>
    <rPh sb="5" eb="6">
      <t>マイ</t>
    </rPh>
    <phoneticPr fontId="5"/>
  </si>
  <si>
    <t>レーヨン和紙
ソフトクラフト</t>
    <rPh sb="4" eb="6">
      <t>ワシ</t>
    </rPh>
    <phoneticPr fontId="5"/>
  </si>
  <si>
    <t>和紙　無地</t>
    <rPh sb="0" eb="2">
      <t>ワシ</t>
    </rPh>
    <rPh sb="3" eb="5">
      <t>ムジ</t>
    </rPh>
    <phoneticPr fontId="5"/>
  </si>
  <si>
    <t>ソフクラ　無地</t>
    <rPh sb="5" eb="7">
      <t>ムジ</t>
    </rPh>
    <phoneticPr fontId="5"/>
  </si>
  <si>
    <t>飾り格子華</t>
    <rPh sb="0" eb="1">
      <t>カザ</t>
    </rPh>
    <rPh sb="2" eb="4">
      <t>コウシ</t>
    </rPh>
    <rPh sb="4" eb="5">
      <t>ハナ</t>
    </rPh>
    <phoneticPr fontId="5"/>
  </si>
  <si>
    <t>812
814
860</t>
    <phoneticPr fontId="5"/>
  </si>
  <si>
    <t>※単袋の場合、ロールに印刷した後にカットするので仕上り数に</t>
    <rPh sb="1" eb="2">
      <t>タン</t>
    </rPh>
    <rPh sb="2" eb="3">
      <t>フクロ</t>
    </rPh>
    <rPh sb="4" eb="6">
      <t>バアイ</t>
    </rPh>
    <rPh sb="11" eb="13">
      <t>インサツ</t>
    </rPh>
    <rPh sb="15" eb="16">
      <t>ノチ</t>
    </rPh>
    <rPh sb="24" eb="26">
      <t>シアガ</t>
    </rPh>
    <rPh sb="27" eb="28">
      <t>スウ</t>
    </rPh>
    <phoneticPr fontId="5"/>
  </si>
  <si>
    <t>若干の誤差が生じます。</t>
  </si>
  <si>
    <t>【単袋用】</t>
    <rPh sb="1" eb="2">
      <t>タン</t>
    </rPh>
    <rPh sb="2" eb="3">
      <t>フクロ</t>
    </rPh>
    <rPh sb="3" eb="4">
      <t>ヨウ</t>
    </rPh>
    <phoneticPr fontId="5"/>
  </si>
  <si>
    <t>レーヨン和紙／
ソフトクラフト</t>
    <rPh sb="4" eb="6">
      <t>ワシ</t>
    </rPh>
    <phoneticPr fontId="5"/>
  </si>
  <si>
    <t>１色</t>
    <rPh sb="1" eb="2">
      <t>ショク</t>
    </rPh>
    <phoneticPr fontId="5"/>
  </si>
  <si>
    <t>３色</t>
    <rPh sb="1" eb="2">
      <t>ショク</t>
    </rPh>
    <phoneticPr fontId="5"/>
  </si>
  <si>
    <t>4色以上</t>
    <rPh sb="1" eb="2">
      <t>ショク</t>
    </rPh>
    <rPh sb="2" eb="4">
      <t>イジョウ</t>
    </rPh>
    <phoneticPr fontId="5"/>
  </si>
  <si>
    <t>版代</t>
    <rPh sb="0" eb="1">
      <t>ハン</t>
    </rPh>
    <rPh sb="1" eb="2">
      <t>ダイ</t>
    </rPh>
    <phoneticPr fontId="5"/>
  </si>
  <si>
    <t>写真版</t>
    <rPh sb="0" eb="2">
      <t>シャシン</t>
    </rPh>
    <rPh sb="2" eb="3">
      <t>ハン</t>
    </rPh>
    <phoneticPr fontId="5"/>
  </si>
  <si>
    <t>C柄</t>
    <rPh sb="1" eb="2">
      <t>ガラ</t>
    </rPh>
    <phoneticPr fontId="5"/>
  </si>
  <si>
    <t>赤×黄土</t>
    <rPh sb="0" eb="1">
      <t>アカ</t>
    </rPh>
    <rPh sb="2" eb="4">
      <t>オウド</t>
    </rPh>
    <phoneticPr fontId="5"/>
  </si>
  <si>
    <t>814
819
996
997</t>
    <phoneticPr fontId="5"/>
  </si>
  <si>
    <t>500枚</t>
    <rPh sb="3" eb="4">
      <t>マイ</t>
    </rPh>
    <phoneticPr fontId="14"/>
  </si>
  <si>
    <t>E柄</t>
    <rPh sb="1" eb="2">
      <t>ガラ</t>
    </rPh>
    <phoneticPr fontId="5"/>
  </si>
  <si>
    <t>無地</t>
    <rPh sb="0" eb="2">
      <t>ムジ</t>
    </rPh>
    <phoneticPr fontId="5"/>
  </si>
  <si>
    <t>Ｄ</t>
  </si>
  <si>
    <t>1000枚</t>
    <rPh sb="4" eb="5">
      <t>マイ</t>
    </rPh>
    <phoneticPr fontId="5"/>
  </si>
  <si>
    <t>814
819</t>
    <phoneticPr fontId="14"/>
  </si>
  <si>
    <t>※印刷は（墨・赤・朱・桃・橙・黄・黄土・茶・緑・抹茶・黄緑・青・紺・紫・金）の15色になります。</t>
    <rPh sb="1" eb="3">
      <t>インサツ</t>
    </rPh>
    <rPh sb="5" eb="6">
      <t>スミ</t>
    </rPh>
    <rPh sb="7" eb="8">
      <t>アカ</t>
    </rPh>
    <rPh sb="9" eb="10">
      <t>シュ</t>
    </rPh>
    <rPh sb="11" eb="12">
      <t>モモ</t>
    </rPh>
    <rPh sb="13" eb="14">
      <t>ダイダイ</t>
    </rPh>
    <rPh sb="15" eb="16">
      <t>キ</t>
    </rPh>
    <rPh sb="17" eb="19">
      <t>オウド</t>
    </rPh>
    <rPh sb="20" eb="21">
      <t>チャ</t>
    </rPh>
    <rPh sb="22" eb="23">
      <t>ミドリ</t>
    </rPh>
    <rPh sb="24" eb="26">
      <t>マッチャ</t>
    </rPh>
    <rPh sb="27" eb="29">
      <t>キミドリ</t>
    </rPh>
    <rPh sb="30" eb="31">
      <t>アオ</t>
    </rPh>
    <rPh sb="32" eb="33">
      <t>コン</t>
    </rPh>
    <rPh sb="34" eb="35">
      <t>ムラサキ</t>
    </rPh>
    <rPh sb="36" eb="37">
      <t>キン</t>
    </rPh>
    <phoneticPr fontId="5"/>
  </si>
  <si>
    <t>※版の保持期限は最終ご注文日より1年半です。</t>
    <rPh sb="1" eb="2">
      <t>ハン</t>
    </rPh>
    <rPh sb="3" eb="5">
      <t>ホジ</t>
    </rPh>
    <rPh sb="5" eb="7">
      <t>キゲン</t>
    </rPh>
    <rPh sb="8" eb="10">
      <t>サイシュウ</t>
    </rPh>
    <rPh sb="11" eb="14">
      <t>チュウモンビ</t>
    </rPh>
    <rPh sb="17" eb="18">
      <t>ネン</t>
    </rPh>
    <rPh sb="18" eb="19">
      <t>ハン</t>
    </rPh>
    <phoneticPr fontId="5"/>
  </si>
  <si>
    <t>№936　真空ラミ</t>
    <rPh sb="5" eb="7">
      <t>シンクウ</t>
    </rPh>
    <phoneticPr fontId="5"/>
  </si>
  <si>
    <t>№970</t>
    <phoneticPr fontId="5"/>
  </si>
  <si>
    <t>真空和紙包み</t>
    <rPh sb="2" eb="4">
      <t>ワシ</t>
    </rPh>
    <rPh sb="4" eb="5">
      <t>ツツ</t>
    </rPh>
    <phoneticPr fontId="2"/>
  </si>
  <si>
    <t>和紙包み</t>
    <rPh sb="0" eb="2">
      <t>ワシ</t>
    </rPh>
    <rPh sb="2" eb="3">
      <t>ツツ</t>
    </rPh>
    <phoneticPr fontId="5"/>
  </si>
  <si>
    <t>紫グラデーション</t>
    <rPh sb="0" eb="1">
      <t>ムラサキ</t>
    </rPh>
    <phoneticPr fontId="5"/>
  </si>
  <si>
    <t>黒グラデーション</t>
    <rPh sb="0" eb="1">
      <t>クロ</t>
    </rPh>
    <phoneticPr fontId="5"/>
  </si>
  <si>
    <t>840
856</t>
    <phoneticPr fontId="5"/>
  </si>
  <si>
    <t>839
840
856</t>
    <phoneticPr fontId="14"/>
  </si>
  <si>
    <t>※単袋の場合、ロールに印刷した後にカットするので仕上り数に若干の誤差が生じます。</t>
    <rPh sb="1" eb="2">
      <t>タン</t>
    </rPh>
    <rPh sb="2" eb="3">
      <t>フクロ</t>
    </rPh>
    <rPh sb="4" eb="6">
      <t>バアイ</t>
    </rPh>
    <rPh sb="11" eb="13">
      <t>インサツ</t>
    </rPh>
    <rPh sb="15" eb="16">
      <t>ノチ</t>
    </rPh>
    <rPh sb="24" eb="26">
      <t>シアガ</t>
    </rPh>
    <rPh sb="27" eb="28">
      <t>スウ</t>
    </rPh>
    <phoneticPr fontId="5"/>
  </si>
  <si>
    <t>４色以上</t>
    <rPh sb="1" eb="2">
      <t>ショク</t>
    </rPh>
    <rPh sb="2" eb="4">
      <t>イジョウ</t>
    </rPh>
    <phoneticPr fontId="5"/>
  </si>
  <si>
    <t>817
818</t>
    <phoneticPr fontId="14"/>
  </si>
  <si>
    <t>500枚</t>
    <rPh sb="3" eb="4">
      <t>マイ</t>
    </rPh>
    <phoneticPr fontId="5"/>
  </si>
  <si>
    <t>B柄</t>
    <rPh sb="1" eb="2">
      <t>ガラ</t>
    </rPh>
    <phoneticPr fontId="5"/>
  </si>
  <si>
    <t>赤×草</t>
    <rPh sb="0" eb="1">
      <t>アカ</t>
    </rPh>
    <rPh sb="2" eb="3">
      <t>クサ</t>
    </rPh>
    <phoneticPr fontId="5"/>
  </si>
  <si>
    <t>赤×ﾋﾟﾝｸ</t>
    <rPh sb="0" eb="1">
      <t>アカ</t>
    </rPh>
    <phoneticPr fontId="5"/>
  </si>
  <si>
    <t>C柄（5kgのみ)</t>
    <rPh sb="1" eb="2">
      <t>ガラ</t>
    </rPh>
    <phoneticPr fontId="5"/>
  </si>
  <si>
    <t>紫×黄土</t>
    <rPh sb="0" eb="1">
      <t>ムラサキ</t>
    </rPh>
    <rPh sb="2" eb="4">
      <t>オウド</t>
    </rPh>
    <phoneticPr fontId="5"/>
  </si>
  <si>
    <t>D柄（10kgのみ）</t>
    <rPh sb="1" eb="2">
      <t>ガラ</t>
    </rPh>
    <phoneticPr fontId="5"/>
  </si>
  <si>
    <t>ﾋﾟﾝｸ×若草</t>
    <rPh sb="5" eb="7">
      <t>ワカクサ</t>
    </rPh>
    <phoneticPr fontId="5"/>
  </si>
  <si>
    <t>ﾍﾞｰｼﾞｭ×紺</t>
    <rPh sb="7" eb="8">
      <t>コン</t>
    </rPh>
    <phoneticPr fontId="5"/>
  </si>
  <si>
    <t>写真版</t>
    <rPh sb="0" eb="3">
      <t>シャシンハン</t>
    </rPh>
    <phoneticPr fontId="14"/>
  </si>
  <si>
    <t>A柄（5kg、10kg）</t>
    <rPh sb="1" eb="2">
      <t>ガラ</t>
    </rPh>
    <phoneticPr fontId="5"/>
  </si>
  <si>
    <t>草</t>
    <rPh sb="0" eb="1">
      <t>クサ</t>
    </rPh>
    <phoneticPr fontId="5"/>
  </si>
  <si>
    <t>B柄（10kgのみ）</t>
    <rPh sb="1" eb="2">
      <t>ガラ</t>
    </rPh>
    <phoneticPr fontId="5"/>
  </si>
  <si>
    <t>赤×茶</t>
    <rPh sb="0" eb="1">
      <t>アカ</t>
    </rPh>
    <rPh sb="2" eb="3">
      <t>チャ</t>
    </rPh>
    <phoneticPr fontId="5"/>
  </si>
  <si>
    <t>金銀和紙　稲穂</t>
    <rPh sb="0" eb="2">
      <t>キンギン</t>
    </rPh>
    <rPh sb="2" eb="4">
      <t>ワシ</t>
    </rPh>
    <rPh sb="5" eb="7">
      <t>イナホ</t>
    </rPh>
    <phoneticPr fontId="5"/>
  </si>
  <si>
    <t>雲竜和紙　無地</t>
    <rPh sb="0" eb="2">
      <t>ウンリュウ</t>
    </rPh>
    <rPh sb="2" eb="4">
      <t>ワシ</t>
    </rPh>
    <rPh sb="5" eb="7">
      <t>ムジ</t>
    </rPh>
    <phoneticPr fontId="5"/>
  </si>
  <si>
    <t>811
816</t>
    <phoneticPr fontId="5"/>
  </si>
  <si>
    <t>800枚</t>
    <rPh sb="3" eb="4">
      <t>マイ</t>
    </rPh>
    <phoneticPr fontId="5"/>
  </si>
  <si>
    <t>クラフト無地</t>
    <rPh sb="4" eb="6">
      <t>ムジ</t>
    </rPh>
    <phoneticPr fontId="5"/>
  </si>
  <si>
    <t>クラフト　無地</t>
    <rPh sb="5" eb="7">
      <t>ムジ</t>
    </rPh>
    <phoneticPr fontId="5"/>
  </si>
  <si>
    <t>1200枚</t>
    <rPh sb="4" eb="5">
      <t>マイ</t>
    </rPh>
    <phoneticPr fontId="5"/>
  </si>
  <si>
    <t>※印刷は　　　　　　　　　　　　　　（墨・赤・朱・桃・橙・黄・黄土・茶・緑・抹茶・黄緑・青・紺・紫・金）の15色になります。</t>
    <phoneticPr fontId="14"/>
  </si>
  <si>
    <t>810
815</t>
    <phoneticPr fontId="5"/>
  </si>
  <si>
    <t>ポリポリ</t>
    <phoneticPr fontId="5"/>
  </si>
  <si>
    <t>米粒ピンク</t>
    <rPh sb="0" eb="2">
      <t>コメツブ</t>
    </rPh>
    <phoneticPr fontId="14"/>
  </si>
  <si>
    <t>屏風</t>
  </si>
  <si>
    <t>雲竜桜</t>
    <rPh sb="0" eb="2">
      <t>ウンリュウ</t>
    </rPh>
    <rPh sb="2" eb="3">
      <t>サクラ</t>
    </rPh>
    <phoneticPr fontId="14"/>
  </si>
  <si>
    <t>収穫の喜び</t>
    <rPh sb="0" eb="2">
      <t>シュウカク</t>
    </rPh>
    <rPh sb="3" eb="4">
      <t>ヨロコ</t>
    </rPh>
    <phoneticPr fontId="14"/>
  </si>
  <si>
    <t>稲穂とお茶碗</t>
  </si>
  <si>
    <t>かやぶき屋根</t>
  </si>
  <si>
    <t>華やか雅</t>
  </si>
  <si>
    <t>陽だまりの田園</t>
    <rPh sb="0" eb="1">
      <t>ヒ</t>
    </rPh>
    <rPh sb="5" eb="7">
      <t>デンエン</t>
    </rPh>
    <phoneticPr fontId="14"/>
  </si>
  <si>
    <t>黄昏筆柄</t>
  </si>
  <si>
    <t>雲竜柄　無地</t>
  </si>
  <si>
    <t>あじさい</t>
  </si>
  <si>
    <t>華ひらり</t>
  </si>
  <si>
    <t>水滴無洗米</t>
  </si>
  <si>
    <t>彩り花文様</t>
  </si>
  <si>
    <t>大自然と稲穂</t>
    <rPh sb="0" eb="3">
      <t>ダイシゼン</t>
    </rPh>
    <rPh sb="4" eb="6">
      <t>イナホ</t>
    </rPh>
    <phoneticPr fontId="5"/>
  </si>
  <si>
    <t>青雲の田園</t>
  </si>
  <si>
    <t>至高の金箔　新米</t>
    <rPh sb="0" eb="2">
      <t>シコウ</t>
    </rPh>
    <rPh sb="3" eb="5">
      <t>キンパク</t>
    </rPh>
    <rPh sb="6" eb="8">
      <t>シンマイ</t>
    </rPh>
    <phoneticPr fontId="14"/>
  </si>
  <si>
    <t>お米くんグリーン</t>
  </si>
  <si>
    <t>帯柄（もち米）</t>
    <rPh sb="0" eb="1">
      <t>オビ</t>
    </rPh>
    <rPh sb="1" eb="2">
      <t>ガラ</t>
    </rPh>
    <rPh sb="5" eb="6">
      <t>コメ</t>
    </rPh>
    <phoneticPr fontId="14"/>
  </si>
  <si>
    <t>無地（裏面白）</t>
    <rPh sb="0" eb="2">
      <t>ムジ</t>
    </rPh>
    <rPh sb="3" eb="4">
      <t>ウラ</t>
    </rPh>
    <rPh sb="4" eb="5">
      <t>メン</t>
    </rPh>
    <rPh sb="5" eb="6">
      <t>シロ</t>
    </rPh>
    <phoneticPr fontId="14"/>
  </si>
  <si>
    <t>まどか</t>
  </si>
  <si>
    <t>水彩ピンク</t>
    <rPh sb="0" eb="2">
      <t>スイサイ</t>
    </rPh>
    <phoneticPr fontId="5"/>
  </si>
  <si>
    <t>風そよぐ稲</t>
  </si>
  <si>
    <t>陽のあたる大地</t>
    <rPh sb="0" eb="1">
      <t>ヒ</t>
    </rPh>
    <rPh sb="5" eb="7">
      <t>ダイチ</t>
    </rPh>
    <phoneticPr fontId="14"/>
  </si>
  <si>
    <t>囲炉裏</t>
  </si>
  <si>
    <t>お米の里から・新米</t>
  </si>
  <si>
    <t xml:space="preserve">カラフル稲穂 </t>
  </si>
  <si>
    <t>メタリック桃色筆柄</t>
    <phoneticPr fontId="14"/>
  </si>
  <si>
    <t>黄金の一粒</t>
    <rPh sb="0" eb="2">
      <t>オウゴン</t>
    </rPh>
    <rPh sb="3" eb="5">
      <t>ヒトツブ</t>
    </rPh>
    <phoneticPr fontId="14"/>
  </si>
  <si>
    <t>撫子稲穂</t>
  </si>
  <si>
    <t>至高の瑞穂</t>
    <rPh sb="0" eb="2">
      <t>シコウ</t>
    </rPh>
    <rPh sb="3" eb="5">
      <t>ミズホ</t>
    </rPh>
    <phoneticPr fontId="14"/>
  </si>
  <si>
    <t>田植の頃</t>
  </si>
  <si>
    <t>花パステル</t>
  </si>
  <si>
    <t>今年も豊作！</t>
  </si>
  <si>
    <t>メタリック山吹銀菱</t>
    <phoneticPr fontId="14"/>
  </si>
  <si>
    <t>稲ストライプ</t>
  </si>
  <si>
    <t>格子柄エンジ</t>
    <rPh sb="0" eb="2">
      <t>コウシ</t>
    </rPh>
    <rPh sb="2" eb="3">
      <t>ガラ</t>
    </rPh>
    <phoneticPr fontId="14"/>
  </si>
  <si>
    <t>大きなしずく</t>
    <rPh sb="0" eb="1">
      <t>オオ</t>
    </rPh>
    <phoneticPr fontId="14"/>
  </si>
  <si>
    <t>四季・新米</t>
  </si>
  <si>
    <t>夕焼けトンボ</t>
  </si>
  <si>
    <t>和柄水彩</t>
  </si>
  <si>
    <t xml:space="preserve"> メタリック水色光彩</t>
    <phoneticPr fontId="14"/>
  </si>
  <si>
    <t>リボンしおり</t>
  </si>
  <si>
    <t>金銀市松柄</t>
    <rPh sb="0" eb="2">
      <t>キンギン</t>
    </rPh>
    <rPh sb="2" eb="4">
      <t>イチマツ</t>
    </rPh>
    <rPh sb="4" eb="5">
      <t>ガラ</t>
    </rPh>
    <phoneticPr fontId="14"/>
  </si>
  <si>
    <t>枡と田園</t>
    <rPh sb="0" eb="1">
      <t>マス</t>
    </rPh>
    <rPh sb="2" eb="4">
      <t>デンエン</t>
    </rPh>
    <phoneticPr fontId="14"/>
  </si>
  <si>
    <t>アザレ・無洗米</t>
  </si>
  <si>
    <t>おいしい季節の到来・新米</t>
  </si>
  <si>
    <t>ひかりの田園</t>
  </si>
  <si>
    <t>売</t>
  </si>
  <si>
    <r>
      <t xml:space="preserve">1.4
</t>
    </r>
    <r>
      <rPr>
        <sz val="12"/>
        <color rgb="FFFFFFFF"/>
        <rFont val="Yu Gothic"/>
        <family val="2"/>
        <charset val="128"/>
      </rPr>
      <t xml:space="preserve">～
</t>
    </r>
    <r>
      <rPr>
        <sz val="12"/>
        <color rgb="FFFFFFFF"/>
        <rFont val="Arial Black"/>
        <family val="2"/>
      </rPr>
      <t>1.5</t>
    </r>
    <phoneticPr fontId="14"/>
  </si>
  <si>
    <t>準</t>
  </si>
  <si>
    <t>約900枚～</t>
    <rPh sb="0" eb="1">
      <t>ヤク</t>
    </rPh>
    <rPh sb="4" eb="5">
      <t>マイ</t>
    </rPh>
    <phoneticPr fontId="5"/>
  </si>
  <si>
    <t>約1800枚～</t>
    <rPh sb="0" eb="1">
      <t>ヤク</t>
    </rPh>
    <rPh sb="5" eb="6">
      <t>マイ</t>
    </rPh>
    <phoneticPr fontId="5"/>
  </si>
  <si>
    <t>約2800枚～</t>
    <rPh sb="0" eb="1">
      <t>ヤク</t>
    </rPh>
    <rPh sb="5" eb="6">
      <t>マイ</t>
    </rPh>
    <phoneticPr fontId="5"/>
  </si>
  <si>
    <t>約5600枚～</t>
    <rPh sb="0" eb="1">
      <t>ヤク</t>
    </rPh>
    <rPh sb="5" eb="6">
      <t>マイ</t>
    </rPh>
    <phoneticPr fontId="5"/>
  </si>
  <si>
    <t>1Ｋ～1.4K</t>
    <phoneticPr fontId="5"/>
  </si>
  <si>
    <t>921
942
963
968
986
988</t>
    <phoneticPr fontId="5"/>
  </si>
  <si>
    <t>約700枚～</t>
    <rPh sb="0" eb="1">
      <t>ヤク</t>
    </rPh>
    <rPh sb="4" eb="5">
      <t>マイ</t>
    </rPh>
    <phoneticPr fontId="5"/>
  </si>
  <si>
    <t>4Ｋ</t>
    <phoneticPr fontId="5"/>
  </si>
  <si>
    <t>約1400枚～</t>
    <rPh sb="0" eb="1">
      <t>ヤク</t>
    </rPh>
    <rPh sb="5" eb="6">
      <t>マイ</t>
    </rPh>
    <phoneticPr fontId="5"/>
  </si>
  <si>
    <t>約4200枚～</t>
    <rPh sb="0" eb="1">
      <t>ヤク</t>
    </rPh>
    <rPh sb="5" eb="6">
      <t>マイ</t>
    </rPh>
    <phoneticPr fontId="5"/>
  </si>
  <si>
    <t>836 837 838 844 847 849 876 877 885 886 887 888 912 917 918 921 922 925 930 937 938 939 940 941 942 944 948 959 963 968 972 974 976 982 984 986 988 993 1018 1019 1020 1021 1022 1023 1024 1025</t>
    <phoneticPr fontId="14"/>
  </si>
  <si>
    <t>836
837
838
844
847
849
877
885
886
887
888
917
921
925
930
937
938
939
944
948
963
968
974</t>
    <phoneticPr fontId="5"/>
  </si>
  <si>
    <t>10K</t>
    <phoneticPr fontId="5"/>
  </si>
  <si>
    <t>マットポリポリ</t>
    <phoneticPr fontId="5"/>
  </si>
  <si>
    <t>和紙調　無地</t>
    <rPh sb="0" eb="2">
      <t>ワシ</t>
    </rPh>
    <rPh sb="2" eb="3">
      <t>チョウ</t>
    </rPh>
    <rPh sb="4" eb="6">
      <t>ムジ</t>
    </rPh>
    <phoneticPr fontId="14"/>
  </si>
  <si>
    <t>霞（かすみ）</t>
    <rPh sb="0" eb="1">
      <t>カスミ</t>
    </rPh>
    <phoneticPr fontId="14"/>
  </si>
  <si>
    <t>メタリック朱の煌き</t>
    <rPh sb="5" eb="6">
      <t>シュ</t>
    </rPh>
    <rPh sb="7" eb="8">
      <t>キラメ</t>
    </rPh>
    <phoneticPr fontId="14"/>
  </si>
  <si>
    <t>クラフト調　無地</t>
    <rPh sb="4" eb="5">
      <t>チョウ</t>
    </rPh>
    <rPh sb="6" eb="8">
      <t>ムジ</t>
    </rPh>
    <phoneticPr fontId="14"/>
  </si>
  <si>
    <t>里山</t>
    <rPh sb="0" eb="2">
      <t>サトヤマ</t>
    </rPh>
    <phoneticPr fontId="14"/>
  </si>
  <si>
    <t>メタリック草銀の稲菱</t>
    <rPh sb="5" eb="6">
      <t>クサ</t>
    </rPh>
    <rPh sb="6" eb="7">
      <t>ギン</t>
    </rPh>
    <rPh sb="8" eb="9">
      <t>イネ</t>
    </rPh>
    <rPh sb="9" eb="10">
      <t>ヒシ</t>
    </rPh>
    <phoneticPr fontId="14"/>
  </si>
  <si>
    <t>黄金・新米</t>
    <rPh sb="0" eb="2">
      <t>オウゴン</t>
    </rPh>
    <rPh sb="3" eb="5">
      <t>シンマイ</t>
    </rPh>
    <phoneticPr fontId="14"/>
  </si>
  <si>
    <t>米型窓</t>
    <rPh sb="0" eb="1">
      <t>コメ</t>
    </rPh>
    <rPh sb="1" eb="2">
      <t>ガタ</t>
    </rPh>
    <rPh sb="2" eb="3">
      <t>マド</t>
    </rPh>
    <phoneticPr fontId="14"/>
  </si>
  <si>
    <t>和紙調　丸窓・雲竜柄無地</t>
    <rPh sb="0" eb="2">
      <t>ワシ</t>
    </rPh>
    <rPh sb="2" eb="3">
      <t>チョウ</t>
    </rPh>
    <rPh sb="4" eb="5">
      <t>マル</t>
    </rPh>
    <rPh sb="5" eb="6">
      <t>マド</t>
    </rPh>
    <rPh sb="7" eb="9">
      <t>ウンリュウ</t>
    </rPh>
    <rPh sb="9" eb="10">
      <t>ガラ</t>
    </rPh>
    <rPh sb="10" eb="12">
      <t>ムジ</t>
    </rPh>
    <phoneticPr fontId="14"/>
  </si>
  <si>
    <t>紺グラデーション</t>
    <rPh sb="0" eb="1">
      <t>コン</t>
    </rPh>
    <phoneticPr fontId="14"/>
  </si>
  <si>
    <t>黄金雲竜の郷</t>
    <rPh sb="0" eb="2">
      <t>オウゴン</t>
    </rPh>
    <rPh sb="2" eb="4">
      <t>ウンリュウ</t>
    </rPh>
    <rPh sb="5" eb="6">
      <t>サト</t>
    </rPh>
    <phoneticPr fontId="14"/>
  </si>
  <si>
    <t>おおつぶ稲穂</t>
    <rPh sb="4" eb="6">
      <t>イナホ</t>
    </rPh>
    <phoneticPr fontId="14"/>
  </si>
  <si>
    <t>608
609
828
843
932</t>
    <phoneticPr fontId="5"/>
  </si>
  <si>
    <t>608
609
734
828
843
846
875
884
914
932
966
967</t>
    <phoneticPr fontId="5"/>
  </si>
  <si>
    <t>608
609
828
846
875
884</t>
    <phoneticPr fontId="5"/>
  </si>
  <si>
    <t>ポリ　　（400ｍ巻）</t>
    <rPh sb="9" eb="10">
      <t>マキ</t>
    </rPh>
    <phoneticPr fontId="5"/>
  </si>
  <si>
    <t>収穫日和エンジ</t>
    <rPh sb="0" eb="2">
      <t>シュウカク</t>
    </rPh>
    <rPh sb="2" eb="4">
      <t>ビヨリ</t>
    </rPh>
    <phoneticPr fontId="14"/>
  </si>
  <si>
    <t>ご飯と稲穂</t>
    <rPh sb="1" eb="2">
      <t>ハン</t>
    </rPh>
    <rPh sb="3" eb="5">
      <t>イナホ</t>
    </rPh>
    <phoneticPr fontId="14"/>
  </si>
  <si>
    <t>空と稲穂と新米</t>
    <rPh sb="0" eb="1">
      <t>カラ</t>
    </rPh>
    <rPh sb="2" eb="4">
      <t>イナホ</t>
    </rPh>
    <rPh sb="5" eb="7">
      <t>シンマイ</t>
    </rPh>
    <phoneticPr fontId="14"/>
  </si>
  <si>
    <t>麻柄フレーム</t>
    <phoneticPr fontId="14"/>
  </si>
  <si>
    <t>米粒青</t>
    <rPh sb="0" eb="2">
      <t>コメツブ</t>
    </rPh>
    <rPh sb="2" eb="3">
      <t>アオ</t>
    </rPh>
    <phoneticPr fontId="14"/>
  </si>
  <si>
    <t>稲穂と丸ピンク</t>
    <rPh sb="0" eb="2">
      <t>イナホ</t>
    </rPh>
    <rPh sb="3" eb="4">
      <t>マル</t>
    </rPh>
    <phoneticPr fontId="14"/>
  </si>
  <si>
    <t>水彩里山</t>
    <rPh sb="0" eb="2">
      <t>スイサイ</t>
    </rPh>
    <rPh sb="2" eb="4">
      <t>サトヤマ</t>
    </rPh>
    <phoneticPr fontId="14"/>
  </si>
  <si>
    <t>空から田んぼ</t>
    <rPh sb="0" eb="1">
      <t>ソラ</t>
    </rPh>
    <rPh sb="3" eb="4">
      <t>タ</t>
    </rPh>
    <phoneticPr fontId="14"/>
  </si>
  <si>
    <t>晴れやか新米</t>
    <rPh sb="0" eb="1">
      <t>ハ</t>
    </rPh>
    <rPh sb="4" eb="6">
      <t>シンマイ</t>
    </rPh>
    <phoneticPr fontId="14"/>
  </si>
  <si>
    <t>稲穂と渓流</t>
    <rPh sb="0" eb="2">
      <t>イナホ</t>
    </rPh>
    <rPh sb="3" eb="5">
      <t>ケイリュウ</t>
    </rPh>
    <phoneticPr fontId="14"/>
  </si>
  <si>
    <t>虹のダイヤ</t>
    <rPh sb="0" eb="1">
      <t>ニジ</t>
    </rPh>
    <phoneticPr fontId="14"/>
  </si>
  <si>
    <t>風穂</t>
    <phoneticPr fontId="14"/>
  </si>
  <si>
    <t>和柄緑屏風</t>
    <rPh sb="0" eb="1">
      <t>カズ</t>
    </rPh>
    <rPh sb="1" eb="2">
      <t>ガラ</t>
    </rPh>
    <rPh sb="2" eb="3">
      <t>ミドリ</t>
    </rPh>
    <rPh sb="3" eb="5">
      <t>ビョウブ</t>
    </rPh>
    <phoneticPr fontId="14"/>
  </si>
  <si>
    <t>青空に稲穂</t>
    <rPh sb="0" eb="2">
      <t>アオゾラ</t>
    </rPh>
    <rPh sb="3" eb="5">
      <t>イナホ</t>
    </rPh>
    <phoneticPr fontId="14"/>
  </si>
  <si>
    <t>ふるさとの思い出</t>
    <rPh sb="5" eb="6">
      <t>オモ</t>
    </rPh>
    <rPh sb="7" eb="8">
      <t>デ</t>
    </rPh>
    <phoneticPr fontId="14"/>
  </si>
  <si>
    <t>彩稲</t>
    <phoneticPr fontId="14"/>
  </si>
  <si>
    <t>稔りイエロー</t>
    <rPh sb="0" eb="1">
      <t>ミノ</t>
    </rPh>
    <phoneticPr fontId="14"/>
  </si>
  <si>
    <t>桜とぼたん</t>
    <rPh sb="0" eb="1">
      <t>サクラ</t>
    </rPh>
    <phoneticPr fontId="14"/>
  </si>
  <si>
    <t>水彩稲穂</t>
    <rPh sb="0" eb="2">
      <t>スイサイ</t>
    </rPh>
    <rPh sb="2" eb="4">
      <t>イナホ</t>
    </rPh>
    <phoneticPr fontId="14"/>
  </si>
  <si>
    <t>彩りレシピ</t>
    <phoneticPr fontId="14"/>
  </si>
  <si>
    <t>ももいろ景色</t>
    <rPh sb="4" eb="6">
      <t>ケシキ</t>
    </rPh>
    <phoneticPr fontId="14"/>
  </si>
  <si>
    <t>秋の風</t>
    <rPh sb="0" eb="1">
      <t>アキ</t>
    </rPh>
    <rPh sb="2" eb="3">
      <t>カゼ</t>
    </rPh>
    <phoneticPr fontId="14"/>
  </si>
  <si>
    <t>爽やか青空</t>
    <rPh sb="0" eb="1">
      <t>サワ</t>
    </rPh>
    <rPh sb="3" eb="5">
      <t>アオゾラ</t>
    </rPh>
    <phoneticPr fontId="14"/>
  </si>
  <si>
    <t>和の豊穣</t>
    <phoneticPr fontId="14"/>
  </si>
  <si>
    <t>和の調べ</t>
    <rPh sb="0" eb="1">
      <t>ワ</t>
    </rPh>
    <rPh sb="2" eb="3">
      <t>シラ</t>
    </rPh>
    <phoneticPr fontId="14"/>
  </si>
  <si>
    <t>彩り７色新米</t>
    <rPh sb="0" eb="1">
      <t>イロド</t>
    </rPh>
    <rPh sb="3" eb="4">
      <t>ショク</t>
    </rPh>
    <rPh sb="4" eb="6">
      <t>シンマイ</t>
    </rPh>
    <phoneticPr fontId="14"/>
  </si>
  <si>
    <t>晴天青空グリーン</t>
    <rPh sb="0" eb="2">
      <t>セイテン</t>
    </rPh>
    <rPh sb="2" eb="4">
      <t>アオゾラ</t>
    </rPh>
    <phoneticPr fontId="14"/>
  </si>
  <si>
    <t>筆波</t>
    <phoneticPr fontId="14"/>
  </si>
  <si>
    <t>粉雪短冊</t>
    <rPh sb="0" eb="2">
      <t>コナユキ</t>
    </rPh>
    <rPh sb="2" eb="4">
      <t>タンザク</t>
    </rPh>
    <phoneticPr fontId="14"/>
  </si>
  <si>
    <t>紅色菱形</t>
    <rPh sb="0" eb="2">
      <t>ベニイロ</t>
    </rPh>
    <rPh sb="2" eb="4">
      <t>ヒシガタ</t>
    </rPh>
    <phoneticPr fontId="14"/>
  </si>
  <si>
    <t>晴天青空オレンジ</t>
    <rPh sb="0" eb="2">
      <t>セイテン</t>
    </rPh>
    <rPh sb="2" eb="4">
      <t>アオゾラ</t>
    </rPh>
    <phoneticPr fontId="14"/>
  </si>
  <si>
    <t>風穂</t>
  </si>
  <si>
    <t>筆丸若草</t>
    <rPh sb="0" eb="1">
      <t>フデ</t>
    </rPh>
    <rPh sb="1" eb="2">
      <t>マル</t>
    </rPh>
    <rPh sb="2" eb="4">
      <t>ワカクサ</t>
    </rPh>
    <phoneticPr fontId="14"/>
  </si>
  <si>
    <t>里山紀行</t>
    <rPh sb="0" eb="2">
      <t>サトヤマ</t>
    </rPh>
    <rPh sb="2" eb="4">
      <t>キコウ</t>
    </rPh>
    <phoneticPr fontId="14"/>
  </si>
  <si>
    <t>花柄うろこ紋</t>
    <phoneticPr fontId="14"/>
  </si>
  <si>
    <t>花帯</t>
  </si>
  <si>
    <t>２色</t>
    <rPh sb="1" eb="2">
      <t>イロ</t>
    </rPh>
    <phoneticPr fontId="5"/>
  </si>
  <si>
    <t>950
1006</t>
    <phoneticPr fontId="14"/>
  </si>
  <si>
    <t>400ｍ～</t>
    <phoneticPr fontId="5"/>
  </si>
  <si>
    <t>約1100枚～</t>
    <rPh sb="0" eb="1">
      <t>ヤク</t>
    </rPh>
    <rPh sb="5" eb="6">
      <t>マイ</t>
    </rPh>
    <phoneticPr fontId="5"/>
  </si>
  <si>
    <t>約950枚～</t>
    <rPh sb="0" eb="1">
      <t>ヤク</t>
    </rPh>
    <rPh sb="4" eb="5">
      <t>マイ</t>
    </rPh>
    <phoneticPr fontId="5"/>
  </si>
  <si>
    <t>800ｍ～</t>
    <phoneticPr fontId="5"/>
  </si>
  <si>
    <t>約2200枚～</t>
    <rPh sb="0" eb="1">
      <t>ヤク</t>
    </rPh>
    <rPh sb="5" eb="6">
      <t>マイ</t>
    </rPh>
    <phoneticPr fontId="5"/>
  </si>
  <si>
    <t>2000ｍ～</t>
    <phoneticPr fontId="5"/>
  </si>
  <si>
    <t>約5700枚～</t>
    <rPh sb="0" eb="1">
      <t>ヤク</t>
    </rPh>
    <rPh sb="5" eb="6">
      <t>マイ</t>
    </rPh>
    <phoneticPr fontId="5"/>
  </si>
  <si>
    <t>約4700枚～</t>
    <rPh sb="0" eb="1">
      <t>ヤク</t>
    </rPh>
    <rPh sb="5" eb="6">
      <t>マイ</t>
    </rPh>
    <phoneticPr fontId="5"/>
  </si>
  <si>
    <t>801　824
857　859
865　867
868　869
870　893
894　895
896　920
931　945
950　957
960　973
980　981
983　990
991　1006
1007　1008
1009　1010
1011　1012
1014　1015</t>
    <phoneticPr fontId="14"/>
  </si>
  <si>
    <t>824
865
867
868
869
870
892
893
896
920
945
950
973
990
991
1006</t>
    <phoneticPr fontId="14"/>
  </si>
  <si>
    <t>約3500枚～</t>
    <rPh sb="0" eb="1">
      <t>ヤク</t>
    </rPh>
    <rPh sb="5" eb="6">
      <t>マイ</t>
    </rPh>
    <phoneticPr fontId="5"/>
  </si>
  <si>
    <t>※印刷は（墨・赤・緑・橙・黄・紺・桃・青・草・小豆）の10色になります。</t>
    <rPh sb="1" eb="3">
      <t>インサツ</t>
    </rPh>
    <phoneticPr fontId="5"/>
  </si>
  <si>
    <t>　★ポリは金色印刷不可</t>
  </si>
  <si>
    <t>雲竜柄無地</t>
    <rPh sb="0" eb="2">
      <t>ウンリュウ</t>
    </rPh>
    <rPh sb="2" eb="3">
      <t>ガラ</t>
    </rPh>
    <rPh sb="3" eb="5">
      <t>ムジ</t>
    </rPh>
    <phoneticPr fontId="14"/>
  </si>
  <si>
    <t>和紙雲竜調無地</t>
    <rPh sb="0" eb="2">
      <t>ワシ</t>
    </rPh>
    <rPh sb="2" eb="4">
      <t>ウンリュウ</t>
    </rPh>
    <rPh sb="4" eb="5">
      <t>チョウ</t>
    </rPh>
    <rPh sb="5" eb="7">
      <t>ムジ</t>
    </rPh>
    <phoneticPr fontId="14"/>
  </si>
  <si>
    <t>筆丸山吹</t>
    <rPh sb="0" eb="1">
      <t>フデ</t>
    </rPh>
    <rPh sb="1" eb="3">
      <t>マルヤマ</t>
    </rPh>
    <rPh sb="3" eb="4">
      <t>スイ</t>
    </rPh>
    <phoneticPr fontId="14"/>
  </si>
  <si>
    <t>田園風景と俵</t>
    <rPh sb="0" eb="2">
      <t>デンエン</t>
    </rPh>
    <rPh sb="2" eb="4">
      <t>フウケイ</t>
    </rPh>
    <rPh sb="5" eb="6">
      <t>タワラ</t>
    </rPh>
    <phoneticPr fontId="14"/>
  </si>
  <si>
    <t>和柄縦帯</t>
    <rPh sb="0" eb="2">
      <t>ワガラ</t>
    </rPh>
    <rPh sb="2" eb="4">
      <t>タテオビ</t>
    </rPh>
    <phoneticPr fontId="14"/>
  </si>
  <si>
    <t>ご飯と紙吹雪</t>
    <rPh sb="1" eb="2">
      <t>ハン</t>
    </rPh>
    <rPh sb="3" eb="6">
      <t>カミフブキ</t>
    </rPh>
    <phoneticPr fontId="14"/>
  </si>
  <si>
    <r>
      <t>※印刷は（墨・赤・緑・橙・黄・紺・桃・青・草・小豆）の10色になります。　</t>
    </r>
    <r>
      <rPr>
        <b/>
        <sz val="9"/>
        <rFont val="ＭＳ Ｐゴシック"/>
        <family val="3"/>
        <charset val="128"/>
      </rPr>
      <t>★ポリは金色印刷不可</t>
    </r>
    <rPh sb="1" eb="3">
      <t>インサツ</t>
    </rPh>
    <rPh sb="41" eb="43">
      <t>キンイロ</t>
    </rPh>
    <rPh sb="43" eb="45">
      <t>インサツ</t>
    </rPh>
    <rPh sb="45" eb="47">
      <t>フカ</t>
    </rPh>
    <phoneticPr fontId="5"/>
  </si>
  <si>
    <t>※版の保持期限は1年半です。</t>
    <phoneticPr fontId="5"/>
  </si>
  <si>
    <t>ＳＦポリ</t>
    <phoneticPr fontId="5"/>
  </si>
  <si>
    <t>水彩青空とみのり</t>
    <rPh sb="0" eb="2">
      <t>スイサイ</t>
    </rPh>
    <rPh sb="2" eb="4">
      <t>アオゾラ</t>
    </rPh>
    <phoneticPr fontId="14"/>
  </si>
  <si>
    <t>無洗米・稲穂</t>
    <rPh sb="0" eb="3">
      <t>ムセンマイ</t>
    </rPh>
    <rPh sb="4" eb="6">
      <t>イナホ</t>
    </rPh>
    <phoneticPr fontId="2"/>
  </si>
  <si>
    <t>市松模様</t>
    <rPh sb="0" eb="2">
      <t>イチマツ</t>
    </rPh>
    <rPh sb="2" eb="4">
      <t>モヨウ</t>
    </rPh>
    <phoneticPr fontId="2"/>
  </si>
  <si>
    <t xml:space="preserve">風穂 </t>
    <rPh sb="0" eb="1">
      <t>カゼ</t>
    </rPh>
    <rPh sb="1" eb="2">
      <t>ホ</t>
    </rPh>
    <phoneticPr fontId="2"/>
  </si>
  <si>
    <t>三日月ピンク</t>
    <rPh sb="0" eb="3">
      <t>ミカヅキ</t>
    </rPh>
    <phoneticPr fontId="2"/>
  </si>
  <si>
    <t>彩稲</t>
    <rPh sb="0" eb="1">
      <t>イロドリ</t>
    </rPh>
    <rPh sb="1" eb="2">
      <t>イネ</t>
    </rPh>
    <phoneticPr fontId="2"/>
  </si>
  <si>
    <t>白い稲穂</t>
    <rPh sb="0" eb="1">
      <t>シロ</t>
    </rPh>
    <rPh sb="2" eb="4">
      <t>イナホ</t>
    </rPh>
    <phoneticPr fontId="2"/>
  </si>
  <si>
    <t>涼風</t>
    <rPh sb="0" eb="2">
      <t>リョウフウ</t>
    </rPh>
    <phoneticPr fontId="2"/>
  </si>
  <si>
    <t>851
1015</t>
    <phoneticPr fontId="14"/>
  </si>
  <si>
    <t>808
850
851
852
956
1009
1010
1015</t>
    <phoneticPr fontId="14"/>
  </si>
  <si>
    <t>808
850
851
852</t>
    <phoneticPr fontId="14"/>
  </si>
  <si>
    <t>ＳＦマットポリ</t>
    <phoneticPr fontId="5"/>
  </si>
  <si>
    <t>花の宴</t>
    <rPh sb="0" eb="1">
      <t>ハナ</t>
    </rPh>
    <rPh sb="2" eb="3">
      <t>ウタゲ</t>
    </rPh>
    <phoneticPr fontId="14"/>
  </si>
  <si>
    <t>和紙柄水彩風景</t>
    <phoneticPr fontId="14"/>
  </si>
  <si>
    <t>やすらぎの雲海</t>
    <phoneticPr fontId="14"/>
  </si>
  <si>
    <t>雲竜柄桃</t>
    <rPh sb="0" eb="2">
      <t>ウンリュウ</t>
    </rPh>
    <rPh sb="2" eb="3">
      <t>ガラ</t>
    </rPh>
    <rPh sb="3" eb="4">
      <t>モモ</t>
    </rPh>
    <phoneticPr fontId="14"/>
  </si>
  <si>
    <t>和紙柄六角花模様</t>
    <phoneticPr fontId="14"/>
  </si>
  <si>
    <t>クラフト調無地</t>
    <phoneticPr fontId="14"/>
  </si>
  <si>
    <t>和紙柄石畳</t>
    <phoneticPr fontId="14"/>
  </si>
  <si>
    <t>雲竜柄無地</t>
    <phoneticPr fontId="14"/>
  </si>
  <si>
    <t>お日様燦々</t>
    <phoneticPr fontId="14"/>
  </si>
  <si>
    <t>和紙柄和モダン</t>
    <phoneticPr fontId="14"/>
  </si>
  <si>
    <t>シルエット稲穂</t>
    <phoneticPr fontId="14"/>
  </si>
  <si>
    <t xml:space="preserve">花の恵み </t>
    <phoneticPr fontId="14"/>
  </si>
  <si>
    <t>805
909
910
954
1013</t>
    <phoneticPr fontId="14"/>
  </si>
  <si>
    <t>804
805
897
898
899
900
909
910
911
954
989
1013</t>
    <phoneticPr fontId="14"/>
  </si>
  <si>
    <t>804
897
898
909
910
954
989</t>
    <phoneticPr fontId="14"/>
  </si>
  <si>
    <t>マットコンビポリ
（400ｍ巻）</t>
    <rPh sb="14" eb="15">
      <t>マキ</t>
    </rPh>
    <phoneticPr fontId="14"/>
  </si>
  <si>
    <t>棒縞</t>
    <rPh sb="0" eb="1">
      <t>ボウ</t>
    </rPh>
    <rPh sb="1" eb="2">
      <t>シマ</t>
    </rPh>
    <phoneticPr fontId="14"/>
  </si>
  <si>
    <t>バイオマスポリ
（400ｍ巻）</t>
    <rPh sb="13" eb="14">
      <t>マキ</t>
    </rPh>
    <phoneticPr fontId="14"/>
  </si>
  <si>
    <t>しぶき薄紅</t>
    <rPh sb="3" eb="5">
      <t>ウスベニ</t>
    </rPh>
    <phoneticPr fontId="14"/>
  </si>
  <si>
    <t>花野山吹</t>
    <rPh sb="0" eb="2">
      <t>ハナノ</t>
    </rPh>
    <rPh sb="2" eb="4">
      <t>ヤマブキ</t>
    </rPh>
    <phoneticPr fontId="14"/>
  </si>
  <si>
    <t>1004
1005</t>
    <phoneticPr fontId="14"/>
  </si>
  <si>
    <t>866
890</t>
    <phoneticPr fontId="14"/>
  </si>
  <si>
    <t>866
890
891
961
1000
1001
1002</t>
    <phoneticPr fontId="14"/>
  </si>
  <si>
    <t>1色アップにつき
３色価格に
プラス１６円</t>
    <phoneticPr fontId="5"/>
  </si>
  <si>
    <t>1色アップにつき
３色価格に
プラス８円</t>
    <phoneticPr fontId="14"/>
  </si>
  <si>
    <t>1色ｱｯﾌﾟにつき
3色価格に
ﾌﾟﾗｽ１６円</t>
    <phoneticPr fontId="5"/>
  </si>
  <si>
    <t>1色ｱｯﾌﾟにつき
3色価格に
ﾌﾟﾗｽ８円</t>
    <phoneticPr fontId="14"/>
  </si>
  <si>
    <t>NEWマットポリ
マットポリ
コンビポリ</t>
    <phoneticPr fontId="14"/>
  </si>
  <si>
    <t>和紙調無地</t>
    <phoneticPr fontId="14"/>
  </si>
  <si>
    <t>※単袋専用は別紙</t>
    <rPh sb="6" eb="8">
      <t>ベッシ</t>
    </rPh>
    <phoneticPr fontId="14"/>
  </si>
  <si>
    <t>ソフクラ無地</t>
    <rPh sb="4" eb="6">
      <t>ムジ</t>
    </rPh>
    <phoneticPr fontId="5"/>
  </si>
  <si>
    <t>和紙雲竜柄無地</t>
    <phoneticPr fontId="5"/>
  </si>
  <si>
    <t xml:space="preserve">和紙雲竜雲竜無地（窓なし） </t>
    <rPh sb="0" eb="2">
      <t>ワシ</t>
    </rPh>
    <rPh sb="2" eb="4">
      <t>ウンリュウ</t>
    </rPh>
    <rPh sb="4" eb="6">
      <t>ウンリュウ</t>
    </rPh>
    <rPh sb="6" eb="8">
      <t>ムジ</t>
    </rPh>
    <rPh sb="9" eb="10">
      <t>マド</t>
    </rPh>
    <phoneticPr fontId="5"/>
  </si>
  <si>
    <t>クラフト無地（窓なし）</t>
    <rPh sb="4" eb="6">
      <t>ムジ</t>
    </rPh>
    <rPh sb="7" eb="8">
      <t>マド</t>
    </rPh>
    <phoneticPr fontId="5"/>
  </si>
  <si>
    <t>★2K・・・手切れタイプ　透明テープ</t>
  </si>
  <si>
    <t>★5K・・・ハサミタイプ　グリーンテープ</t>
  </si>
  <si>
    <t>（NO.995のみ透明テープ）</t>
  </si>
  <si>
    <t>花窓文様</t>
    <rPh sb="0" eb="1">
      <t>ハナ</t>
    </rPh>
    <rPh sb="1" eb="2">
      <t>マド</t>
    </rPh>
    <rPh sb="2" eb="4">
      <t>モンヨウ</t>
    </rPh>
    <phoneticPr fontId="5"/>
  </si>
  <si>
    <t>稲穂</t>
    <rPh sb="0" eb="2">
      <t>イナホ</t>
    </rPh>
    <phoneticPr fontId="5"/>
  </si>
  <si>
    <t>４Ｋ</t>
    <phoneticPr fontId="5"/>
  </si>
  <si>
    <t>No.810　和紙雲竜</t>
    <rPh sb="7" eb="9">
      <t>ワシ</t>
    </rPh>
    <rPh sb="9" eb="11">
      <t>ウンリュウ</t>
    </rPh>
    <phoneticPr fontId="5"/>
  </si>
  <si>
    <t>和紙雲竜／金銀和紙／
クラフト</t>
    <rPh sb="0" eb="2">
      <t>ワシ</t>
    </rPh>
    <rPh sb="2" eb="4">
      <t>ウンリュウ</t>
    </rPh>
    <rPh sb="5" eb="7">
      <t>キンギン</t>
    </rPh>
    <rPh sb="7" eb="9">
      <t>ワシ</t>
    </rPh>
    <phoneticPr fontId="5"/>
  </si>
  <si>
    <t>【20260511_セレクトパック_臨時改定価格】</t>
    <rPh sb="18" eb="20">
      <t>リンジ</t>
    </rPh>
    <rPh sb="20" eb="22">
      <t>カイテイ</t>
    </rPh>
    <rPh sb="22" eb="24">
      <t>カカク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</si>
</sst>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0.0"/>
    <numFmt numFmtId="178" formatCode="0.0_);[Red]\(0.0\)"/>
  </numFmts>
  <fonts count="37">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8"/>
      <name val="ＭＳ Ｐゴシック"/>
      <family val="3"/>
      <charset val="128"/>
    </font>
    <font>
      <sz val="18"/>
      <color indexed="9"/>
      <name val="HGS明朝E"/>
      <family val="1"/>
      <charset val="128"/>
    </font>
    <font>
      <sz val="6"/>
      <name val="ＭＳ Ｐゴシック"/>
      <family val="3"/>
      <charset val="128"/>
    </font>
    <font>
      <sz val="20"/>
      <name val="HG明朝E"/>
      <family val="1"/>
      <charset val="128"/>
    </font>
    <font>
      <sz val="16"/>
      <name val="HG明朝E"/>
      <family val="1"/>
      <charset val="128"/>
    </font>
    <font>
      <sz val="9"/>
      <name val="ＭＳ Ｐゴシック"/>
      <family val="3"/>
      <charset val="128"/>
    </font>
    <font>
      <b/>
      <sz val="20"/>
      <color indexed="9"/>
      <name val="HGS明朝E"/>
      <family val="1"/>
      <charset val="128"/>
    </font>
    <font>
      <b/>
      <sz val="36"/>
      <color indexed="9"/>
      <name val="HGS明朝E"/>
      <family val="1"/>
      <charset val="128"/>
    </font>
    <font>
      <sz val="16"/>
      <color indexed="9"/>
      <name val="Arial Black"/>
      <family val="2"/>
    </font>
    <font>
      <sz val="12"/>
      <name val="ＭＳ Ｐゴシック"/>
      <family val="3"/>
      <charset val="128"/>
    </font>
    <font>
      <b/>
      <sz val="11"/>
      <color rgb="FFFF0000"/>
      <name val="ＭＳ Ｐゴシック"/>
      <family val="3"/>
      <charset val="128"/>
    </font>
    <font>
      <sz val="6"/>
      <name val="ＭＳ Ｐゴシック"/>
      <family val="3"/>
      <charset val="128"/>
      <scheme val="minor"/>
    </font>
    <font>
      <sz val="9"/>
      <color rgb="FFFF0000"/>
      <name val="ＭＳ Ｐゴシック"/>
      <family val="3"/>
      <charset val="128"/>
    </font>
    <font>
      <sz val="12"/>
      <color rgb="FFFF0000"/>
      <name val="ＭＳ Ｐゴシック"/>
      <family val="3"/>
      <charset val="128"/>
    </font>
    <font>
      <b/>
      <sz val="9"/>
      <name val="ＭＳ Ｐゴシック"/>
      <family val="3"/>
      <charset val="128"/>
    </font>
    <font>
      <b/>
      <sz val="11"/>
      <name val="ＭＳ Ｐゴシック"/>
      <family val="3"/>
      <charset val="128"/>
    </font>
    <font>
      <sz val="9"/>
      <name val="MS UI Gothic"/>
      <family val="3"/>
      <charset val="128"/>
    </font>
    <font>
      <sz val="11"/>
      <color theme="1"/>
      <name val="ＭＳ Ｐゴシック"/>
      <family val="3"/>
      <charset val="128"/>
      <scheme val="minor"/>
    </font>
    <font>
      <sz val="7"/>
      <name val="ＭＳ Ｐゴシック"/>
      <family val="3"/>
      <charset val="128"/>
    </font>
    <font>
      <sz val="8"/>
      <name val="ＭＳ Ｐゴシック"/>
      <family val="3"/>
      <charset val="128"/>
    </font>
    <font>
      <sz val="9"/>
      <color theme="1"/>
      <name val="ＭＳ Ｐゴシック"/>
      <family val="3"/>
      <charset val="128"/>
      <scheme val="minor"/>
    </font>
    <font>
      <sz val="11"/>
      <name val="ＭＳ Ｐゴシック"/>
      <family val="3"/>
      <charset val="128"/>
      <scheme val="minor"/>
    </font>
    <font>
      <b/>
      <sz val="22"/>
      <color indexed="9"/>
      <name val="HGS明朝E"/>
      <family val="1"/>
      <charset val="128"/>
    </font>
    <font>
      <sz val="18"/>
      <name val="HG明朝E"/>
      <family val="1"/>
      <charset val="128"/>
    </font>
    <font>
      <sz val="14"/>
      <name val="HG明朝E"/>
      <family val="1"/>
      <charset val="128"/>
    </font>
    <font>
      <sz val="9"/>
      <color indexed="9"/>
      <name val="ＭＳ Ｐゴシック"/>
      <family val="3"/>
      <charset val="128"/>
    </font>
    <font>
      <sz val="12"/>
      <color indexed="9"/>
      <name val="Arial Black"/>
      <family val="2"/>
    </font>
    <font>
      <sz val="19"/>
      <name val="HG明朝E"/>
      <family val="1"/>
      <charset val="128"/>
    </font>
    <font>
      <sz val="9"/>
      <color indexed="9"/>
      <name val="MS UI Gothic"/>
      <family val="3"/>
      <charset val="128"/>
    </font>
    <font>
      <sz val="12"/>
      <color rgb="FFFFFFFF"/>
      <name val="Yu Gothic"/>
      <family val="2"/>
      <charset val="128"/>
    </font>
    <font>
      <sz val="12"/>
      <color rgb="FFFFFFFF"/>
      <name val="Arial Black"/>
      <family val="2"/>
    </font>
    <font>
      <sz val="11"/>
      <color rgb="FFFF0000"/>
      <name val="ＭＳ Ｐゴシック"/>
      <family val="3"/>
      <charset val="128"/>
      <scheme val="minor"/>
    </font>
    <font>
      <sz val="17"/>
      <name val="HG明朝E"/>
      <family val="1"/>
      <charset val="128"/>
    </font>
    <font>
      <sz val="8.5"/>
      <name val="ＭＳ Ｐゴシック"/>
      <family val="3"/>
      <charset val="128"/>
    </font>
  </fonts>
  <fills count="7">
    <fill>
      <patternFill patternType="none"/>
    </fill>
    <fill>
      <patternFill patternType="gray125"/>
    </fill>
    <fill>
      <patternFill patternType="solid">
        <fgColor indexed="8"/>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rgb="FFFFFF00"/>
        <bgColor indexed="64"/>
      </patternFill>
    </fill>
  </fills>
  <borders count="90">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theme="0"/>
      </bottom>
      <diagonal/>
    </border>
    <border>
      <left/>
      <right/>
      <top/>
      <bottom style="thin">
        <color theme="0"/>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auto="1"/>
      </bottom>
      <diagonal/>
    </border>
    <border>
      <left style="thin">
        <color auto="1"/>
      </left>
      <right style="thin">
        <color auto="1"/>
      </right>
      <top style="thin">
        <color auto="1"/>
      </top>
      <bottom style="thin">
        <color auto="1"/>
      </bottom>
      <diagonal/>
    </border>
    <border>
      <left style="double">
        <color auto="1"/>
      </left>
      <right/>
      <top style="double">
        <color auto="1"/>
      </top>
      <bottom style="thin">
        <color auto="1"/>
      </bottom>
      <diagonal/>
    </border>
    <border>
      <left/>
      <right/>
      <top style="double">
        <color auto="1"/>
      </top>
      <bottom style="thin">
        <color auto="1"/>
      </bottom>
      <diagonal/>
    </border>
    <border>
      <left/>
      <right style="double">
        <color auto="1"/>
      </right>
      <top style="double">
        <color auto="1"/>
      </top>
      <bottom style="thin">
        <color auto="1"/>
      </bottom>
      <diagonal/>
    </border>
    <border>
      <left style="double">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double">
        <color auto="1"/>
      </right>
      <top style="thin">
        <color auto="1"/>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thin">
        <color auto="1"/>
      </right>
      <top style="hair">
        <color auto="1"/>
      </top>
      <bottom style="double">
        <color auto="1"/>
      </bottom>
      <diagonal/>
    </border>
    <border>
      <left/>
      <right style="double">
        <color auto="1"/>
      </right>
      <top style="hair">
        <color auto="1"/>
      </top>
      <bottom style="double">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style="double">
        <color auto="1"/>
      </right>
      <top style="thin">
        <color auto="1"/>
      </top>
      <bottom style="double">
        <color auto="1"/>
      </bottom>
      <diagonal/>
    </border>
    <border>
      <left/>
      <right/>
      <top style="double">
        <color auto="1"/>
      </top>
      <bottom/>
      <diagonal/>
    </border>
    <border>
      <left style="thin">
        <color auto="1"/>
      </left>
      <right style="thin">
        <color auto="1"/>
      </right>
      <top style="thin">
        <color auto="1"/>
      </top>
      <bottom style="thin">
        <color rgb="FFFFFFFF"/>
      </bottom>
      <diagonal/>
    </border>
    <border>
      <left style="thin">
        <color auto="1"/>
      </left>
      <right style="thin">
        <color auto="1"/>
      </right>
      <top style="thin">
        <color rgb="FFFFFFFF"/>
      </top>
      <bottom style="thin">
        <color rgb="FFFFFFFF"/>
      </bottom>
      <diagonal/>
    </border>
    <border>
      <left style="double">
        <color auto="1"/>
      </left>
      <right/>
      <top style="hair">
        <color auto="1"/>
      </top>
      <bottom style="hair">
        <color auto="1"/>
      </bottom>
      <diagonal/>
    </border>
    <border>
      <left/>
      <right style="double">
        <color auto="1"/>
      </right>
      <top style="hair">
        <color auto="1"/>
      </top>
      <bottom style="hair">
        <color auto="1"/>
      </bottom>
      <diagonal/>
    </border>
    <border>
      <left style="thin">
        <color auto="1"/>
      </left>
      <right style="thin">
        <color auto="1"/>
      </right>
      <top style="thin">
        <color rgb="FFFFFFFF"/>
      </top>
      <bottom style="thin">
        <color auto="1"/>
      </bottom>
      <diagonal/>
    </border>
    <border>
      <left/>
      <right style="thin">
        <color auto="1"/>
      </right>
      <top style="thin">
        <color auto="1"/>
      </top>
      <bottom/>
      <diagonal/>
    </border>
    <border>
      <left/>
      <right style="thin">
        <color auto="1"/>
      </right>
      <top/>
      <bottom style="thin">
        <color theme="0"/>
      </bottom>
      <diagonal/>
    </border>
    <border>
      <left style="thin">
        <color auto="1"/>
      </left>
      <right/>
      <top style="thin">
        <color theme="0"/>
      </top>
      <bottom/>
      <diagonal/>
    </border>
    <border>
      <left/>
      <right/>
      <top style="thin">
        <color theme="0"/>
      </top>
      <bottom/>
      <diagonal/>
    </border>
    <border>
      <left/>
      <right style="thin">
        <color auto="1"/>
      </right>
      <top style="thin">
        <color theme="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theme="0"/>
      </top>
      <bottom style="thin">
        <color theme="0"/>
      </bottom>
      <diagonal/>
    </border>
    <border>
      <left/>
      <right/>
      <top style="thin">
        <color theme="0"/>
      </top>
      <bottom style="thin">
        <color theme="0"/>
      </bottom>
      <diagonal/>
    </border>
    <border>
      <left style="thin">
        <color auto="1"/>
      </left>
      <right/>
      <top style="thin">
        <color theme="0"/>
      </top>
      <bottom style="thin">
        <color auto="1"/>
      </bottom>
      <diagonal/>
    </border>
    <border>
      <left/>
      <right/>
      <top style="thin">
        <color theme="0"/>
      </top>
      <bottom style="thin">
        <color auto="1"/>
      </bottom>
      <diagonal/>
    </border>
    <border>
      <left style="thin">
        <color auto="1"/>
      </left>
      <right/>
      <top style="thin">
        <color auto="1"/>
      </top>
      <bottom style="hair">
        <color auto="1"/>
      </bottom>
      <diagonal/>
    </border>
    <border>
      <left style="thin">
        <color auto="1"/>
      </left>
      <right/>
      <top style="hair">
        <color auto="1"/>
      </top>
      <bottom style="double">
        <color auto="1"/>
      </bottom>
      <diagonal/>
    </border>
    <border>
      <left/>
      <right style="thin">
        <color indexed="9"/>
      </right>
      <top style="thin">
        <color auto="1"/>
      </top>
      <bottom style="thin">
        <color auto="1"/>
      </bottom>
      <diagonal/>
    </border>
    <border>
      <left style="thin">
        <color indexed="9"/>
      </left>
      <right/>
      <top style="thin">
        <color auto="1"/>
      </top>
      <bottom style="thin">
        <color auto="1"/>
      </bottom>
      <diagonal/>
    </border>
    <border diagonalUp="1">
      <left style="thin">
        <color auto="1"/>
      </left>
      <right/>
      <top style="thin">
        <color auto="1"/>
      </top>
      <bottom style="thin">
        <color auto="1"/>
      </bottom>
      <diagonal style="thin">
        <color auto="1"/>
      </diagonal>
    </border>
    <border diagonalUp="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style="thin">
        <color auto="1"/>
      </left>
      <right style="thin">
        <color auto="1"/>
      </right>
      <top/>
      <bottom/>
      <diagonal/>
    </border>
    <border>
      <left/>
      <right style="thin">
        <color auto="1"/>
      </right>
      <top style="thin">
        <color theme="0"/>
      </top>
      <bottom style="thin">
        <color theme="0"/>
      </bottom>
      <diagonal/>
    </border>
    <border>
      <left style="thin">
        <color auto="1"/>
      </left>
      <right style="thin">
        <color auto="1"/>
      </right>
      <top style="thin">
        <color auto="1"/>
      </top>
      <bottom/>
      <diagonal/>
    </border>
    <border>
      <left/>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diagonal/>
    </border>
    <border>
      <left style="thin">
        <color theme="1"/>
      </left>
      <right style="thin">
        <color theme="1"/>
      </right>
      <top style="thin">
        <color theme="1"/>
      </top>
      <bottom style="thin">
        <color theme="1"/>
      </bottom>
      <diagonal/>
    </border>
    <border>
      <left style="double">
        <color auto="1"/>
      </left>
      <right/>
      <top style="thin">
        <color auto="1"/>
      </top>
      <bottom/>
      <diagonal/>
    </border>
    <border>
      <left/>
      <right style="double">
        <color auto="1"/>
      </right>
      <top style="thin">
        <color auto="1"/>
      </top>
      <bottom/>
      <diagonal/>
    </border>
    <border>
      <left style="thin">
        <color auto="1"/>
      </left>
      <right style="hair">
        <color auto="1"/>
      </right>
      <top style="thin">
        <color indexed="64"/>
      </top>
      <bottom style="hair">
        <color auto="1"/>
      </bottom>
      <diagonal/>
    </border>
    <border>
      <left style="hair">
        <color auto="1"/>
      </left>
      <right style="thin">
        <color auto="1"/>
      </right>
      <top style="thin">
        <color indexed="64"/>
      </top>
      <bottom style="hair">
        <color auto="1"/>
      </bottom>
      <diagonal/>
    </border>
    <border>
      <left/>
      <right style="hair">
        <color auto="1"/>
      </right>
      <top style="thin">
        <color auto="1"/>
      </top>
      <bottom style="hair">
        <color auto="1"/>
      </bottom>
      <diagonal/>
    </border>
    <border>
      <left style="hair">
        <color auto="1"/>
      </left>
      <right style="hair">
        <color auto="1"/>
      </right>
      <top style="thin">
        <color indexed="64"/>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hair">
        <color auto="1"/>
      </left>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thin">
        <color auto="1"/>
      </bottom>
      <diagonal/>
    </border>
    <border>
      <left style="thin">
        <color auto="1"/>
      </left>
      <right/>
      <top style="thin">
        <color auto="1"/>
      </top>
      <bottom style="double">
        <color auto="1"/>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s>
  <cellStyleXfs count="3">
    <xf numFmtId="0" fontId="0" fillId="0" borderId="0">
      <alignment vertical="center"/>
    </xf>
    <xf numFmtId="0" fontId="1" fillId="0" borderId="0"/>
    <xf numFmtId="0" fontId="20" fillId="0" borderId="0">
      <alignment vertical="center"/>
    </xf>
  </cellStyleXfs>
  <cellXfs count="464">
    <xf numFmtId="0" fontId="0" fillId="0" borderId="0" xfId="0">
      <alignment vertical="center"/>
    </xf>
    <xf numFmtId="0" fontId="1" fillId="0" borderId="0" xfId="1"/>
    <xf numFmtId="0" fontId="3" fillId="0" borderId="0" xfId="1" applyFont="1" applyAlignment="1">
      <alignment horizontal="center" vertical="center"/>
    </xf>
    <xf numFmtId="0" fontId="8" fillId="0" borderId="0" xfId="1" applyFont="1" applyAlignment="1">
      <alignment vertical="center" shrinkToFit="1"/>
    </xf>
    <xf numFmtId="0" fontId="6" fillId="0" borderId="0" xfId="1" applyFont="1" applyAlignment="1">
      <alignment vertical="center" wrapText="1" shrinkToFit="1"/>
    </xf>
    <xf numFmtId="0" fontId="7" fillId="0" borderId="0" xfId="1" applyFont="1" applyAlignment="1">
      <alignment horizontal="left" vertical="center" wrapText="1" shrinkToFit="1"/>
    </xf>
    <xf numFmtId="0" fontId="10" fillId="0" borderId="0" xfId="1" applyFont="1" applyAlignment="1">
      <alignment horizontal="center" vertical="top" shrinkToFit="1"/>
    </xf>
    <xf numFmtId="0" fontId="8" fillId="0" borderId="0" xfId="1" applyFont="1" applyAlignment="1">
      <alignment vertical="center" wrapText="1"/>
    </xf>
    <xf numFmtId="0" fontId="13" fillId="0" borderId="0" xfId="1" applyFont="1"/>
    <xf numFmtId="0" fontId="8" fillId="0" borderId="0" xfId="1" applyFont="1" applyAlignment="1">
      <alignment vertical="center"/>
    </xf>
    <xf numFmtId="176" fontId="12" fillId="0" borderId="0" xfId="1" applyNumberFormat="1" applyFont="1" applyAlignment="1">
      <alignment vertical="center" shrinkToFit="1"/>
    </xf>
    <xf numFmtId="49" fontId="8" fillId="0" borderId="0" xfId="1" applyNumberFormat="1" applyFont="1" applyAlignment="1">
      <alignment vertical="center" shrinkToFit="1"/>
    </xf>
    <xf numFmtId="0" fontId="1" fillId="0" borderId="0" xfId="1" applyAlignment="1">
      <alignment horizontal="center" vertical="center"/>
    </xf>
    <xf numFmtId="0" fontId="18" fillId="0" borderId="0" xfId="1" applyFont="1" applyAlignment="1">
      <alignment vertical="center"/>
    </xf>
    <xf numFmtId="0" fontId="1" fillId="0" borderId="0" xfId="1" applyAlignment="1">
      <alignment vertical="center"/>
    </xf>
    <xf numFmtId="0" fontId="19" fillId="0" borderId="0" xfId="1" applyFont="1" applyAlignment="1">
      <alignment vertical="center"/>
    </xf>
    <xf numFmtId="20" fontId="20" fillId="0" borderId="0" xfId="2" applyNumberFormat="1">
      <alignment vertical="center"/>
    </xf>
    <xf numFmtId="20" fontId="1" fillId="0" borderId="0" xfId="1" applyNumberFormat="1"/>
    <xf numFmtId="20" fontId="1" fillId="0" borderId="0" xfId="1" applyNumberFormat="1" applyAlignment="1">
      <alignment vertical="center"/>
    </xf>
    <xf numFmtId="0" fontId="7" fillId="0" borderId="0" xfId="1" applyFont="1" applyAlignment="1">
      <alignment vertical="center" wrapText="1" shrinkToFit="1"/>
    </xf>
    <xf numFmtId="0" fontId="9" fillId="0" borderId="0" xfId="1" applyFont="1" applyAlignment="1">
      <alignment horizontal="center" vertical="top" shrinkToFit="1"/>
    </xf>
    <xf numFmtId="0" fontId="8" fillId="0" borderId="5" xfId="1" applyFont="1" applyBorder="1" applyAlignment="1">
      <alignment vertical="center" shrinkToFit="1"/>
    </xf>
    <xf numFmtId="0" fontId="8" fillId="0" borderId="0" xfId="1" applyFont="1" applyAlignment="1">
      <alignment horizontal="center" vertical="center" shrinkToFit="1"/>
    </xf>
    <xf numFmtId="0" fontId="8" fillId="0" borderId="0" xfId="1" applyFont="1" applyAlignment="1">
      <alignment horizontal="left" vertical="center" shrinkToFit="1"/>
    </xf>
    <xf numFmtId="0" fontId="20" fillId="0" borderId="0" xfId="2" applyAlignment="1">
      <alignment vertical="center" shrinkToFit="1"/>
    </xf>
    <xf numFmtId="176" fontId="1" fillId="0" borderId="0" xfId="1" applyNumberFormat="1"/>
    <xf numFmtId="0" fontId="8" fillId="0" borderId="0" xfId="1" applyFont="1"/>
    <xf numFmtId="0" fontId="11" fillId="0" borderId="0" xfId="1" applyFont="1" applyAlignment="1">
      <alignment horizontal="center" vertical="center" shrinkToFit="1"/>
    </xf>
    <xf numFmtId="0" fontId="8" fillId="0" borderId="0" xfId="1" applyFont="1" applyAlignment="1">
      <alignment horizontal="center" vertical="center" textRotation="30" shrinkToFit="1"/>
    </xf>
    <xf numFmtId="176" fontId="12" fillId="0" borderId="0" xfId="1" applyNumberFormat="1" applyFont="1" applyAlignment="1">
      <alignment horizontal="right" vertical="center" shrinkToFit="1"/>
    </xf>
    <xf numFmtId="0" fontId="1" fillId="0" borderId="34" xfId="1" applyBorder="1" applyAlignment="1">
      <alignment vertical="center"/>
    </xf>
    <xf numFmtId="0" fontId="23" fillId="0" borderId="0" xfId="2" applyFont="1">
      <alignment vertical="center"/>
    </xf>
    <xf numFmtId="0" fontId="22" fillId="0" borderId="0" xfId="1" applyFont="1" applyAlignment="1">
      <alignment horizontal="center" vertical="center" wrapText="1"/>
    </xf>
    <xf numFmtId="0" fontId="24" fillId="0" borderId="0" xfId="1" applyFont="1" applyAlignment="1">
      <alignment vertical="center"/>
    </xf>
    <xf numFmtId="0" fontId="25" fillId="0" borderId="0" xfId="1" applyFont="1" applyAlignment="1">
      <alignment horizontal="center" vertical="top" shrinkToFit="1"/>
    </xf>
    <xf numFmtId="0" fontId="26" fillId="0" borderId="0" xfId="1" applyFont="1" applyAlignment="1">
      <alignment horizontal="left" vertical="center" wrapText="1" shrinkToFit="1"/>
    </xf>
    <xf numFmtId="0" fontId="24" fillId="0" borderId="0" xfId="1" applyFont="1" applyAlignment="1">
      <alignment vertical="top"/>
    </xf>
    <xf numFmtId="0" fontId="24" fillId="0" borderId="0" xfId="1" applyFont="1"/>
    <xf numFmtId="0" fontId="1" fillId="0" borderId="0" xfId="1" applyAlignment="1">
      <alignment horizontal="right"/>
    </xf>
    <xf numFmtId="0" fontId="19" fillId="0" borderId="0" xfId="1" applyFont="1" applyAlignment="1">
      <alignment horizontal="center" vertical="center" wrapText="1"/>
    </xf>
    <xf numFmtId="0" fontId="19" fillId="0" borderId="0" xfId="1" applyFont="1" applyAlignment="1">
      <alignment horizontal="center" vertical="center"/>
    </xf>
    <xf numFmtId="0" fontId="8" fillId="0" borderId="0" xfId="1" applyFont="1" applyAlignment="1">
      <alignment vertical="center" wrapText="1" shrinkToFit="1"/>
    </xf>
    <xf numFmtId="0" fontId="19" fillId="0" borderId="0" xfId="1" applyFont="1" applyAlignment="1">
      <alignment vertical="center" wrapText="1"/>
    </xf>
    <xf numFmtId="0" fontId="1" fillId="0" borderId="5" xfId="1" applyBorder="1"/>
    <xf numFmtId="0" fontId="8" fillId="0" borderId="0" xfId="1" applyFont="1" applyAlignment="1">
      <alignment horizontal="center" vertical="center"/>
    </xf>
    <xf numFmtId="0" fontId="8" fillId="0" borderId="0" xfId="1" applyFont="1" applyAlignment="1">
      <alignment vertical="top"/>
    </xf>
    <xf numFmtId="0" fontId="20" fillId="0" borderId="0" xfId="2">
      <alignment vertical="center"/>
    </xf>
    <xf numFmtId="0" fontId="28" fillId="0" borderId="0" xfId="1" applyFont="1" applyAlignment="1">
      <alignment vertical="center"/>
    </xf>
    <xf numFmtId="0" fontId="6" fillId="0" borderId="0" xfId="1" applyFont="1" applyAlignment="1">
      <alignment horizontal="left" vertical="center" wrapText="1" shrinkToFit="1"/>
    </xf>
    <xf numFmtId="176" fontId="8" fillId="0" borderId="0" xfId="1" applyNumberFormat="1" applyFont="1" applyAlignment="1">
      <alignment vertical="center" shrinkToFit="1"/>
    </xf>
    <xf numFmtId="0" fontId="12" fillId="0" borderId="0" xfId="1" applyFont="1" applyAlignment="1">
      <alignment horizontal="center" vertical="center"/>
    </xf>
    <xf numFmtId="0" fontId="8" fillId="0" borderId="0" xfId="1" applyFont="1" applyAlignment="1">
      <alignment horizontal="left" vertical="center" textRotation="30" shrinkToFit="1"/>
    </xf>
    <xf numFmtId="0" fontId="19" fillId="0" borderId="0" xfId="1" applyFont="1" applyAlignment="1">
      <alignment vertical="center" shrinkToFit="1"/>
    </xf>
    <xf numFmtId="0" fontId="19" fillId="0" borderId="0" xfId="1" applyFont="1" applyAlignment="1">
      <alignment horizontal="center" vertical="center" shrinkToFit="1"/>
    </xf>
    <xf numFmtId="0" fontId="11" fillId="0" borderId="0" xfId="1" applyFont="1" applyAlignment="1">
      <alignment vertical="center" shrinkToFit="1"/>
    </xf>
    <xf numFmtId="0" fontId="8" fillId="0" borderId="0" xfId="1" applyFont="1" applyAlignment="1">
      <alignment vertical="center" textRotation="30" shrinkToFit="1"/>
    </xf>
    <xf numFmtId="0" fontId="8" fillId="0" borderId="0" xfId="1" applyFont="1" applyAlignment="1">
      <alignment horizontal="center" vertical="center" wrapText="1"/>
    </xf>
    <xf numFmtId="0" fontId="6" fillId="0" borderId="0" xfId="1" applyFont="1" applyAlignment="1">
      <alignment horizontal="center" vertical="center" wrapText="1" shrinkToFit="1"/>
    </xf>
    <xf numFmtId="0" fontId="26" fillId="0" borderId="0" xfId="1" applyFont="1" applyAlignment="1">
      <alignment horizontal="left" vertical="center" shrinkToFit="1"/>
    </xf>
    <xf numFmtId="0" fontId="28" fillId="0" borderId="0" xfId="1" applyFont="1" applyAlignment="1">
      <alignment horizontal="center" vertical="center" shrinkToFit="1"/>
    </xf>
    <xf numFmtId="0" fontId="8" fillId="0" borderId="8" xfId="1" applyFont="1" applyBorder="1" applyAlignment="1">
      <alignment vertical="center" shrinkToFit="1"/>
    </xf>
    <xf numFmtId="0" fontId="1" fillId="0" borderId="0" xfId="1" applyAlignment="1">
      <alignment horizontal="center"/>
    </xf>
    <xf numFmtId="0" fontId="28" fillId="0" borderId="5" xfId="1" applyFont="1" applyBorder="1" applyAlignment="1">
      <alignment vertical="center"/>
    </xf>
    <xf numFmtId="0" fontId="8" fillId="0" borderId="0" xfId="1" applyFont="1" applyAlignment="1">
      <alignment vertical="top" wrapText="1"/>
    </xf>
    <xf numFmtId="0" fontId="11" fillId="0" borderId="0" xfId="1" applyFont="1" applyAlignment="1">
      <alignment horizontal="center" vertical="top" shrinkToFit="1"/>
    </xf>
    <xf numFmtId="0" fontId="21" fillId="0" borderId="0" xfId="1" applyFont="1" applyAlignment="1">
      <alignment horizontal="left" vertical="center" wrapText="1" shrinkToFit="1" readingOrder="1"/>
    </xf>
    <xf numFmtId="0" fontId="22" fillId="0" borderId="0" xfId="1" applyFont="1" applyAlignment="1">
      <alignment vertical="center" wrapText="1"/>
    </xf>
    <xf numFmtId="0" fontId="22" fillId="0" borderId="0" xfId="1" applyFont="1" applyAlignment="1">
      <alignment vertical="center"/>
    </xf>
    <xf numFmtId="0" fontId="8" fillId="0" borderId="1" xfId="1" applyFont="1" applyBorder="1" applyAlignment="1">
      <alignment vertical="center" shrinkToFit="1"/>
    </xf>
    <xf numFmtId="0" fontId="8" fillId="0" borderId="2" xfId="1" applyFont="1" applyBorder="1" applyAlignment="1">
      <alignment vertical="center" shrinkToFit="1"/>
    </xf>
    <xf numFmtId="0" fontId="9" fillId="0" borderId="0" xfId="1" applyFont="1" applyAlignment="1">
      <alignment horizontal="center" vertical="center" shrinkToFit="1"/>
    </xf>
    <xf numFmtId="0" fontId="8" fillId="0" borderId="0" xfId="1" applyFont="1" applyAlignment="1">
      <alignment horizontal="left" vertical="center"/>
    </xf>
    <xf numFmtId="176" fontId="8" fillId="0" borderId="0" xfId="1" applyNumberFormat="1" applyFont="1" applyAlignment="1">
      <alignment horizontal="left" vertical="center" shrinkToFit="1"/>
    </xf>
    <xf numFmtId="0" fontId="7" fillId="0" borderId="0" xfId="1" applyFont="1" applyAlignment="1">
      <alignment vertical="top" shrinkToFit="1"/>
    </xf>
    <xf numFmtId="0" fontId="27" fillId="0" borderId="0" xfId="1" applyFont="1" applyAlignment="1">
      <alignment vertical="center" wrapText="1" shrinkToFit="1"/>
    </xf>
    <xf numFmtId="176" fontId="16" fillId="0" borderId="0" xfId="1" applyNumberFormat="1" applyFont="1" applyAlignment="1">
      <alignment horizontal="right" vertical="center" shrinkToFit="1"/>
    </xf>
    <xf numFmtId="0" fontId="3" fillId="0" borderId="0" xfId="1" applyFont="1" applyAlignment="1">
      <alignment vertical="center"/>
    </xf>
    <xf numFmtId="0" fontId="15" fillId="0" borderId="0" xfId="1" applyFont="1" applyAlignment="1">
      <alignment horizontal="center" vertical="center" textRotation="30" shrinkToFit="1"/>
    </xf>
    <xf numFmtId="0" fontId="15" fillId="0" borderId="0" xfId="1" applyFont="1" applyAlignment="1">
      <alignment horizontal="center" vertical="center" shrinkToFit="1"/>
    </xf>
    <xf numFmtId="20" fontId="3" fillId="0" borderId="0" xfId="1" applyNumberFormat="1" applyFont="1" applyAlignment="1">
      <alignment vertical="center"/>
    </xf>
    <xf numFmtId="0" fontId="15" fillId="3" borderId="10" xfId="1" applyFont="1" applyFill="1" applyBorder="1" applyAlignment="1">
      <alignment horizontal="center" vertical="center" textRotation="30" shrinkToFit="1"/>
    </xf>
    <xf numFmtId="0" fontId="15" fillId="3" borderId="10" xfId="1" applyFont="1" applyFill="1" applyBorder="1" applyAlignment="1">
      <alignment horizontal="center" vertical="center" shrinkToFit="1"/>
    </xf>
    <xf numFmtId="0" fontId="15" fillId="0" borderId="10" xfId="1" applyFont="1" applyBorder="1" applyAlignment="1">
      <alignment horizontal="center" vertical="center" textRotation="30" shrinkToFit="1"/>
    </xf>
    <xf numFmtId="176" fontId="16" fillId="0" borderId="10" xfId="1" applyNumberFormat="1" applyFont="1" applyBorder="1" applyAlignment="1">
      <alignment horizontal="right" vertical="center" shrinkToFit="1"/>
    </xf>
    <xf numFmtId="0" fontId="15" fillId="0" borderId="10" xfId="1" applyFont="1" applyBorder="1" applyAlignment="1">
      <alignment horizontal="center" vertical="center" shrinkToFit="1"/>
    </xf>
    <xf numFmtId="0" fontId="1" fillId="0" borderId="18"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21" xfId="1" applyBorder="1" applyAlignment="1">
      <alignment horizontal="center" vertical="center"/>
    </xf>
    <xf numFmtId="176" fontId="16" fillId="3" borderId="10" xfId="1" applyNumberFormat="1" applyFont="1" applyFill="1" applyBorder="1" applyAlignment="1">
      <alignment horizontal="right" vertical="center" shrinkToFit="1"/>
    </xf>
    <xf numFmtId="0" fontId="1" fillId="0" borderId="11" xfId="1" applyBorder="1" applyAlignment="1">
      <alignment horizontal="center" vertical="center"/>
    </xf>
    <xf numFmtId="0" fontId="1" fillId="0" borderId="12" xfId="1" applyBorder="1" applyAlignment="1">
      <alignment horizontal="center" vertical="center"/>
    </xf>
    <xf numFmtId="0" fontId="1" fillId="0" borderId="13" xfId="1" applyBorder="1" applyAlignment="1">
      <alignment horizontal="center" vertical="center"/>
    </xf>
    <xf numFmtId="0" fontId="8" fillId="0" borderId="10" xfId="1" applyFont="1" applyBorder="1" applyAlignment="1">
      <alignment horizontal="center" vertical="center" wrapText="1"/>
    </xf>
    <xf numFmtId="0" fontId="11" fillId="2" borderId="10" xfId="1" applyFont="1" applyFill="1" applyBorder="1" applyAlignment="1">
      <alignment horizontal="center" vertical="center" shrinkToFit="1"/>
    </xf>
    <xf numFmtId="0" fontId="8" fillId="0" borderId="10" xfId="1" applyFont="1" applyBorder="1" applyAlignment="1">
      <alignment horizontal="center" vertical="center" textRotation="30" shrinkToFit="1"/>
    </xf>
    <xf numFmtId="176" fontId="12" fillId="3" borderId="10" xfId="1" applyNumberFormat="1" applyFont="1" applyFill="1" applyBorder="1" applyAlignment="1">
      <alignment horizontal="right" vertical="center" shrinkToFit="1"/>
    </xf>
    <xf numFmtId="0" fontId="8" fillId="3" borderId="10" xfId="1" applyFont="1" applyFill="1" applyBorder="1" applyAlignment="1">
      <alignment horizontal="center" vertical="center" textRotation="30" shrinkToFit="1"/>
    </xf>
    <xf numFmtId="0" fontId="8" fillId="3" borderId="10" xfId="1" applyFont="1" applyFill="1" applyBorder="1" applyAlignment="1">
      <alignment horizontal="center" vertical="center" shrinkToFit="1"/>
    </xf>
    <xf numFmtId="176" fontId="12" fillId="0" borderId="10" xfId="1" applyNumberFormat="1" applyFont="1" applyBorder="1" applyAlignment="1">
      <alignment horizontal="right" vertical="center" shrinkToFit="1"/>
    </xf>
    <xf numFmtId="0" fontId="8" fillId="0" borderId="10" xfId="1" applyFont="1" applyBorder="1" applyAlignment="1">
      <alignment horizontal="center" vertical="center" shrinkToFit="1"/>
    </xf>
    <xf numFmtId="176" fontId="12" fillId="6" borderId="10" xfId="1" applyNumberFormat="1" applyFont="1" applyFill="1" applyBorder="1" applyAlignment="1">
      <alignment horizontal="right" vertical="center" shrinkToFit="1"/>
    </xf>
    <xf numFmtId="0" fontId="8" fillId="0" borderId="10" xfId="1" applyFont="1" applyBorder="1" applyAlignment="1">
      <alignment horizontal="left" vertical="center" shrinkToFit="1"/>
    </xf>
    <xf numFmtId="0" fontId="9" fillId="2" borderId="5" xfId="1" applyFont="1" applyFill="1" applyBorder="1" applyAlignment="1">
      <alignment horizontal="center" vertical="center" shrinkToFit="1"/>
    </xf>
    <xf numFmtId="0" fontId="9" fillId="2" borderId="0" xfId="1" applyFont="1" applyFill="1" applyAlignment="1">
      <alignment horizontal="center" vertical="center" shrinkToFit="1"/>
    </xf>
    <xf numFmtId="0" fontId="9" fillId="2" borderId="6" xfId="1" applyFont="1" applyFill="1" applyBorder="1" applyAlignment="1">
      <alignment horizontal="center" vertical="center" shrinkToFit="1"/>
    </xf>
    <xf numFmtId="0" fontId="9" fillId="2" borderId="7" xfId="1" applyFont="1" applyFill="1" applyBorder="1" applyAlignment="1">
      <alignment horizontal="center" vertical="center" shrinkToFit="1"/>
    </xf>
    <xf numFmtId="0" fontId="9" fillId="2" borderId="8" xfId="1" applyFont="1" applyFill="1" applyBorder="1" applyAlignment="1">
      <alignment horizontal="center" vertical="center" shrinkToFit="1"/>
    </xf>
    <xf numFmtId="0" fontId="9" fillId="2" borderId="9" xfId="1" applyFont="1" applyFill="1" applyBorder="1" applyAlignment="1">
      <alignment horizontal="center" vertical="center" shrinkToFit="1"/>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26" fillId="0" borderId="1" xfId="1" applyFont="1" applyBorder="1" applyAlignment="1">
      <alignment horizontal="left" vertical="center" wrapText="1"/>
    </xf>
    <xf numFmtId="0" fontId="26" fillId="0" borderId="2" xfId="1" applyFont="1" applyBorder="1" applyAlignment="1">
      <alignment horizontal="left" vertical="center" wrapText="1"/>
    </xf>
    <xf numFmtId="0" fontId="26" fillId="0" borderId="5" xfId="1" applyFont="1" applyBorder="1" applyAlignment="1">
      <alignment horizontal="left" vertical="center" wrapText="1"/>
    </xf>
    <xf numFmtId="0" fontId="26" fillId="0" borderId="0" xfId="1" applyFont="1" applyAlignment="1">
      <alignment horizontal="left" vertical="center" wrapText="1"/>
    </xf>
    <xf numFmtId="0" fontId="26" fillId="0" borderId="7" xfId="1" applyFont="1" applyBorder="1" applyAlignment="1">
      <alignment horizontal="left" vertical="center" wrapText="1"/>
    </xf>
    <xf numFmtId="0" fontId="26" fillId="0" borderId="8" xfId="1" applyFont="1" applyBorder="1" applyAlignment="1">
      <alignment horizontal="left" vertical="center" wrapText="1"/>
    </xf>
    <xf numFmtId="0" fontId="8" fillId="0" borderId="22" xfId="1" applyFont="1" applyBorder="1" applyAlignment="1">
      <alignment horizontal="center" vertical="center" shrinkToFit="1"/>
    </xf>
    <xf numFmtId="0" fontId="8" fillId="0" borderId="22" xfId="1" applyFont="1" applyBorder="1" applyAlignment="1">
      <alignment vertical="center" shrinkToFit="1"/>
    </xf>
    <xf numFmtId="0" fontId="8" fillId="0" borderId="64" xfId="1" applyFont="1" applyBorder="1" applyAlignment="1">
      <alignment horizontal="center" vertical="center" shrinkToFit="1"/>
    </xf>
    <xf numFmtId="0" fontId="8" fillId="0" borderId="64" xfId="1" applyFont="1" applyBorder="1" applyAlignment="1">
      <alignment vertical="center" shrinkToFit="1"/>
    </xf>
    <xf numFmtId="0" fontId="6" fillId="0" borderId="1" xfId="1" applyFont="1" applyBorder="1" applyAlignment="1">
      <alignment vertical="center" wrapText="1" shrinkToFit="1"/>
    </xf>
    <xf numFmtId="0" fontId="6" fillId="0" borderId="2" xfId="1" applyFont="1" applyBorder="1" applyAlignment="1">
      <alignment vertical="center" wrapText="1" shrinkToFit="1"/>
    </xf>
    <xf numFmtId="0" fontId="6" fillId="0" borderId="5" xfId="1" applyFont="1" applyBorder="1" applyAlignment="1">
      <alignment vertical="center" wrapText="1" shrinkToFit="1"/>
    </xf>
    <xf numFmtId="0" fontId="6" fillId="0" borderId="0" xfId="1" applyFont="1" applyAlignment="1">
      <alignment vertical="center" wrapText="1" shrinkToFit="1"/>
    </xf>
    <xf numFmtId="0" fontId="6" fillId="0" borderId="7" xfId="1" applyFont="1" applyBorder="1" applyAlignment="1">
      <alignment vertical="center" wrapText="1" shrinkToFit="1"/>
    </xf>
    <xf numFmtId="0" fontId="6" fillId="0" borderId="8" xfId="1" applyFont="1" applyBorder="1" applyAlignment="1">
      <alignment vertical="center" wrapText="1" shrinkToFit="1"/>
    </xf>
    <xf numFmtId="20" fontId="1" fillId="0" borderId="11" xfId="1" applyNumberFormat="1" applyBorder="1" applyAlignment="1">
      <alignment horizontal="center" vertical="center"/>
    </xf>
    <xf numFmtId="20" fontId="1" fillId="0" borderId="12" xfId="1" applyNumberFormat="1" applyBorder="1" applyAlignment="1">
      <alignment horizontal="center" vertical="center"/>
    </xf>
    <xf numFmtId="20" fontId="1" fillId="0" borderId="13" xfId="1" applyNumberFormat="1" applyBorder="1" applyAlignment="1">
      <alignment horizontal="center" vertical="center"/>
    </xf>
    <xf numFmtId="20" fontId="1" fillId="0" borderId="14" xfId="1" applyNumberFormat="1" applyBorder="1" applyAlignment="1">
      <alignment horizontal="center" vertical="center"/>
    </xf>
    <xf numFmtId="20" fontId="1" fillId="0" borderId="15" xfId="1" applyNumberFormat="1" applyBorder="1" applyAlignment="1">
      <alignment horizontal="center" vertical="center"/>
    </xf>
    <xf numFmtId="20" fontId="1" fillId="0" borderId="16" xfId="1" applyNumberFormat="1" applyBorder="1" applyAlignment="1">
      <alignment horizontal="center" vertical="center"/>
    </xf>
    <xf numFmtId="20" fontId="1" fillId="0" borderId="17" xfId="1" applyNumberFormat="1" applyBorder="1" applyAlignment="1">
      <alignment horizontal="center" vertical="center"/>
    </xf>
    <xf numFmtId="20" fontId="1" fillId="0" borderId="18" xfId="1" applyNumberFormat="1" applyBorder="1" applyAlignment="1">
      <alignment horizontal="center" vertical="center"/>
    </xf>
    <xf numFmtId="20" fontId="1" fillId="0" borderId="19" xfId="1" applyNumberFormat="1" applyBorder="1" applyAlignment="1">
      <alignment horizontal="center" vertical="center"/>
    </xf>
    <xf numFmtId="20" fontId="1" fillId="0" borderId="20" xfId="1" applyNumberFormat="1" applyBorder="1" applyAlignment="1">
      <alignment horizontal="center" vertical="center"/>
    </xf>
    <xf numFmtId="20" fontId="1" fillId="0" borderId="21" xfId="1" applyNumberFormat="1" applyBorder="1" applyAlignment="1">
      <alignment horizontal="center" vertical="center"/>
    </xf>
    <xf numFmtId="0" fontId="8" fillId="0" borderId="22" xfId="1" applyFont="1" applyBorder="1" applyAlignment="1">
      <alignment horizontal="left" vertical="center" shrinkToFit="1"/>
    </xf>
    <xf numFmtId="0" fontId="8" fillId="0" borderId="23" xfId="1" applyFont="1" applyBorder="1" applyAlignment="1">
      <alignment horizontal="center" vertical="center" shrinkToFit="1"/>
    </xf>
    <xf numFmtId="0" fontId="8" fillId="0" borderId="23" xfId="1" applyFont="1" applyBorder="1" applyAlignment="1">
      <alignment horizontal="left" vertical="center" shrinkToFit="1"/>
    </xf>
    <xf numFmtId="0" fontId="8" fillId="0" borderId="24" xfId="1" applyFont="1" applyBorder="1" applyAlignment="1">
      <alignment horizontal="center" vertical="center" shrinkToFit="1"/>
    </xf>
    <xf numFmtId="0" fontId="8" fillId="0" borderId="25" xfId="1" applyFont="1" applyBorder="1" applyAlignment="1">
      <alignment horizontal="center" vertical="center" shrinkToFit="1"/>
    </xf>
    <xf numFmtId="0" fontId="8" fillId="0" borderId="24" xfId="1" applyFont="1" applyBorder="1" applyAlignment="1">
      <alignment horizontal="left" vertical="center" shrinkToFit="1"/>
    </xf>
    <xf numFmtId="0" fontId="8" fillId="0" borderId="26" xfId="1" applyFont="1" applyBorder="1" applyAlignment="1">
      <alignment horizontal="left" vertical="center" shrinkToFit="1"/>
    </xf>
    <xf numFmtId="0" fontId="8" fillId="0" borderId="25" xfId="1" applyFont="1" applyBorder="1" applyAlignment="1">
      <alignment horizontal="left" vertical="center" shrinkToFit="1"/>
    </xf>
    <xf numFmtId="0" fontId="8" fillId="0" borderId="23" xfId="1" applyFont="1" applyBorder="1" applyAlignment="1">
      <alignment vertical="center" shrinkToFit="1"/>
    </xf>
    <xf numFmtId="0" fontId="8" fillId="0" borderId="0" xfId="1" applyFont="1" applyAlignment="1">
      <alignment horizontal="left" vertical="center" shrinkToFit="1"/>
    </xf>
    <xf numFmtId="0" fontId="8" fillId="0" borderId="0" xfId="1" applyFont="1" applyAlignment="1">
      <alignment horizontal="center" vertical="center" shrinkToFit="1"/>
    </xf>
    <xf numFmtId="0" fontId="8" fillId="0" borderId="29" xfId="1" applyFont="1" applyBorder="1" applyAlignment="1">
      <alignment horizontal="center" vertical="center" shrinkToFit="1"/>
    </xf>
    <xf numFmtId="0" fontId="8" fillId="0" borderId="29" xfId="1" applyFont="1" applyBorder="1" applyAlignment="1">
      <alignment horizontal="left" vertical="center" shrinkToFit="1"/>
    </xf>
    <xf numFmtId="0" fontId="8" fillId="0" borderId="27" xfId="1" applyFont="1" applyBorder="1" applyAlignment="1">
      <alignment horizontal="center" vertical="center" shrinkToFit="1"/>
    </xf>
    <xf numFmtId="0" fontId="8" fillId="0" borderId="28" xfId="1" applyFont="1" applyBorder="1" applyAlignment="1">
      <alignment horizontal="center" vertical="center" shrinkToFit="1"/>
    </xf>
    <xf numFmtId="0" fontId="8" fillId="3" borderId="10" xfId="1" applyFont="1" applyFill="1" applyBorder="1" applyAlignment="1">
      <alignment horizontal="center" vertical="center"/>
    </xf>
    <xf numFmtId="0" fontId="8" fillId="4" borderId="10" xfId="1" applyFont="1" applyFill="1" applyBorder="1" applyAlignment="1">
      <alignment horizontal="center" vertical="center" textRotation="30" shrinkToFit="1"/>
    </xf>
    <xf numFmtId="0" fontId="21" fillId="3" borderId="10" xfId="1" applyFont="1" applyFill="1" applyBorder="1" applyAlignment="1">
      <alignment horizontal="center" vertical="center" textRotation="30" shrinkToFit="1"/>
    </xf>
    <xf numFmtId="0" fontId="15" fillId="4" borderId="10" xfId="1" applyFont="1" applyFill="1" applyBorder="1" applyAlignment="1">
      <alignment horizontal="center" vertical="center" textRotation="30" shrinkToFit="1"/>
    </xf>
    <xf numFmtId="0" fontId="1" fillId="0" borderId="30" xfId="1" applyBorder="1" applyAlignment="1">
      <alignment horizontal="center" vertical="center"/>
    </xf>
    <xf numFmtId="0" fontId="1" fillId="0" borderId="31" xfId="1" applyBorder="1" applyAlignment="1">
      <alignment horizontal="center" vertical="center"/>
    </xf>
    <xf numFmtId="0" fontId="1" fillId="0" borderId="32" xfId="1" applyBorder="1" applyAlignment="1">
      <alignment horizontal="center" vertical="center"/>
    </xf>
    <xf numFmtId="0" fontId="1" fillId="0" borderId="33" xfId="1" applyBorder="1" applyAlignment="1">
      <alignment horizontal="center" vertical="center"/>
    </xf>
    <xf numFmtId="0" fontId="8" fillId="0" borderId="10" xfId="1" applyFont="1" applyBorder="1" applyAlignment="1">
      <alignment horizontal="center" vertical="distributed" wrapText="1"/>
    </xf>
    <xf numFmtId="0" fontId="11" fillId="2" borderId="35" xfId="1" applyFont="1" applyFill="1" applyBorder="1" applyAlignment="1">
      <alignment horizontal="center" vertical="center" shrinkToFit="1"/>
    </xf>
    <xf numFmtId="0" fontId="11" fillId="2" borderId="36" xfId="1" applyFont="1" applyFill="1" applyBorder="1" applyAlignment="1">
      <alignment horizontal="center" vertical="center" shrinkToFit="1"/>
    </xf>
    <xf numFmtId="0" fontId="22" fillId="0" borderId="10" xfId="1" applyFont="1" applyBorder="1" applyAlignment="1">
      <alignment horizontal="center" vertical="center" wrapText="1"/>
    </xf>
    <xf numFmtId="0" fontId="11" fillId="2" borderId="39" xfId="1" applyFont="1" applyFill="1" applyBorder="1" applyAlignment="1">
      <alignment horizontal="center" vertical="center" shrinkToFit="1"/>
    </xf>
    <xf numFmtId="0" fontId="1" fillId="0" borderId="37" xfId="1" applyBorder="1" applyAlignment="1">
      <alignment horizontal="center" vertical="center"/>
    </xf>
    <xf numFmtId="0" fontId="1" fillId="0" borderId="26" xfId="1" applyBorder="1" applyAlignment="1">
      <alignment horizontal="center" vertical="center"/>
    </xf>
    <xf numFmtId="0" fontId="1" fillId="0" borderId="25" xfId="1" applyBorder="1" applyAlignment="1">
      <alignment horizontal="center" vertical="center"/>
    </xf>
    <xf numFmtId="0" fontId="1" fillId="0" borderId="38" xfId="1" applyBorder="1" applyAlignment="1">
      <alignment horizontal="center" vertical="center"/>
    </xf>
    <xf numFmtId="0" fontId="4" fillId="2" borderId="40" xfId="1" applyFont="1" applyFill="1" applyBorder="1" applyAlignment="1">
      <alignment horizontal="center" vertical="center"/>
    </xf>
    <xf numFmtId="0" fontId="4" fillId="2" borderId="41" xfId="1" applyFont="1" applyFill="1" applyBorder="1" applyAlignment="1">
      <alignment horizontal="center" vertical="center"/>
    </xf>
    <xf numFmtId="0" fontId="7" fillId="0" borderId="1" xfId="1" applyFont="1" applyBorder="1" applyAlignment="1">
      <alignment vertical="center" wrapText="1" shrinkToFit="1"/>
    </xf>
    <xf numFmtId="0" fontId="7" fillId="0" borderId="2" xfId="1" applyFont="1" applyBorder="1" applyAlignment="1">
      <alignment vertical="center" wrapText="1" shrinkToFit="1"/>
    </xf>
    <xf numFmtId="0" fontId="7" fillId="0" borderId="5" xfId="1" applyFont="1" applyBorder="1" applyAlignment="1">
      <alignment vertical="center" wrapText="1" shrinkToFit="1"/>
    </xf>
    <xf numFmtId="0" fontId="7" fillId="0" borderId="0" xfId="1" applyFont="1" applyAlignment="1">
      <alignment vertical="center" wrapText="1" shrinkToFit="1"/>
    </xf>
    <xf numFmtId="0" fontId="7" fillId="0" borderId="7" xfId="1" applyFont="1" applyBorder="1" applyAlignment="1">
      <alignment vertical="center" wrapText="1" shrinkToFit="1"/>
    </xf>
    <xf numFmtId="0" fontId="7" fillId="0" borderId="8" xfId="1" applyFont="1" applyBorder="1" applyAlignment="1">
      <alignment vertical="center" wrapText="1" shrinkToFit="1"/>
    </xf>
    <xf numFmtId="0" fontId="9" fillId="2" borderId="42" xfId="1" applyFont="1" applyFill="1" applyBorder="1" applyAlignment="1">
      <alignment horizontal="center" vertical="center" shrinkToFit="1"/>
    </xf>
    <xf numFmtId="0" fontId="9" fillId="2" borderId="43" xfId="1" applyFont="1" applyFill="1" applyBorder="1" applyAlignment="1">
      <alignment horizontal="center" vertical="center" shrinkToFit="1"/>
    </xf>
    <xf numFmtId="0" fontId="9" fillId="2" borderId="44" xfId="1" applyFont="1" applyFill="1" applyBorder="1" applyAlignment="1">
      <alignment horizontal="center" vertical="center" shrinkToFit="1"/>
    </xf>
    <xf numFmtId="0" fontId="8" fillId="0" borderId="10" xfId="1" applyFont="1" applyBorder="1" applyAlignment="1">
      <alignment horizontal="center" vertical="center" wrapText="1" shrinkToFit="1"/>
    </xf>
    <xf numFmtId="0" fontId="19" fillId="0" borderId="10" xfId="1" applyFont="1" applyBorder="1" applyAlignment="1">
      <alignment horizontal="center" vertical="center" wrapText="1"/>
    </xf>
    <xf numFmtId="0" fontId="19" fillId="0" borderId="10" xfId="1" applyFont="1" applyBorder="1" applyAlignment="1">
      <alignment horizontal="center" vertical="center"/>
    </xf>
    <xf numFmtId="0" fontId="1" fillId="0" borderId="14" xfId="1" applyBorder="1" applyAlignment="1">
      <alignment horizontal="center" vertical="center"/>
    </xf>
    <xf numFmtId="0" fontId="1" fillId="0" borderId="15" xfId="1" applyBorder="1" applyAlignment="1">
      <alignment horizontal="center" vertical="center"/>
    </xf>
    <xf numFmtId="0" fontId="1" fillId="0" borderId="16" xfId="1" applyBorder="1" applyAlignment="1">
      <alignment horizontal="center" vertical="center"/>
    </xf>
    <xf numFmtId="0" fontId="1" fillId="0" borderId="17" xfId="1" applyBorder="1" applyAlignment="1">
      <alignment horizontal="center" vertical="center"/>
    </xf>
    <xf numFmtId="0" fontId="8" fillId="0" borderId="29" xfId="1" applyFont="1" applyBorder="1" applyAlignment="1">
      <alignment vertical="center" shrinkToFit="1"/>
    </xf>
    <xf numFmtId="0" fontId="8" fillId="5" borderId="10" xfId="1" applyFont="1" applyFill="1" applyBorder="1" applyAlignment="1">
      <alignment horizontal="center" vertical="center" textRotation="30" shrinkToFit="1"/>
    </xf>
    <xf numFmtId="0" fontId="8" fillId="5" borderId="10" xfId="1" applyFont="1" applyFill="1" applyBorder="1" applyAlignment="1">
      <alignment horizontal="center" vertical="center" shrinkToFit="1"/>
    </xf>
    <xf numFmtId="0" fontId="19" fillId="0" borderId="10" xfId="1" applyFont="1" applyBorder="1" applyAlignment="1">
      <alignment horizontal="center" vertical="distributed" wrapText="1"/>
    </xf>
    <xf numFmtId="0" fontId="8" fillId="0" borderId="63" xfId="1" applyFont="1" applyBorder="1" applyAlignment="1">
      <alignment horizontal="center" vertical="center" shrinkToFit="1"/>
    </xf>
    <xf numFmtId="176" fontId="12" fillId="0" borderId="63" xfId="1" applyNumberFormat="1" applyFont="1" applyBorder="1" applyAlignment="1">
      <alignment horizontal="right" vertical="center" shrinkToFit="1"/>
    </xf>
    <xf numFmtId="177" fontId="12" fillId="0" borderId="10" xfId="1" applyNumberFormat="1" applyFont="1" applyBorder="1" applyAlignment="1">
      <alignment horizontal="right" vertical="center"/>
    </xf>
    <xf numFmtId="176" fontId="12" fillId="5" borderId="10" xfId="1" applyNumberFormat="1" applyFont="1" applyFill="1" applyBorder="1" applyAlignment="1">
      <alignment horizontal="right" vertical="center" shrinkToFit="1"/>
    </xf>
    <xf numFmtId="0" fontId="8" fillId="5" borderId="10" xfId="1" applyFont="1" applyFill="1" applyBorder="1" applyAlignment="1">
      <alignment horizontal="center" vertical="center" textRotation="30"/>
    </xf>
    <xf numFmtId="0" fontId="8" fillId="5" borderId="10" xfId="1" applyFont="1" applyFill="1" applyBorder="1" applyAlignment="1">
      <alignment horizontal="center" vertical="center"/>
    </xf>
    <xf numFmtId="0" fontId="22" fillId="3" borderId="10" xfId="1" applyFont="1" applyFill="1" applyBorder="1" applyAlignment="1">
      <alignment horizontal="center" vertical="center" wrapText="1"/>
    </xf>
    <xf numFmtId="0" fontId="22" fillId="4" borderId="10" xfId="1" applyFont="1" applyFill="1" applyBorder="1" applyAlignment="1">
      <alignment horizontal="center" vertical="center" wrapText="1"/>
    </xf>
    <xf numFmtId="0" fontId="8" fillId="0" borderId="10" xfId="1" applyFont="1" applyBorder="1" applyAlignment="1">
      <alignment horizontal="center" vertical="center"/>
    </xf>
    <xf numFmtId="0" fontId="29" fillId="2" borderId="36" xfId="1" applyFont="1" applyFill="1" applyBorder="1" applyAlignment="1">
      <alignment horizontal="center" vertical="center"/>
    </xf>
    <xf numFmtId="0" fontId="8" fillId="0" borderId="10" xfId="1" applyFont="1" applyBorder="1" applyAlignment="1">
      <alignment horizontal="center" vertical="center" textRotation="30"/>
    </xf>
    <xf numFmtId="3" fontId="12" fillId="0" borderId="10" xfId="1" applyNumberFormat="1" applyFont="1" applyBorder="1" applyAlignment="1">
      <alignment horizontal="center" vertical="center" shrinkToFit="1"/>
    </xf>
    <xf numFmtId="0" fontId="28" fillId="2" borderId="48" xfId="1" applyFont="1" applyFill="1" applyBorder="1" applyAlignment="1">
      <alignment horizontal="center" vertical="center"/>
    </xf>
    <xf numFmtId="0" fontId="28" fillId="2" borderId="49" xfId="1" applyFont="1" applyFill="1" applyBorder="1" applyAlignment="1">
      <alignment horizontal="center" vertical="center"/>
    </xf>
    <xf numFmtId="0" fontId="8" fillId="0" borderId="45" xfId="1" applyFont="1" applyBorder="1" applyAlignment="1">
      <alignment horizontal="center" vertical="center" shrinkToFit="1"/>
    </xf>
    <xf numFmtId="0" fontId="8" fillId="0" borderId="46" xfId="1" applyFont="1" applyBorder="1" applyAlignment="1">
      <alignment horizontal="center" vertical="center" shrinkToFit="1"/>
    </xf>
    <xf numFmtId="0" fontId="8" fillId="0" borderId="47" xfId="1" applyFont="1" applyBorder="1" applyAlignment="1">
      <alignment horizontal="center" vertical="center" shrinkToFit="1"/>
    </xf>
    <xf numFmtId="0" fontId="29" fillId="2" borderId="35" xfId="1" applyFont="1" applyFill="1" applyBorder="1" applyAlignment="1">
      <alignment horizontal="center" vertical="center" shrinkToFit="1"/>
    </xf>
    <xf numFmtId="0" fontId="29" fillId="2" borderId="36" xfId="1" applyFont="1" applyFill="1" applyBorder="1" applyAlignment="1">
      <alignment horizontal="center" vertical="center" shrinkToFit="1"/>
    </xf>
    <xf numFmtId="0" fontId="28" fillId="2" borderId="45" xfId="1" applyFont="1" applyFill="1" applyBorder="1" applyAlignment="1">
      <alignment horizontal="center" vertical="center"/>
    </xf>
    <xf numFmtId="0" fontId="28" fillId="2" borderId="46" xfId="1" applyFont="1" applyFill="1" applyBorder="1" applyAlignment="1">
      <alignment horizontal="center" vertical="center"/>
    </xf>
    <xf numFmtId="0" fontId="28" fillId="2" borderId="47" xfId="1" applyFont="1" applyFill="1" applyBorder="1" applyAlignment="1">
      <alignment horizontal="center" vertical="center"/>
    </xf>
    <xf numFmtId="0" fontId="22" fillId="3" borderId="10" xfId="1" applyFont="1" applyFill="1" applyBorder="1" applyAlignment="1">
      <alignment horizontal="center" vertical="center"/>
    </xf>
    <xf numFmtId="0" fontId="28" fillId="2" borderId="50" xfId="1" applyFont="1" applyFill="1" applyBorder="1" applyAlignment="1">
      <alignment horizontal="center" vertical="center" shrinkToFit="1"/>
    </xf>
    <xf numFmtId="0" fontId="28" fillId="2" borderId="51" xfId="1" applyFont="1" applyFill="1" applyBorder="1" applyAlignment="1">
      <alignment horizontal="center" vertical="center" shrinkToFit="1"/>
    </xf>
    <xf numFmtId="0" fontId="29" fillId="2" borderId="39" xfId="1" applyFont="1" applyFill="1" applyBorder="1" applyAlignment="1">
      <alignment horizontal="center" vertical="center" shrinkToFit="1"/>
    </xf>
    <xf numFmtId="0" fontId="7" fillId="0" borderId="1" xfId="1" applyFont="1" applyBorder="1" applyAlignment="1">
      <alignment horizontal="left" vertical="center" wrapText="1" shrinkToFit="1"/>
    </xf>
    <xf numFmtId="0" fontId="7" fillId="0" borderId="2" xfId="1" applyFont="1" applyBorder="1" applyAlignment="1">
      <alignment horizontal="left" vertical="center" wrapText="1" shrinkToFit="1"/>
    </xf>
    <xf numFmtId="0" fontId="7" fillId="0" borderId="5" xfId="1" applyFont="1" applyBorder="1" applyAlignment="1">
      <alignment horizontal="left" vertical="center" wrapText="1" shrinkToFit="1"/>
    </xf>
    <xf numFmtId="0" fontId="7" fillId="0" borderId="0" xfId="1" applyFont="1" applyAlignment="1">
      <alignment horizontal="left" vertical="center" wrapText="1" shrinkToFit="1"/>
    </xf>
    <xf numFmtId="0" fontId="7" fillId="0" borderId="7" xfId="1" applyFont="1" applyBorder="1" applyAlignment="1">
      <alignment horizontal="left" vertical="center" wrapText="1" shrinkToFit="1"/>
    </xf>
    <xf numFmtId="0" fontId="7" fillId="0" borderId="8" xfId="1" applyFont="1" applyBorder="1" applyAlignment="1">
      <alignment horizontal="left" vertical="center" wrapText="1" shrinkToFit="1"/>
    </xf>
    <xf numFmtId="0" fontId="22" fillId="3" borderId="10" xfId="1" applyFont="1" applyFill="1" applyBorder="1" applyAlignment="1">
      <alignment horizontal="center" vertical="center" shrinkToFit="1"/>
    </xf>
    <xf numFmtId="0" fontId="1" fillId="0" borderId="52" xfId="1" applyBorder="1" applyAlignment="1">
      <alignment horizontal="center" vertical="center"/>
    </xf>
    <xf numFmtId="0" fontId="1" fillId="0" borderId="53" xfId="1" applyBorder="1" applyAlignment="1">
      <alignment horizontal="center" vertical="center"/>
    </xf>
    <xf numFmtId="0" fontId="1" fillId="0" borderId="86" xfId="1" applyBorder="1" applyAlignment="1">
      <alignment horizontal="center" vertical="center"/>
    </xf>
    <xf numFmtId="0" fontId="1" fillId="0" borderId="34" xfId="1" applyBorder="1" applyAlignment="1">
      <alignment horizontal="center" vertical="center"/>
    </xf>
    <xf numFmtId="0" fontId="1" fillId="0" borderId="87" xfId="1" applyBorder="1" applyAlignment="1">
      <alignment horizontal="center" vertical="center"/>
    </xf>
    <xf numFmtId="0" fontId="1" fillId="0" borderId="85" xfId="1" applyBorder="1" applyAlignment="1">
      <alignment horizontal="center" vertical="center"/>
    </xf>
    <xf numFmtId="0" fontId="1" fillId="0" borderId="88" xfId="1" applyBorder="1" applyAlignment="1">
      <alignment horizontal="center" vertical="center"/>
    </xf>
    <xf numFmtId="0" fontId="1" fillId="0" borderId="46" xfId="1" applyBorder="1" applyAlignment="1">
      <alignment horizontal="center" vertical="center"/>
    </xf>
    <xf numFmtId="0" fontId="1" fillId="0" borderId="47" xfId="1" applyBorder="1" applyAlignment="1">
      <alignment horizontal="center" vertical="center"/>
    </xf>
    <xf numFmtId="0" fontId="1" fillId="0" borderId="45" xfId="1" applyBorder="1" applyAlignment="1">
      <alignment horizontal="center" vertical="center"/>
    </xf>
    <xf numFmtId="0" fontId="1" fillId="0" borderId="89" xfId="1" applyBorder="1" applyAlignment="1">
      <alignment horizontal="center" vertical="center"/>
    </xf>
    <xf numFmtId="0" fontId="26" fillId="0" borderId="1" xfId="1" applyFont="1" applyBorder="1" applyAlignment="1">
      <alignment horizontal="center" vertical="center" wrapText="1" shrinkToFit="1"/>
    </xf>
    <xf numFmtId="0" fontId="26" fillId="0" borderId="2" xfId="1" applyFont="1" applyBorder="1" applyAlignment="1">
      <alignment horizontal="center" vertical="center" wrapText="1" shrinkToFit="1"/>
    </xf>
    <xf numFmtId="0" fontId="26" fillId="0" borderId="5" xfId="1" applyFont="1" applyBorder="1" applyAlignment="1">
      <alignment horizontal="center" vertical="center" wrapText="1" shrinkToFit="1"/>
    </xf>
    <xf numFmtId="0" fontId="26" fillId="0" borderId="0" xfId="1" applyFont="1" applyAlignment="1">
      <alignment horizontal="center" vertical="center" wrapText="1" shrinkToFit="1"/>
    </xf>
    <xf numFmtId="0" fontId="26" fillId="0" borderId="7" xfId="1" applyFont="1" applyBorder="1" applyAlignment="1">
      <alignment horizontal="center" vertical="center" wrapText="1" shrinkToFit="1"/>
    </xf>
    <xf numFmtId="0" fontId="26" fillId="0" borderId="8" xfId="1" applyFont="1" applyBorder="1" applyAlignment="1">
      <alignment horizontal="center" vertical="center" wrapText="1" shrinkToFit="1"/>
    </xf>
    <xf numFmtId="0" fontId="30" fillId="0" borderId="2" xfId="1" applyFont="1" applyBorder="1" applyAlignment="1">
      <alignment vertical="center" wrapText="1" shrinkToFit="1"/>
    </xf>
    <xf numFmtId="0" fontId="30" fillId="0" borderId="0" xfId="1" applyFont="1" applyAlignment="1">
      <alignment vertical="center" wrapText="1" shrinkToFit="1"/>
    </xf>
    <xf numFmtId="0" fontId="30" fillId="0" borderId="8" xfId="1" applyFont="1" applyBorder="1" applyAlignment="1">
      <alignment vertical="center" wrapText="1" shrinkToFit="1"/>
    </xf>
    <xf numFmtId="176" fontId="12" fillId="0" borderId="10" xfId="1" applyNumberFormat="1" applyFont="1" applyBorder="1" applyAlignment="1">
      <alignment horizontal="center" vertical="center" shrinkToFit="1"/>
    </xf>
    <xf numFmtId="176" fontId="12" fillId="6" borderId="10" xfId="1" applyNumberFormat="1" applyFont="1" applyFill="1" applyBorder="1" applyAlignment="1">
      <alignment horizontal="center" vertical="center" shrinkToFit="1"/>
    </xf>
    <xf numFmtId="176" fontId="16" fillId="0" borderId="10" xfId="1" applyNumberFormat="1" applyFont="1" applyBorder="1" applyAlignment="1">
      <alignment horizontal="center" vertical="center" shrinkToFit="1"/>
    </xf>
    <xf numFmtId="3" fontId="8" fillId="4" borderId="10" xfId="1" applyNumberFormat="1" applyFont="1" applyFill="1" applyBorder="1" applyAlignment="1">
      <alignment horizontal="center" vertical="center"/>
    </xf>
    <xf numFmtId="0" fontId="28" fillId="2" borderId="3" xfId="1" applyFont="1" applyFill="1" applyBorder="1" applyAlignment="1">
      <alignment horizontal="center" vertical="center" shrinkToFit="1"/>
    </xf>
    <xf numFmtId="0" fontId="28" fillId="2" borderId="4" xfId="1" applyFont="1" applyFill="1" applyBorder="1" applyAlignment="1">
      <alignment horizontal="center" vertical="center" shrinkToFit="1"/>
    </xf>
    <xf numFmtId="0" fontId="28" fillId="2" borderId="41" xfId="1" applyFont="1" applyFill="1" applyBorder="1" applyAlignment="1">
      <alignment horizontal="center" vertical="center" shrinkToFit="1"/>
    </xf>
    <xf numFmtId="0" fontId="28" fillId="2" borderId="45" xfId="1" applyFont="1" applyFill="1" applyBorder="1" applyAlignment="1">
      <alignment horizontal="center" vertical="center" shrinkToFit="1"/>
    </xf>
    <xf numFmtId="0" fontId="28" fillId="2" borderId="46" xfId="1" applyFont="1" applyFill="1" applyBorder="1" applyAlignment="1">
      <alignment horizontal="center" vertical="center" shrinkToFit="1"/>
    </xf>
    <xf numFmtId="0" fontId="28" fillId="2" borderId="54" xfId="1" applyFont="1" applyFill="1" applyBorder="1" applyAlignment="1">
      <alignment horizontal="center" vertical="center" shrinkToFit="1"/>
    </xf>
    <xf numFmtId="0" fontId="28" fillId="2" borderId="55" xfId="1" applyFont="1" applyFill="1" applyBorder="1" applyAlignment="1">
      <alignment horizontal="center" vertical="center" shrinkToFit="1"/>
    </xf>
    <xf numFmtId="0" fontId="28" fillId="2" borderId="47" xfId="1" applyFont="1" applyFill="1" applyBorder="1" applyAlignment="1">
      <alignment horizontal="center" vertical="center" shrinkToFit="1"/>
    </xf>
    <xf numFmtId="0" fontId="8" fillId="0" borderId="56" xfId="1" applyFont="1" applyBorder="1" applyAlignment="1">
      <alignment horizontal="center" vertical="center" shrinkToFit="1"/>
    </xf>
    <xf numFmtId="0" fontId="8" fillId="0" borderId="57" xfId="1" applyFont="1" applyBorder="1" applyAlignment="1">
      <alignment horizontal="center" vertical="center" shrinkToFit="1"/>
    </xf>
    <xf numFmtId="0" fontId="8" fillId="0" borderId="58" xfId="1" applyFont="1" applyBorder="1" applyAlignment="1">
      <alignment horizontal="center" vertical="center" shrinkToFit="1"/>
    </xf>
    <xf numFmtId="177" fontId="12" fillId="5" borderId="10" xfId="1" applyNumberFormat="1" applyFont="1" applyFill="1" applyBorder="1" applyAlignment="1">
      <alignment horizontal="right" vertical="center" shrinkToFit="1"/>
    </xf>
    <xf numFmtId="0" fontId="29" fillId="2" borderId="10" xfId="1" applyFont="1" applyFill="1" applyBorder="1" applyAlignment="1">
      <alignment horizontal="center" vertical="center"/>
    </xf>
    <xf numFmtId="177" fontId="12" fillId="6" borderId="10" xfId="1" applyNumberFormat="1" applyFont="1" applyFill="1" applyBorder="1" applyAlignment="1">
      <alignment horizontal="right" vertical="center" shrinkToFit="1"/>
    </xf>
    <xf numFmtId="0" fontId="22" fillId="5" borderId="10" xfId="1" applyFont="1" applyFill="1" applyBorder="1" applyAlignment="1">
      <alignment horizontal="center" vertical="center"/>
    </xf>
    <xf numFmtId="0" fontId="8" fillId="0" borderId="61" xfId="1" applyFont="1" applyBorder="1" applyAlignment="1">
      <alignment horizontal="center" vertical="center"/>
    </xf>
    <xf numFmtId="0" fontId="8" fillId="0" borderId="52" xfId="1" applyFont="1" applyBorder="1" applyAlignment="1">
      <alignment vertical="center"/>
    </xf>
    <xf numFmtId="0" fontId="8" fillId="0" borderId="15" xfId="1" applyFont="1" applyBorder="1" applyAlignment="1">
      <alignment vertical="center"/>
    </xf>
    <xf numFmtId="0" fontId="8" fillId="0" borderId="16" xfId="1" applyFont="1" applyBorder="1" applyAlignment="1">
      <alignment vertical="center"/>
    </xf>
    <xf numFmtId="0" fontId="8" fillId="0" borderId="23" xfId="1" applyFont="1" applyBorder="1" applyAlignment="1">
      <alignment horizontal="center" vertical="center"/>
    </xf>
    <xf numFmtId="0" fontId="8" fillId="0" borderId="24" xfId="1" applyFont="1" applyBorder="1" applyAlignment="1">
      <alignment vertical="center"/>
    </xf>
    <xf numFmtId="0" fontId="8" fillId="0" borderId="26" xfId="1" applyFont="1" applyBorder="1" applyAlignment="1">
      <alignment vertical="center"/>
    </xf>
    <xf numFmtId="0" fontId="8" fillId="0" borderId="25" xfId="1" applyFont="1" applyBorder="1" applyAlignment="1">
      <alignment vertical="center"/>
    </xf>
    <xf numFmtId="0" fontId="8" fillId="0" borderId="27" xfId="1" applyFont="1" applyBorder="1" applyAlignment="1">
      <alignment horizontal="center" vertical="center"/>
    </xf>
    <xf numFmtId="0" fontId="8" fillId="0" borderId="62" xfId="1" applyFont="1" applyBorder="1" applyAlignment="1">
      <alignment horizontal="center" vertical="center"/>
    </xf>
    <xf numFmtId="0" fontId="8" fillId="0" borderId="28" xfId="1" applyFont="1" applyBorder="1" applyAlignment="1">
      <alignment horizontal="center" vertical="center"/>
    </xf>
    <xf numFmtId="0" fontId="8" fillId="0" borderId="27" xfId="1" applyFont="1" applyBorder="1" applyAlignment="1">
      <alignment vertical="center"/>
    </xf>
    <xf numFmtId="0" fontId="8" fillId="0" borderId="62" xfId="1" applyFont="1" applyBorder="1" applyAlignment="1">
      <alignment vertical="center"/>
    </xf>
    <xf numFmtId="0" fontId="8" fillId="0" borderId="28" xfId="1" applyFont="1" applyBorder="1" applyAlignment="1">
      <alignment vertical="center"/>
    </xf>
    <xf numFmtId="0" fontId="8" fillId="0" borderId="45" xfId="1" applyFont="1" applyBorder="1" applyAlignment="1">
      <alignment vertical="center"/>
    </xf>
    <xf numFmtId="0" fontId="8" fillId="0" borderId="46" xfId="1" applyFont="1" applyBorder="1" applyAlignment="1">
      <alignment vertical="center"/>
    </xf>
    <xf numFmtId="0" fontId="8" fillId="0" borderId="47" xfId="1" applyFont="1" applyBorder="1" applyAlignment="1">
      <alignment vertical="center"/>
    </xf>
    <xf numFmtId="0" fontId="31" fillId="2" borderId="0" xfId="1" applyFont="1" applyFill="1" applyAlignment="1">
      <alignment horizontal="center" vertical="center" wrapText="1"/>
    </xf>
    <xf numFmtId="0" fontId="31" fillId="2" borderId="6" xfId="1" applyFont="1" applyFill="1" applyBorder="1" applyAlignment="1">
      <alignment horizontal="center" vertical="center" wrapText="1"/>
    </xf>
    <xf numFmtId="0" fontId="8" fillId="0" borderId="1" xfId="1" applyFont="1" applyBorder="1" applyAlignment="1">
      <alignment horizontal="center" vertical="center" shrinkToFit="1"/>
    </xf>
    <xf numFmtId="0" fontId="8" fillId="0" borderId="2" xfId="1" applyFont="1" applyBorder="1" applyAlignment="1">
      <alignment horizontal="center" vertical="center" shrinkToFit="1"/>
    </xf>
    <xf numFmtId="0" fontId="8" fillId="0" borderId="40" xfId="1" applyFont="1" applyBorder="1" applyAlignment="1">
      <alignment horizontal="center" vertical="center" shrinkToFit="1"/>
    </xf>
    <xf numFmtId="0" fontId="29" fillId="2" borderId="35" xfId="1" applyFont="1" applyFill="1" applyBorder="1" applyAlignment="1">
      <alignment horizontal="center" vertical="center"/>
    </xf>
    <xf numFmtId="0" fontId="20" fillId="0" borderId="10" xfId="2" applyBorder="1">
      <alignment vertical="center"/>
    </xf>
    <xf numFmtId="0" fontId="8" fillId="3" borderId="10" xfId="1" applyFont="1" applyFill="1" applyBorder="1" applyAlignment="1">
      <alignment horizontal="center" vertical="center" wrapText="1"/>
    </xf>
    <xf numFmtId="178" fontId="12" fillId="5" borderId="10" xfId="1" applyNumberFormat="1" applyFont="1" applyFill="1" applyBorder="1" applyAlignment="1">
      <alignment horizontal="right" vertical="center"/>
    </xf>
    <xf numFmtId="178" fontId="12" fillId="6" borderId="10" xfId="1" applyNumberFormat="1" applyFont="1" applyFill="1" applyBorder="1" applyAlignment="1">
      <alignment horizontal="right" vertical="center" shrinkToFit="1"/>
    </xf>
    <xf numFmtId="178" fontId="12" fillId="5" borderId="10" xfId="1" applyNumberFormat="1" applyFont="1" applyFill="1" applyBorder="1" applyAlignment="1">
      <alignment horizontal="right" vertical="center" shrinkToFit="1"/>
    </xf>
    <xf numFmtId="0" fontId="8" fillId="0" borderId="0" xfId="1" applyFont="1" applyAlignment="1">
      <alignment horizontal="left" vertical="top" wrapText="1"/>
    </xf>
    <xf numFmtId="178" fontId="12" fillId="0" borderId="10" xfId="1" applyNumberFormat="1" applyFont="1" applyBorder="1" applyAlignment="1">
      <alignment horizontal="right" vertical="center"/>
    </xf>
    <xf numFmtId="0" fontId="8" fillId="4" borderId="10" xfId="1" applyFont="1" applyFill="1" applyBorder="1" applyAlignment="1">
      <alignment horizontal="center" vertical="center" wrapText="1"/>
    </xf>
    <xf numFmtId="3" fontId="12" fillId="0" borderId="59" xfId="1" applyNumberFormat="1" applyFont="1" applyBorder="1" applyAlignment="1">
      <alignment horizontal="center" vertical="center" shrinkToFit="1"/>
    </xf>
    <xf numFmtId="3" fontId="12" fillId="0" borderId="63" xfId="1" applyNumberFormat="1" applyFont="1" applyBorder="1" applyAlignment="1">
      <alignment horizontal="center" vertical="center" shrinkToFit="1"/>
    </xf>
    <xf numFmtId="0" fontId="28" fillId="2" borderId="60" xfId="1" applyFont="1" applyFill="1" applyBorder="1" applyAlignment="1">
      <alignment horizontal="center" vertical="center"/>
    </xf>
    <xf numFmtId="0" fontId="28" fillId="2" borderId="0" xfId="1" applyFont="1" applyFill="1" applyAlignment="1">
      <alignment horizontal="center" vertical="center" shrinkToFit="1"/>
    </xf>
    <xf numFmtId="0" fontId="28" fillId="2" borderId="6" xfId="1" applyFont="1" applyFill="1" applyBorder="1" applyAlignment="1">
      <alignment horizontal="center" vertical="center" shrinkToFit="1"/>
    </xf>
    <xf numFmtId="178" fontId="12" fillId="0" borderId="10" xfId="1" applyNumberFormat="1" applyFont="1" applyBorder="1" applyAlignment="1">
      <alignment horizontal="right" vertical="center" shrinkToFit="1"/>
    </xf>
    <xf numFmtId="0" fontId="20" fillId="5" borderId="10" xfId="2" applyFill="1" applyBorder="1">
      <alignment vertical="center"/>
    </xf>
    <xf numFmtId="0" fontId="29" fillId="2" borderId="39" xfId="1" applyFont="1" applyFill="1" applyBorder="1" applyAlignment="1">
      <alignment horizontal="center" vertical="center"/>
    </xf>
    <xf numFmtId="0" fontId="8" fillId="0" borderId="52" xfId="1" applyFont="1" applyBorder="1" applyAlignment="1">
      <alignment horizontal="center" vertical="center" shrinkToFit="1"/>
    </xf>
    <xf numFmtId="0" fontId="8" fillId="0" borderId="16" xfId="1" applyFont="1" applyBorder="1" applyAlignment="1">
      <alignment horizontal="center" vertical="center" shrinkToFit="1"/>
    </xf>
    <xf numFmtId="0" fontId="8" fillId="0" borderId="52" xfId="1" applyFont="1" applyBorder="1" applyAlignment="1">
      <alignment horizontal="left" vertical="center" shrinkToFit="1"/>
    </xf>
    <xf numFmtId="0" fontId="8" fillId="0" borderId="15" xfId="1" applyFont="1" applyBorder="1" applyAlignment="1">
      <alignment horizontal="left" vertical="center" shrinkToFit="1"/>
    </xf>
    <xf numFmtId="0" fontId="8" fillId="0" borderId="16" xfId="1" applyFont="1" applyBorder="1" applyAlignment="1">
      <alignment horizontal="left" vertical="center" shrinkToFit="1"/>
    </xf>
    <xf numFmtId="0" fontId="8" fillId="0" borderId="64" xfId="1" applyFont="1" applyBorder="1" applyAlignment="1">
      <alignment horizontal="left" vertical="center" shrinkToFit="1"/>
    </xf>
    <xf numFmtId="0" fontId="8" fillId="0" borderId="27" xfId="1" applyFont="1" applyBorder="1" applyAlignment="1">
      <alignment horizontal="left" vertical="center" shrinkToFit="1"/>
    </xf>
    <xf numFmtId="0" fontId="8" fillId="0" borderId="62" xfId="1" applyFont="1" applyBorder="1" applyAlignment="1">
      <alignment horizontal="left" vertical="center" shrinkToFit="1"/>
    </xf>
    <xf numFmtId="0" fontId="8" fillId="0" borderId="28" xfId="1" applyFont="1" applyBorder="1" applyAlignment="1">
      <alignment horizontal="left" vertical="center" shrinkToFit="1"/>
    </xf>
    <xf numFmtId="0" fontId="29" fillId="2" borderId="10" xfId="1" applyFont="1" applyFill="1" applyBorder="1" applyAlignment="1">
      <alignment horizontal="center" vertical="center" wrapText="1" shrinkToFit="1"/>
    </xf>
    <xf numFmtId="0" fontId="8" fillId="3" borderId="65" xfId="1" applyFont="1" applyFill="1" applyBorder="1" applyAlignment="1">
      <alignment horizontal="center" vertical="center" shrinkToFit="1"/>
    </xf>
    <xf numFmtId="0" fontId="8" fillId="3" borderId="65" xfId="1" applyFont="1" applyFill="1" applyBorder="1" applyAlignment="1">
      <alignment horizontal="center" vertical="center"/>
    </xf>
    <xf numFmtId="176" fontId="12" fillId="0" borderId="65" xfId="1" applyNumberFormat="1" applyFont="1" applyBorder="1" applyAlignment="1">
      <alignment horizontal="right" vertical="center" shrinkToFit="1"/>
    </xf>
    <xf numFmtId="0" fontId="8" fillId="0" borderId="65" xfId="1" applyFont="1" applyBorder="1" applyAlignment="1">
      <alignment horizontal="center" vertical="center" shrinkToFit="1"/>
    </xf>
    <xf numFmtId="0" fontId="8" fillId="0" borderId="65" xfId="1" applyFont="1" applyBorder="1" applyAlignment="1">
      <alignment horizontal="center" vertical="distributed" wrapText="1"/>
    </xf>
    <xf numFmtId="0" fontId="11" fillId="2" borderId="65" xfId="1" applyFont="1" applyFill="1" applyBorder="1" applyAlignment="1">
      <alignment horizontal="center" vertical="center" shrinkToFit="1"/>
    </xf>
    <xf numFmtId="0" fontId="8" fillId="4" borderId="65" xfId="1" applyFont="1" applyFill="1" applyBorder="1" applyAlignment="1">
      <alignment horizontal="center" vertical="center" textRotation="30" shrinkToFit="1"/>
    </xf>
    <xf numFmtId="0" fontId="8" fillId="3" borderId="65" xfId="1" applyFont="1" applyFill="1" applyBorder="1" applyAlignment="1">
      <alignment horizontal="center" vertical="center" textRotation="30" shrinkToFit="1"/>
    </xf>
    <xf numFmtId="176" fontId="12" fillId="3" borderId="65" xfId="1" applyNumberFormat="1" applyFont="1" applyFill="1" applyBorder="1" applyAlignment="1">
      <alignment horizontal="right" vertical="center" shrinkToFit="1"/>
    </xf>
    <xf numFmtId="176" fontId="12" fillId="6" borderId="65" xfId="1" applyNumberFormat="1" applyFont="1" applyFill="1" applyBorder="1" applyAlignment="1">
      <alignment horizontal="right" vertical="center" shrinkToFit="1"/>
    </xf>
    <xf numFmtId="0" fontId="15" fillId="0" borderId="65" xfId="1" applyFont="1" applyBorder="1" applyAlignment="1">
      <alignment horizontal="center" vertical="center" shrinkToFit="1"/>
    </xf>
    <xf numFmtId="0" fontId="15" fillId="4" borderId="65" xfId="1" applyFont="1" applyFill="1" applyBorder="1" applyAlignment="1">
      <alignment horizontal="center" vertical="center" textRotation="30" shrinkToFit="1"/>
    </xf>
    <xf numFmtId="176" fontId="16" fillId="0" borderId="65" xfId="1" applyNumberFormat="1" applyFont="1" applyBorder="1" applyAlignment="1">
      <alignment horizontal="right" vertical="center" shrinkToFit="1"/>
    </xf>
    <xf numFmtId="0" fontId="15" fillId="3" borderId="65" xfId="1" applyFont="1" applyFill="1" applyBorder="1" applyAlignment="1">
      <alignment horizontal="center" vertical="center" shrinkToFit="1"/>
    </xf>
    <xf numFmtId="0" fontId="15" fillId="3" borderId="65" xfId="1" applyFont="1" applyFill="1" applyBorder="1" applyAlignment="1">
      <alignment horizontal="center" vertical="center" textRotation="30" shrinkToFit="1"/>
    </xf>
    <xf numFmtId="176" fontId="16" fillId="3" borderId="65" xfId="1" applyNumberFormat="1" applyFont="1" applyFill="1" applyBorder="1" applyAlignment="1">
      <alignment horizontal="right" vertical="center" shrinkToFit="1"/>
    </xf>
    <xf numFmtId="0" fontId="8" fillId="0" borderId="10" xfId="1" applyFont="1" applyBorder="1" applyAlignment="1">
      <alignment horizontal="center" vertical="center" wrapText="1" shrinkToFit="1" readingOrder="1"/>
    </xf>
    <xf numFmtId="0" fontId="21" fillId="0" borderId="10" xfId="1" applyFont="1" applyBorder="1" applyAlignment="1">
      <alignment horizontal="left" vertical="center" wrapText="1" shrinkToFit="1" readingOrder="1"/>
    </xf>
    <xf numFmtId="0" fontId="34" fillId="0" borderId="10" xfId="2" applyFont="1" applyBorder="1" applyAlignment="1">
      <alignment horizontal="center" vertical="center"/>
    </xf>
    <xf numFmtId="0" fontId="1" fillId="0" borderId="66" xfId="1" applyBorder="1" applyAlignment="1">
      <alignment horizontal="center" vertical="center"/>
    </xf>
    <xf numFmtId="0" fontId="1" fillId="0" borderId="2" xfId="1" applyBorder="1" applyAlignment="1">
      <alignment horizontal="center" vertical="center"/>
    </xf>
    <xf numFmtId="0" fontId="1" fillId="0" borderId="40" xfId="1" applyBorder="1" applyAlignment="1">
      <alignment horizontal="center" vertical="center"/>
    </xf>
    <xf numFmtId="0" fontId="1" fillId="0" borderId="67" xfId="1" applyBorder="1" applyAlignment="1">
      <alignment horizontal="center" vertical="center"/>
    </xf>
    <xf numFmtId="0" fontId="35" fillId="0" borderId="1" xfId="1" applyFont="1" applyBorder="1" applyAlignment="1">
      <alignment vertical="center" wrapText="1" shrinkToFit="1"/>
    </xf>
    <xf numFmtId="0" fontId="35" fillId="0" borderId="2" xfId="1" applyFont="1" applyBorder="1" applyAlignment="1">
      <alignment vertical="center" wrapText="1" shrinkToFit="1"/>
    </xf>
    <xf numFmtId="0" fontId="35" fillId="0" borderId="5" xfId="1" applyFont="1" applyBorder="1" applyAlignment="1">
      <alignment vertical="center" wrapText="1" shrinkToFit="1"/>
    </xf>
    <xf numFmtId="0" fontId="35" fillId="0" borderId="0" xfId="1" applyFont="1" applyAlignment="1">
      <alignment vertical="center" wrapText="1" shrinkToFit="1"/>
    </xf>
    <xf numFmtId="0" fontId="35" fillId="0" borderId="7" xfId="1" applyFont="1" applyBorder="1" applyAlignment="1">
      <alignment vertical="center" wrapText="1" shrinkToFit="1"/>
    </xf>
    <xf numFmtId="0" fontId="35" fillId="0" borderId="8" xfId="1" applyFont="1" applyBorder="1" applyAlignment="1">
      <alignment vertical="center" wrapText="1" shrinkToFit="1"/>
    </xf>
    <xf numFmtId="0" fontId="8" fillId="0" borderId="68" xfId="1" applyFont="1" applyBorder="1" applyAlignment="1">
      <alignment horizontal="center" vertical="center" shrinkToFit="1"/>
    </xf>
    <xf numFmtId="0" fontId="8" fillId="0" borderId="69" xfId="1" applyFont="1" applyBorder="1" applyAlignment="1">
      <alignment horizontal="center" vertical="center" shrinkToFit="1"/>
    </xf>
    <xf numFmtId="0" fontId="8" fillId="0" borderId="70" xfId="1" applyFont="1" applyBorder="1" applyAlignment="1">
      <alignment horizontal="left" vertical="center" shrinkToFit="1"/>
    </xf>
    <xf numFmtId="0" fontId="8" fillId="0" borderId="71" xfId="1" applyFont="1" applyBorder="1" applyAlignment="1">
      <alignment horizontal="left" vertical="center" shrinkToFit="1"/>
    </xf>
    <xf numFmtId="0" fontId="8" fillId="0" borderId="69" xfId="1" applyFont="1" applyBorder="1" applyAlignment="1">
      <alignment horizontal="left" vertical="center" shrinkToFit="1"/>
    </xf>
    <xf numFmtId="0" fontId="8" fillId="0" borderId="24" xfId="1" applyFont="1" applyBorder="1" applyAlignment="1">
      <alignment vertical="center" shrinkToFit="1"/>
    </xf>
    <xf numFmtId="0" fontId="8" fillId="0" borderId="26" xfId="1" applyFont="1" applyBorder="1" applyAlignment="1">
      <alignment vertical="center" shrinkToFit="1"/>
    </xf>
    <xf numFmtId="0" fontId="8" fillId="0" borderId="25" xfId="1" applyFont="1" applyBorder="1" applyAlignment="1">
      <alignment vertical="center" shrinkToFit="1"/>
    </xf>
    <xf numFmtId="0" fontId="11" fillId="2" borderId="76" xfId="1" applyFont="1" applyFill="1" applyBorder="1" applyAlignment="1">
      <alignment horizontal="center" vertical="center" shrinkToFit="1"/>
    </xf>
    <xf numFmtId="0" fontId="11" fillId="2" borderId="77" xfId="1" applyFont="1" applyFill="1" applyBorder="1" applyAlignment="1">
      <alignment horizontal="center" vertical="center" shrinkToFit="1"/>
    </xf>
    <xf numFmtId="0" fontId="8" fillId="0" borderId="72" xfId="1" applyFont="1" applyBorder="1" applyAlignment="1">
      <alignment horizontal="center" vertical="center" shrinkToFit="1"/>
    </xf>
    <xf numFmtId="0" fontId="8" fillId="0" borderId="73" xfId="1" applyFont="1" applyBorder="1" applyAlignment="1">
      <alignment horizontal="center" vertical="center" shrinkToFit="1"/>
    </xf>
    <xf numFmtId="0" fontId="8" fillId="0" borderId="74" xfId="1" applyFont="1" applyBorder="1" applyAlignment="1">
      <alignment horizontal="left" vertical="center" shrinkToFit="1"/>
    </xf>
    <xf numFmtId="0" fontId="8" fillId="0" borderId="75" xfId="1" applyFont="1" applyBorder="1" applyAlignment="1">
      <alignment horizontal="left" vertical="center" shrinkToFit="1"/>
    </xf>
    <xf numFmtId="0" fontId="8" fillId="0" borderId="73" xfId="1" applyFont="1" applyBorder="1" applyAlignment="1">
      <alignment horizontal="left" vertical="center" shrinkToFit="1"/>
    </xf>
    <xf numFmtId="0" fontId="20" fillId="0" borderId="10" xfId="2" applyBorder="1" applyAlignment="1">
      <alignment horizontal="center" vertical="center"/>
    </xf>
    <xf numFmtId="0" fontId="11" fillId="2" borderId="78" xfId="1" applyFont="1" applyFill="1" applyBorder="1" applyAlignment="1">
      <alignment horizontal="center" vertical="center" shrinkToFit="1"/>
    </xf>
    <xf numFmtId="176" fontId="12" fillId="6" borderId="10" xfId="1" applyNumberFormat="1" applyFont="1" applyFill="1" applyBorder="1" applyAlignment="1">
      <alignment vertical="center" shrinkToFit="1"/>
    </xf>
    <xf numFmtId="176" fontId="12" fillId="0" borderId="10" xfId="1" applyNumberFormat="1" applyFont="1" applyBorder="1" applyAlignment="1">
      <alignment vertical="center" shrinkToFit="1"/>
    </xf>
    <xf numFmtId="176" fontId="12" fillId="3" borderId="10" xfId="1" applyNumberFormat="1" applyFont="1" applyFill="1" applyBorder="1" applyAlignment="1">
      <alignment vertical="center" shrinkToFit="1"/>
    </xf>
    <xf numFmtId="176" fontId="16" fillId="3" borderId="10" xfId="1" applyNumberFormat="1" applyFont="1" applyFill="1" applyBorder="1" applyAlignment="1">
      <alignment vertical="center" shrinkToFit="1"/>
    </xf>
    <xf numFmtId="0" fontId="36" fillId="0" borderId="10" xfId="1" applyFont="1" applyBorder="1" applyAlignment="1">
      <alignment horizontal="center" vertical="center" wrapText="1" shrinkToFit="1"/>
    </xf>
    <xf numFmtId="176" fontId="16" fillId="0" borderId="10" xfId="1" applyNumberFormat="1" applyFont="1" applyBorder="1" applyAlignment="1">
      <alignment vertical="center" shrinkToFit="1"/>
    </xf>
    <xf numFmtId="0" fontId="26" fillId="0" borderId="2" xfId="1" applyFont="1" applyBorder="1" applyAlignment="1">
      <alignment horizontal="left" vertical="center"/>
    </xf>
    <xf numFmtId="0" fontId="26" fillId="0" borderId="5" xfId="1" applyFont="1" applyBorder="1" applyAlignment="1">
      <alignment horizontal="left" vertical="center"/>
    </xf>
    <xf numFmtId="0" fontId="26" fillId="0" borderId="0" xfId="1" applyFont="1" applyAlignment="1">
      <alignment horizontal="left" vertical="center"/>
    </xf>
    <xf numFmtId="0" fontId="26" fillId="0" borderId="7" xfId="1" applyFont="1" applyBorder="1" applyAlignment="1">
      <alignment horizontal="left" vertical="center"/>
    </xf>
    <xf numFmtId="0" fontId="26" fillId="0" borderId="8" xfId="1" applyFont="1" applyBorder="1" applyAlignment="1">
      <alignment horizontal="left" vertical="center"/>
    </xf>
    <xf numFmtId="0" fontId="8" fillId="0" borderId="79" xfId="1" applyFont="1" applyBorder="1" applyAlignment="1">
      <alignment horizontal="center" vertical="center" shrinkToFit="1"/>
    </xf>
    <xf numFmtId="0" fontId="8" fillId="0" borderId="68" xfId="1" applyFont="1" applyBorder="1" applyAlignment="1">
      <alignment horizontal="left" vertical="center" shrinkToFit="1"/>
    </xf>
    <xf numFmtId="0" fontId="8" fillId="0" borderId="84" xfId="1" applyFont="1" applyBorder="1" applyAlignment="1">
      <alignment horizontal="center" vertical="center" shrinkToFit="1"/>
    </xf>
    <xf numFmtId="0" fontId="8" fillId="0" borderId="72" xfId="1" applyFont="1" applyBorder="1" applyAlignment="1">
      <alignment horizontal="left" vertical="center" shrinkToFit="1"/>
    </xf>
    <xf numFmtId="0" fontId="8" fillId="0" borderId="80" xfId="1" applyFont="1" applyBorder="1" applyAlignment="1">
      <alignment horizontal="center" vertical="center" shrinkToFit="1"/>
    </xf>
    <xf numFmtId="0" fontId="8" fillId="0" borderId="81" xfId="1" applyFont="1" applyBorder="1" applyAlignment="1">
      <alignment horizontal="center" vertical="center" shrinkToFit="1"/>
    </xf>
    <xf numFmtId="0" fontId="8" fillId="0" borderId="80" xfId="1" applyFont="1" applyBorder="1" applyAlignment="1">
      <alignment horizontal="left" vertical="center" shrinkToFit="1"/>
    </xf>
    <xf numFmtId="0" fontId="8" fillId="0" borderId="82" xfId="1" applyFont="1" applyBorder="1" applyAlignment="1">
      <alignment horizontal="left" vertical="center" shrinkToFit="1"/>
    </xf>
    <xf numFmtId="0" fontId="8" fillId="0" borderId="83" xfId="1" applyFont="1" applyBorder="1" applyAlignment="1">
      <alignment horizontal="left" vertical="center" shrinkToFit="1"/>
    </xf>
    <xf numFmtId="0" fontId="8" fillId="0" borderId="1" xfId="1" applyFont="1" applyBorder="1" applyAlignment="1">
      <alignment horizontal="center" vertical="center" wrapText="1"/>
    </xf>
    <xf numFmtId="0" fontId="8" fillId="0" borderId="2" xfId="1" applyFont="1" applyBorder="1" applyAlignment="1">
      <alignment horizontal="center" vertical="center" wrapText="1"/>
    </xf>
    <xf numFmtId="0" fontId="8" fillId="0" borderId="40" xfId="1" applyFont="1" applyBorder="1" applyAlignment="1">
      <alignment horizontal="center" vertical="center" wrapText="1"/>
    </xf>
    <xf numFmtId="0" fontId="8" fillId="0" borderId="5" xfId="1" applyFont="1" applyBorder="1" applyAlignment="1">
      <alignment horizontal="center" vertical="center" wrapText="1"/>
    </xf>
    <xf numFmtId="0" fontId="8" fillId="0" borderId="0" xfId="1" applyFont="1" applyAlignment="1">
      <alignment horizontal="center" vertical="center" wrapText="1"/>
    </xf>
    <xf numFmtId="0" fontId="8" fillId="0" borderId="6" xfId="1" applyFont="1" applyBorder="1" applyAlignment="1">
      <alignment horizontal="center" vertical="center" wrapText="1"/>
    </xf>
    <xf numFmtId="0" fontId="8" fillId="0" borderId="7" xfId="1" applyFont="1" applyBorder="1" applyAlignment="1">
      <alignment horizontal="center" vertical="center" wrapText="1"/>
    </xf>
    <xf numFmtId="0" fontId="8" fillId="0" borderId="8" xfId="1" applyFont="1" applyBorder="1" applyAlignment="1">
      <alignment horizontal="center" vertical="center" wrapText="1"/>
    </xf>
    <xf numFmtId="0" fontId="8" fillId="0" borderId="9" xfId="1" applyFont="1" applyBorder="1" applyAlignment="1">
      <alignment horizontal="center" vertical="center" wrapText="1"/>
    </xf>
    <xf numFmtId="0" fontId="6" fillId="0" borderId="1" xfId="1" applyFont="1" applyBorder="1" applyAlignment="1">
      <alignment horizontal="left" vertical="center" wrapText="1" shrinkToFit="1"/>
    </xf>
    <xf numFmtId="0" fontId="6" fillId="0" borderId="2" xfId="1" applyFont="1" applyBorder="1" applyAlignment="1">
      <alignment horizontal="left" vertical="center" wrapText="1" shrinkToFit="1"/>
    </xf>
    <xf numFmtId="0" fontId="6" fillId="0" borderId="5" xfId="1" applyFont="1" applyBorder="1" applyAlignment="1">
      <alignment horizontal="left" vertical="center" wrapText="1" shrinkToFit="1"/>
    </xf>
    <xf numFmtId="0" fontId="6" fillId="0" borderId="0" xfId="1" applyFont="1" applyAlignment="1">
      <alignment horizontal="left" vertical="center" wrapText="1" shrinkToFit="1"/>
    </xf>
    <xf numFmtId="0" fontId="6" fillId="0" borderId="7" xfId="1" applyFont="1" applyBorder="1" applyAlignment="1">
      <alignment horizontal="left" vertical="center" wrapText="1" shrinkToFit="1"/>
    </xf>
    <xf numFmtId="0" fontId="6" fillId="0" borderId="8" xfId="1" applyFont="1" applyBorder="1" applyAlignment="1">
      <alignment horizontal="left" vertical="center" wrapText="1" shrinkToFit="1"/>
    </xf>
    <xf numFmtId="0" fontId="8" fillId="0" borderId="61" xfId="1" applyFont="1" applyBorder="1" applyAlignment="1">
      <alignment horizontal="center" vertical="center" shrinkToFit="1"/>
    </xf>
    <xf numFmtId="0" fontId="8" fillId="0" borderId="61" xfId="1" applyFont="1" applyBorder="1" applyAlignment="1">
      <alignment horizontal="left" vertical="center" shrinkToFit="1"/>
    </xf>
    <xf numFmtId="176" fontId="12" fillId="3" borderId="45" xfId="1" applyNumberFormat="1" applyFont="1" applyFill="1" applyBorder="1" applyAlignment="1">
      <alignment horizontal="right" vertical="center" shrinkToFit="1"/>
    </xf>
    <xf numFmtId="176" fontId="12" fillId="3" borderId="46" xfId="1" applyNumberFormat="1" applyFont="1" applyFill="1" applyBorder="1" applyAlignment="1">
      <alignment horizontal="right" vertical="center" shrinkToFit="1"/>
    </xf>
    <xf numFmtId="176" fontId="12" fillId="3" borderId="47" xfId="1" applyNumberFormat="1" applyFont="1" applyFill="1" applyBorder="1" applyAlignment="1">
      <alignment horizontal="right" vertical="center" shrinkToFit="1"/>
    </xf>
    <xf numFmtId="0" fontId="8" fillId="3" borderId="45" xfId="1" applyFont="1" applyFill="1" applyBorder="1" applyAlignment="1">
      <alignment horizontal="center" vertical="center" shrinkToFit="1"/>
    </xf>
    <xf numFmtId="0" fontId="8" fillId="3" borderId="47" xfId="1" applyFont="1" applyFill="1" applyBorder="1" applyAlignment="1">
      <alignment horizontal="center" vertical="center" shrinkToFit="1"/>
    </xf>
    <xf numFmtId="176" fontId="12" fillId="0" borderId="45" xfId="1" applyNumberFormat="1" applyFont="1" applyBorder="1" applyAlignment="1">
      <alignment horizontal="right" vertical="center" shrinkToFit="1"/>
    </xf>
    <xf numFmtId="176" fontId="12" fillId="0" borderId="46" xfId="1" applyNumberFormat="1" applyFont="1" applyBorder="1" applyAlignment="1">
      <alignment horizontal="right" vertical="center" shrinkToFit="1"/>
    </xf>
    <xf numFmtId="176" fontId="12" fillId="0" borderId="47" xfId="1" applyNumberFormat="1" applyFont="1" applyBorder="1" applyAlignment="1">
      <alignment horizontal="right" vertical="center" shrinkToFit="1"/>
    </xf>
    <xf numFmtId="176" fontId="12" fillId="6" borderId="45" xfId="1" applyNumberFormat="1" applyFont="1" applyFill="1" applyBorder="1" applyAlignment="1">
      <alignment horizontal="right" vertical="center" shrinkToFit="1"/>
    </xf>
    <xf numFmtId="176" fontId="12" fillId="6" borderId="46" xfId="1" applyNumberFormat="1" applyFont="1" applyFill="1" applyBorder="1" applyAlignment="1">
      <alignment horizontal="right" vertical="center" shrinkToFit="1"/>
    </xf>
    <xf numFmtId="176" fontId="12" fillId="6" borderId="47" xfId="1" applyNumberFormat="1" applyFont="1" applyFill="1" applyBorder="1" applyAlignment="1">
      <alignment horizontal="right" vertical="center" shrinkToFit="1"/>
    </xf>
    <xf numFmtId="0" fontId="8" fillId="3" borderId="1" xfId="1" applyFont="1" applyFill="1" applyBorder="1" applyAlignment="1">
      <alignment horizontal="center" vertical="center" textRotation="30" shrinkToFit="1"/>
    </xf>
    <xf numFmtId="0" fontId="8" fillId="3" borderId="2" xfId="1" applyFont="1" applyFill="1" applyBorder="1" applyAlignment="1">
      <alignment horizontal="center" vertical="center" textRotation="30" shrinkToFit="1"/>
    </xf>
    <xf numFmtId="0" fontId="8" fillId="3" borderId="40" xfId="1" applyFont="1" applyFill="1" applyBorder="1" applyAlignment="1">
      <alignment horizontal="center" vertical="center" textRotation="30" shrinkToFit="1"/>
    </xf>
    <xf numFmtId="0" fontId="8" fillId="3" borderId="5" xfId="1" applyFont="1" applyFill="1" applyBorder="1" applyAlignment="1">
      <alignment horizontal="center" vertical="center" textRotation="30" shrinkToFit="1"/>
    </xf>
    <xf numFmtId="0" fontId="8" fillId="3" borderId="0" xfId="1" applyFont="1" applyFill="1" applyAlignment="1">
      <alignment horizontal="center" vertical="center" textRotation="30" shrinkToFit="1"/>
    </xf>
    <xf numFmtId="0" fontId="8" fillId="3" borderId="6" xfId="1" applyFont="1" applyFill="1" applyBorder="1" applyAlignment="1">
      <alignment horizontal="center" vertical="center" textRotation="30" shrinkToFit="1"/>
    </xf>
    <xf numFmtId="0" fontId="8" fillId="3" borderId="7" xfId="1" applyFont="1" applyFill="1" applyBorder="1" applyAlignment="1">
      <alignment horizontal="center" vertical="center" textRotation="30" shrinkToFit="1"/>
    </xf>
    <xf numFmtId="0" fontId="8" fillId="3" borderId="8" xfId="1" applyFont="1" applyFill="1" applyBorder="1" applyAlignment="1">
      <alignment horizontal="center" vertical="center" textRotation="30" shrinkToFit="1"/>
    </xf>
    <xf numFmtId="0" fontId="8" fillId="3" borderId="9" xfId="1" applyFont="1" applyFill="1" applyBorder="1" applyAlignment="1">
      <alignment horizontal="center" vertical="center" textRotation="30" shrinkToFit="1"/>
    </xf>
    <xf numFmtId="0" fontId="11" fillId="2" borderId="1" xfId="1" applyFont="1" applyFill="1" applyBorder="1" applyAlignment="1">
      <alignment horizontal="center" vertical="center" shrinkToFit="1"/>
    </xf>
    <xf numFmtId="0" fontId="11" fillId="2" borderId="2" xfId="1" applyFont="1" applyFill="1" applyBorder="1" applyAlignment="1">
      <alignment horizontal="center" vertical="center" shrinkToFit="1"/>
    </xf>
    <xf numFmtId="0" fontId="11" fillId="2" borderId="40" xfId="1" applyFont="1" applyFill="1" applyBorder="1" applyAlignment="1">
      <alignment horizontal="center" vertical="center" shrinkToFit="1"/>
    </xf>
    <xf numFmtId="0" fontId="11" fillId="2" borderId="5" xfId="1" applyFont="1" applyFill="1" applyBorder="1" applyAlignment="1">
      <alignment horizontal="center" vertical="center" shrinkToFit="1"/>
    </xf>
    <xf numFmtId="0" fontId="11" fillId="2" borderId="0" xfId="1" applyFont="1" applyFill="1" applyAlignment="1">
      <alignment horizontal="center" vertical="center" shrinkToFit="1"/>
    </xf>
    <xf numFmtId="0" fontId="11" fillId="2" borderId="6" xfId="1" applyFont="1" applyFill="1" applyBorder="1" applyAlignment="1">
      <alignment horizontal="center" vertical="center" shrinkToFit="1"/>
    </xf>
    <xf numFmtId="0" fontId="11" fillId="2" borderId="7" xfId="1" applyFont="1" applyFill="1" applyBorder="1" applyAlignment="1">
      <alignment horizontal="center" vertical="center" shrinkToFit="1"/>
    </xf>
    <xf numFmtId="0" fontId="11" fillId="2" borderId="8" xfId="1" applyFont="1" applyFill="1" applyBorder="1" applyAlignment="1">
      <alignment horizontal="center" vertical="center" shrinkToFit="1"/>
    </xf>
    <xf numFmtId="0" fontId="11" fillId="2" borderId="9" xfId="1" applyFont="1" applyFill="1" applyBorder="1" applyAlignment="1">
      <alignment horizontal="center" vertical="center" shrinkToFit="1"/>
    </xf>
    <xf numFmtId="0" fontId="8" fillId="0" borderId="1" xfId="1" applyFont="1" applyBorder="1" applyAlignment="1">
      <alignment horizontal="center" vertical="center" textRotation="30" shrinkToFit="1"/>
    </xf>
    <xf numFmtId="0" fontId="8" fillId="0" borderId="2" xfId="1" applyFont="1" applyBorder="1" applyAlignment="1">
      <alignment horizontal="center" vertical="center" textRotation="30" shrinkToFit="1"/>
    </xf>
    <xf numFmtId="0" fontId="8" fillId="0" borderId="40" xfId="1" applyFont="1" applyBorder="1" applyAlignment="1">
      <alignment horizontal="center" vertical="center" textRotation="30" shrinkToFit="1"/>
    </xf>
    <xf numFmtId="0" fontId="8" fillId="0" borderId="5" xfId="1" applyFont="1" applyBorder="1" applyAlignment="1">
      <alignment horizontal="center" vertical="center" textRotation="30" shrinkToFit="1"/>
    </xf>
    <xf numFmtId="0" fontId="8" fillId="0" borderId="0" xfId="1" applyFont="1" applyAlignment="1">
      <alignment horizontal="center" vertical="center" textRotation="30" shrinkToFit="1"/>
    </xf>
    <xf numFmtId="0" fontId="8" fillId="0" borderId="6" xfId="1" applyFont="1" applyBorder="1" applyAlignment="1">
      <alignment horizontal="center" vertical="center" textRotation="30" shrinkToFit="1"/>
    </xf>
    <xf numFmtId="0" fontId="8" fillId="0" borderId="7" xfId="1" applyFont="1" applyBorder="1" applyAlignment="1">
      <alignment horizontal="center" vertical="center" textRotation="30" shrinkToFit="1"/>
    </xf>
    <xf numFmtId="0" fontId="8" fillId="0" borderId="8" xfId="1" applyFont="1" applyBorder="1" applyAlignment="1">
      <alignment horizontal="center" vertical="center" textRotation="30" shrinkToFit="1"/>
    </xf>
    <xf numFmtId="0" fontId="8" fillId="0" borderId="9" xfId="1" applyFont="1" applyBorder="1" applyAlignment="1">
      <alignment horizontal="center" vertical="center" textRotation="30" shrinkToFit="1"/>
    </xf>
    <xf numFmtId="0" fontId="15" fillId="0" borderId="1" xfId="1" applyFont="1" applyBorder="1" applyAlignment="1">
      <alignment horizontal="center" vertical="center" textRotation="30" shrinkToFit="1"/>
    </xf>
    <xf numFmtId="0" fontId="15" fillId="0" borderId="2" xfId="1" applyFont="1" applyBorder="1" applyAlignment="1">
      <alignment horizontal="center" vertical="center" textRotation="30" shrinkToFit="1"/>
    </xf>
    <xf numFmtId="0" fontId="15" fillId="0" borderId="40" xfId="1" applyFont="1" applyBorder="1" applyAlignment="1">
      <alignment horizontal="center" vertical="center" textRotation="30" shrinkToFit="1"/>
    </xf>
    <xf numFmtId="0" fontId="15" fillId="0" borderId="5" xfId="1" applyFont="1" applyBorder="1" applyAlignment="1">
      <alignment horizontal="center" vertical="center" textRotation="30" shrinkToFit="1"/>
    </xf>
    <xf numFmtId="0" fontId="15" fillId="0" borderId="0" xfId="1" applyFont="1" applyAlignment="1">
      <alignment horizontal="center" vertical="center" textRotation="30" shrinkToFit="1"/>
    </xf>
    <xf numFmtId="0" fontId="15" fillId="0" borderId="6" xfId="1" applyFont="1" applyBorder="1" applyAlignment="1">
      <alignment horizontal="center" vertical="center" textRotation="30" shrinkToFit="1"/>
    </xf>
    <xf numFmtId="0" fontId="15" fillId="0" borderId="7" xfId="1" applyFont="1" applyBorder="1" applyAlignment="1">
      <alignment horizontal="center" vertical="center" textRotation="30" shrinkToFit="1"/>
    </xf>
    <xf numFmtId="0" fontId="15" fillId="0" borderId="8" xfId="1" applyFont="1" applyBorder="1" applyAlignment="1">
      <alignment horizontal="center" vertical="center" textRotation="30" shrinkToFit="1"/>
    </xf>
    <xf numFmtId="0" fontId="15" fillId="0" borderId="9" xfId="1" applyFont="1" applyBorder="1" applyAlignment="1">
      <alignment horizontal="center" vertical="center" textRotation="30" shrinkToFit="1"/>
    </xf>
    <xf numFmtId="0" fontId="15" fillId="0" borderId="45" xfId="1" applyFont="1" applyBorder="1" applyAlignment="1">
      <alignment horizontal="center" vertical="center" shrinkToFit="1"/>
    </xf>
    <xf numFmtId="0" fontId="15" fillId="0" borderId="47" xfId="1" applyFont="1" applyBorder="1" applyAlignment="1">
      <alignment horizontal="center" vertical="center" shrinkToFit="1"/>
    </xf>
    <xf numFmtId="176" fontId="16" fillId="0" borderId="45" xfId="1" applyNumberFormat="1" applyFont="1" applyBorder="1" applyAlignment="1">
      <alignment horizontal="right" vertical="center" shrinkToFit="1"/>
    </xf>
    <xf numFmtId="176" fontId="16" fillId="0" borderId="46" xfId="1" applyNumberFormat="1" applyFont="1" applyBorder="1" applyAlignment="1">
      <alignment horizontal="right" vertical="center" shrinkToFit="1"/>
    </xf>
    <xf numFmtId="176" fontId="16" fillId="0" borderId="47" xfId="1" applyNumberFormat="1" applyFont="1" applyBorder="1" applyAlignment="1">
      <alignment horizontal="right" vertical="center" shrinkToFit="1"/>
    </xf>
    <xf numFmtId="176" fontId="16" fillId="3" borderId="45" xfId="1" applyNumberFormat="1" applyFont="1" applyFill="1" applyBorder="1" applyAlignment="1">
      <alignment horizontal="right" vertical="center" shrinkToFit="1"/>
    </xf>
    <xf numFmtId="176" fontId="16" fillId="3" borderId="46" xfId="1" applyNumberFormat="1" applyFont="1" applyFill="1" applyBorder="1" applyAlignment="1">
      <alignment horizontal="right" vertical="center" shrinkToFit="1"/>
    </xf>
    <xf numFmtId="176" fontId="16" fillId="3" borderId="47" xfId="1" applyNumberFormat="1" applyFont="1" applyFill="1" applyBorder="1" applyAlignment="1">
      <alignment horizontal="right" vertical="center" shrinkToFit="1"/>
    </xf>
    <xf numFmtId="0" fontId="15" fillId="3" borderId="45" xfId="1" applyFont="1" applyFill="1" applyBorder="1" applyAlignment="1">
      <alignment horizontal="center" vertical="center" shrinkToFit="1"/>
    </xf>
    <xf numFmtId="0" fontId="15" fillId="3" borderId="47" xfId="1" applyFont="1" applyFill="1" applyBorder="1" applyAlignment="1">
      <alignment horizontal="center" vertical="center" shrinkToFit="1"/>
    </xf>
    <xf numFmtId="0" fontId="15" fillId="3" borderId="1" xfId="1" applyFont="1" applyFill="1" applyBorder="1" applyAlignment="1">
      <alignment horizontal="center" vertical="center" textRotation="30" shrinkToFit="1"/>
    </xf>
    <xf numFmtId="0" fontId="15" fillId="3" borderId="2" xfId="1" applyFont="1" applyFill="1" applyBorder="1" applyAlignment="1">
      <alignment horizontal="center" vertical="center" textRotation="30" shrinkToFit="1"/>
    </xf>
    <xf numFmtId="0" fontId="15" fillId="3" borderId="40" xfId="1" applyFont="1" applyFill="1" applyBorder="1" applyAlignment="1">
      <alignment horizontal="center" vertical="center" textRotation="30" shrinkToFit="1"/>
    </xf>
    <xf numFmtId="0" fontId="15" fillId="3" borderId="5" xfId="1" applyFont="1" applyFill="1" applyBorder="1" applyAlignment="1">
      <alignment horizontal="center" vertical="center" textRotation="30" shrinkToFit="1"/>
    </xf>
    <xf numFmtId="0" fontId="15" fillId="3" borderId="0" xfId="1" applyFont="1" applyFill="1" applyAlignment="1">
      <alignment horizontal="center" vertical="center" textRotation="30" shrinkToFit="1"/>
    </xf>
    <xf numFmtId="0" fontId="15" fillId="3" borderId="6" xfId="1" applyFont="1" applyFill="1" applyBorder="1" applyAlignment="1">
      <alignment horizontal="center" vertical="center" textRotation="30" shrinkToFit="1"/>
    </xf>
    <xf numFmtId="0" fontId="15" fillId="3" borderId="7" xfId="1" applyFont="1" applyFill="1" applyBorder="1" applyAlignment="1">
      <alignment horizontal="center" vertical="center" textRotation="30" shrinkToFit="1"/>
    </xf>
    <xf numFmtId="0" fontId="15" fillId="3" borderId="8" xfId="1" applyFont="1" applyFill="1" applyBorder="1" applyAlignment="1">
      <alignment horizontal="center" vertical="center" textRotation="30" shrinkToFit="1"/>
    </xf>
    <xf numFmtId="0" fontId="15" fillId="3" borderId="9" xfId="1" applyFont="1" applyFill="1" applyBorder="1" applyAlignment="1">
      <alignment horizontal="center" vertical="center" textRotation="30" shrinkToFit="1"/>
    </xf>
  </cellXfs>
  <cellStyles count="3">
    <cellStyle name="標準" xfId="0" builtinId="0"/>
    <cellStyle name="標準 2" xfId="1" xr:uid="{96FDB3EB-7519-4C82-A7B6-C03FD92CA171}"/>
    <cellStyle name="標準 3" xfId="2" xr:uid="{CF9086E5-FDC7-4120-B817-EA1EC9F644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46</xdr:col>
      <xdr:colOff>0</xdr:colOff>
      <xdr:row>0</xdr:row>
      <xdr:rowOff>38100</xdr:rowOff>
    </xdr:from>
    <xdr:to>
      <xdr:col>57</xdr:col>
      <xdr:colOff>0</xdr:colOff>
      <xdr:row>2</xdr:row>
      <xdr:rowOff>0</xdr:rowOff>
    </xdr:to>
    <xdr:sp macro="" textlink="">
      <xdr:nvSpPr>
        <xdr:cNvPr id="4" name="テキスト ボックス 3">
          <a:extLst>
            <a:ext uri="{FF2B5EF4-FFF2-40B4-BE49-F238E27FC236}">
              <a16:creationId xmlns:a16="http://schemas.microsoft.com/office/drawing/2014/main" id="{7FE75FA8-FE2A-7667-5B23-976D1958968C}"/>
            </a:ext>
          </a:extLst>
        </xdr:cNvPr>
        <xdr:cNvSpPr txBox="1"/>
      </xdr:nvSpPr>
      <xdr:spPr>
        <a:xfrm>
          <a:off x="5695950" y="38100"/>
          <a:ext cx="13620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twoCellAnchor>
    <xdr:from>
      <xdr:col>1</xdr:col>
      <xdr:colOff>0</xdr:colOff>
      <xdr:row>42</xdr:row>
      <xdr:rowOff>0</xdr:rowOff>
    </xdr:from>
    <xdr:to>
      <xdr:col>56</xdr:col>
      <xdr:colOff>0</xdr:colOff>
      <xdr:row>48</xdr:row>
      <xdr:rowOff>0</xdr:rowOff>
    </xdr:to>
    <xdr:sp macro="" textlink="">
      <xdr:nvSpPr>
        <xdr:cNvPr id="5" name="テキスト ボックス 4">
          <a:extLst>
            <a:ext uri="{FF2B5EF4-FFF2-40B4-BE49-F238E27FC236}">
              <a16:creationId xmlns:a16="http://schemas.microsoft.com/office/drawing/2014/main" id="{4414B5D8-6192-A0FA-69E9-8162EB7A62B3}"/>
            </a:ext>
          </a:extLst>
        </xdr:cNvPr>
        <xdr:cNvSpPr txBox="1"/>
      </xdr:nvSpPr>
      <xdr:spPr>
        <a:xfrm>
          <a:off x="123825" y="8763000"/>
          <a:ext cx="6810375"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600" b="1">
              <a:solidFill>
                <a:srgbClr val="FF0000"/>
              </a:solidFill>
              <a:latin typeface="HG丸ｺﾞｼｯｸM-PRO" panose="020F0600000000000000" pitchFamily="50" charset="-128"/>
              <a:ea typeface="HG丸ｺﾞｼｯｸM-PRO" panose="020F0600000000000000" pitchFamily="50" charset="-128"/>
            </a:rPr>
            <a:t>【SP </a:t>
          </a:r>
          <a:r>
            <a:rPr kumimoji="1" lang="ja-JP" altLang="en-US" sz="1600" b="1">
              <a:solidFill>
                <a:srgbClr val="FF0000"/>
              </a:solidFill>
              <a:latin typeface="HG丸ｺﾞｼｯｸM-PRO" panose="020F0600000000000000" pitchFamily="50" charset="-128"/>
              <a:ea typeface="HG丸ｺﾞｼｯｸM-PRO" panose="020F0600000000000000" pitchFamily="50" charset="-128"/>
            </a:rPr>
            <a:t>共通事項</a:t>
          </a:r>
          <a:r>
            <a:rPr kumimoji="1" lang="en-US" altLang="ja-JP" sz="1600" b="1">
              <a:solidFill>
                <a:srgbClr val="FF0000"/>
              </a:solidFill>
              <a:effectLst/>
              <a:latin typeface="HG丸ｺﾞｼｯｸM-PRO" panose="020F0600000000000000" pitchFamily="50" charset="-128"/>
              <a:ea typeface="HG丸ｺﾞｼｯｸM-PRO" panose="020F0600000000000000" pitchFamily="50" charset="-128"/>
              <a:cs typeface="+mn-cs"/>
            </a:rPr>
            <a:t>】</a:t>
          </a:r>
          <a:endParaRPr kumimoji="1" lang="en-US" altLang="ja-JP" sz="1600" b="1">
            <a:solidFill>
              <a:srgbClr val="FF0000"/>
            </a:solidFill>
            <a:latin typeface="HG丸ｺﾞｼｯｸM-PRO" panose="020F0600000000000000" pitchFamily="50" charset="-128"/>
            <a:ea typeface="HG丸ｺﾞｼｯｸM-PRO" panose="020F0600000000000000" pitchFamily="50" charset="-128"/>
          </a:endParaRPr>
        </a:p>
        <a:p>
          <a:r>
            <a:rPr kumimoji="1" lang="ja-JP" altLang="en-US" sz="1600" b="1">
              <a:solidFill>
                <a:srgbClr val="FF0000"/>
              </a:solidFill>
              <a:latin typeface="HG丸ｺﾞｼｯｸM-PRO" panose="020F0600000000000000" pitchFamily="50" charset="-128"/>
              <a:ea typeface="HG丸ｺﾞｼｯｸM-PRO" panose="020F0600000000000000" pitchFamily="50" charset="-128"/>
            </a:rPr>
            <a:t>すべて黄色のセルが基準です。（前回の改定時に採用した基準）</a:t>
          </a:r>
          <a:endParaRPr kumimoji="1" lang="en-US" altLang="ja-JP" sz="1600" b="1">
            <a:solidFill>
              <a:srgbClr val="FF0000"/>
            </a:solidFill>
            <a:latin typeface="HG丸ｺﾞｼｯｸM-PRO" panose="020F0600000000000000" pitchFamily="50" charset="-128"/>
            <a:ea typeface="HG丸ｺﾞｼｯｸM-PRO" panose="020F0600000000000000" pitchFamily="50" charset="-128"/>
          </a:endParaRPr>
        </a:p>
        <a:p>
          <a:r>
            <a:rPr kumimoji="1" lang="ja-JP" altLang="en-US" sz="1600" b="1">
              <a:solidFill>
                <a:srgbClr val="FF0000"/>
              </a:solidFill>
              <a:latin typeface="HG丸ｺﾞｼｯｸM-PRO" panose="020F0600000000000000" pitchFamily="50" charset="-128"/>
              <a:ea typeface="HG丸ｺﾞｼｯｸM-PRO" panose="020F0600000000000000" pitchFamily="50" charset="-128"/>
            </a:rPr>
            <a:t>基準価格</a:t>
          </a:r>
          <a:r>
            <a:rPr kumimoji="1" lang="en-US" altLang="ja-JP" sz="1600" b="1">
              <a:solidFill>
                <a:srgbClr val="FF0000"/>
              </a:solidFill>
              <a:latin typeface="HG丸ｺﾞｼｯｸM-PRO" panose="020F0600000000000000" pitchFamily="50" charset="-128"/>
              <a:ea typeface="HG丸ｺﾞｼｯｸM-PRO" panose="020F0600000000000000" pitchFamily="50" charset="-128"/>
            </a:rPr>
            <a:t>×</a:t>
          </a:r>
          <a:r>
            <a:rPr kumimoji="1" lang="ja-JP" altLang="en-US" sz="1600" b="1">
              <a:solidFill>
                <a:srgbClr val="FF0000"/>
              </a:solidFill>
              <a:latin typeface="HG丸ｺﾞｼｯｸM-PRO" panose="020F0600000000000000" pitchFamily="50" charset="-128"/>
              <a:ea typeface="HG丸ｺﾞｼｯｸM-PRO" panose="020F0600000000000000" pitchFamily="50" charset="-128"/>
            </a:rPr>
            <a:t>それぞれの</a:t>
          </a:r>
          <a:r>
            <a:rPr kumimoji="1" lang="en-US" altLang="ja-JP" sz="1600" b="1">
              <a:solidFill>
                <a:srgbClr val="FF0000"/>
              </a:solidFill>
              <a:latin typeface="HG丸ｺﾞｼｯｸM-PRO" panose="020F0600000000000000" pitchFamily="50" charset="-128"/>
              <a:ea typeface="HG丸ｺﾞｼｯｸM-PRO" panose="020F0600000000000000" pitchFamily="50" charset="-128"/>
            </a:rPr>
            <a:t>UP</a:t>
          </a:r>
          <a:r>
            <a:rPr kumimoji="1" lang="ja-JP" altLang="en-US" sz="1600" b="1">
              <a:solidFill>
                <a:srgbClr val="FF0000"/>
              </a:solidFill>
              <a:latin typeface="HG丸ｺﾞｼｯｸM-PRO" panose="020F0600000000000000" pitchFamily="50" charset="-128"/>
              <a:ea typeface="HG丸ｺﾞｼｯｸM-PRO" panose="020F0600000000000000" pitchFamily="50" charset="-128"/>
            </a:rPr>
            <a:t>率です。</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0</xdr:colOff>
      <xdr:row>0</xdr:row>
      <xdr:rowOff>47625</xdr:rowOff>
    </xdr:from>
    <xdr:to>
      <xdr:col>62</xdr:col>
      <xdr:colOff>0</xdr:colOff>
      <xdr:row>2</xdr:row>
      <xdr:rowOff>0</xdr:rowOff>
    </xdr:to>
    <xdr:sp macro="" textlink="">
      <xdr:nvSpPr>
        <xdr:cNvPr id="5" name="テキスト ボックス 4">
          <a:extLst>
            <a:ext uri="{FF2B5EF4-FFF2-40B4-BE49-F238E27FC236}">
              <a16:creationId xmlns:a16="http://schemas.microsoft.com/office/drawing/2014/main" id="{1B22E607-C28C-4AD2-8555-0D8BFCC71139}"/>
            </a:ext>
          </a:extLst>
        </xdr:cNvPr>
        <xdr:cNvSpPr txBox="1"/>
      </xdr:nvSpPr>
      <xdr:spPr>
        <a:xfrm>
          <a:off x="6315075" y="47625"/>
          <a:ext cx="136207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5" name="テキスト ボックス 4">
          <a:extLst>
            <a:ext uri="{FF2B5EF4-FFF2-40B4-BE49-F238E27FC236}">
              <a16:creationId xmlns:a16="http://schemas.microsoft.com/office/drawing/2014/main" id="{DB68101A-FDD6-4FBE-9CC8-240C654D2050}"/>
            </a:ext>
          </a:extLst>
        </xdr:cNvPr>
        <xdr:cNvSpPr txBox="1"/>
      </xdr:nvSpPr>
      <xdr:spPr>
        <a:xfrm>
          <a:off x="6315075" y="28575"/>
          <a:ext cx="13620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8" name="テキスト ボックス 7">
          <a:extLst>
            <a:ext uri="{FF2B5EF4-FFF2-40B4-BE49-F238E27FC236}">
              <a16:creationId xmlns:a16="http://schemas.microsoft.com/office/drawing/2014/main" id="{E465D56D-69F9-4736-A31F-67BF00600C36}"/>
            </a:ext>
          </a:extLst>
        </xdr:cNvPr>
        <xdr:cNvSpPr txBox="1"/>
      </xdr:nvSpPr>
      <xdr:spPr>
        <a:xfrm>
          <a:off x="6315075" y="28575"/>
          <a:ext cx="13620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34</xdr:row>
      <xdr:rowOff>0</xdr:rowOff>
    </xdr:from>
    <xdr:to>
      <xdr:col>42</xdr:col>
      <xdr:colOff>0</xdr:colOff>
      <xdr:row>38</xdr:row>
      <xdr:rowOff>0</xdr:rowOff>
    </xdr:to>
    <xdr:sp macro="" textlink="">
      <xdr:nvSpPr>
        <xdr:cNvPr id="5" name="テキスト ボックス 4">
          <a:extLst>
            <a:ext uri="{FF2B5EF4-FFF2-40B4-BE49-F238E27FC236}">
              <a16:creationId xmlns:a16="http://schemas.microsoft.com/office/drawing/2014/main" id="{71EC079B-DC0D-457A-B5F0-2AB725EA74D5}"/>
            </a:ext>
          </a:extLst>
        </xdr:cNvPr>
        <xdr:cNvSpPr txBox="1"/>
      </xdr:nvSpPr>
      <xdr:spPr>
        <a:xfrm>
          <a:off x="114300" y="7056120"/>
          <a:ext cx="468630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b="1">
              <a:solidFill>
                <a:srgbClr val="FF0000"/>
              </a:solidFill>
              <a:latin typeface="+mj-ea"/>
              <a:ea typeface="+mj-ea"/>
            </a:rPr>
            <a:t>金色は２色扱いとなります。</a:t>
          </a:r>
          <a:r>
            <a:rPr kumimoji="1" lang="ja-JP" altLang="en-US" sz="1100" b="1" baseline="0">
              <a:solidFill>
                <a:srgbClr val="FF0000"/>
              </a:solidFill>
              <a:latin typeface="+mj-ea"/>
              <a:ea typeface="+mj-ea"/>
            </a:rPr>
            <a:t>　</a:t>
          </a:r>
          <a:r>
            <a:rPr kumimoji="1" lang="ja-JP" altLang="en-US" sz="1100" b="1">
              <a:solidFill>
                <a:srgbClr val="FF0000"/>
              </a:solidFill>
              <a:latin typeface="+mj-ea"/>
              <a:ea typeface="+mj-ea"/>
            </a:rPr>
            <a:t>例 ： 墨・金の場合は３色となります。</a:t>
          </a:r>
          <a:br>
            <a:rPr kumimoji="1" lang="en-US" altLang="ja-JP" sz="1100" b="1">
              <a:solidFill>
                <a:srgbClr val="FF0000"/>
              </a:solidFill>
              <a:latin typeface="+mj-ea"/>
              <a:ea typeface="+mj-ea"/>
            </a:rPr>
          </a:br>
          <a:r>
            <a:rPr kumimoji="1" lang="en-US" altLang="ja-JP" sz="1100" b="1">
              <a:solidFill>
                <a:srgbClr val="FF0000"/>
              </a:solidFill>
              <a:latin typeface="+mj-ea"/>
              <a:ea typeface="+mj-ea"/>
            </a:rPr>
            <a:t>1</a:t>
          </a:r>
          <a:r>
            <a:rPr kumimoji="1" lang="ja-JP" altLang="en-US" sz="1100" b="1">
              <a:solidFill>
                <a:srgbClr val="FF0000"/>
              </a:solidFill>
              <a:latin typeface="+mj-ea"/>
              <a:ea typeface="+mj-ea"/>
            </a:rPr>
            <a:t>色</a:t>
          </a:r>
          <a:r>
            <a:rPr kumimoji="1" lang="en-US" altLang="ja-JP" sz="1100" b="1">
              <a:solidFill>
                <a:srgbClr val="FF0000"/>
              </a:solidFill>
              <a:latin typeface="+mj-ea"/>
              <a:ea typeface="+mj-ea"/>
            </a:rPr>
            <a:t>UP</a:t>
          </a:r>
          <a:r>
            <a:rPr kumimoji="1" lang="ja-JP" altLang="en-US" sz="1100" b="1">
              <a:solidFill>
                <a:srgbClr val="FF0000"/>
              </a:solidFill>
              <a:latin typeface="+mj-ea"/>
              <a:ea typeface="+mj-ea"/>
            </a:rPr>
            <a:t>の価格も変更となります。</a:t>
          </a:r>
        </a:p>
      </xdr:txBody>
    </xdr:sp>
    <xdr:clientData/>
  </xdr:twoCellAnchor>
  <xdr:twoCellAnchor>
    <xdr:from>
      <xdr:col>51</xdr:col>
      <xdr:colOff>0</xdr:colOff>
      <xdr:row>0</xdr:row>
      <xdr:rowOff>28575</xdr:rowOff>
    </xdr:from>
    <xdr:to>
      <xdr:col>62</xdr:col>
      <xdr:colOff>0</xdr:colOff>
      <xdr:row>2</xdr:row>
      <xdr:rowOff>0</xdr:rowOff>
    </xdr:to>
    <xdr:sp macro="" textlink="">
      <xdr:nvSpPr>
        <xdr:cNvPr id="6" name="テキスト ボックス 5">
          <a:extLst>
            <a:ext uri="{FF2B5EF4-FFF2-40B4-BE49-F238E27FC236}">
              <a16:creationId xmlns:a16="http://schemas.microsoft.com/office/drawing/2014/main" id="{7987B18C-35F8-44D7-84A1-10A690F3D5A5}"/>
            </a:ext>
          </a:extLst>
        </xdr:cNvPr>
        <xdr:cNvSpPr txBox="1"/>
      </xdr:nvSpPr>
      <xdr:spPr>
        <a:xfrm>
          <a:off x="6315075" y="28575"/>
          <a:ext cx="13620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6" name="テキスト ボックス 5">
          <a:extLst>
            <a:ext uri="{FF2B5EF4-FFF2-40B4-BE49-F238E27FC236}">
              <a16:creationId xmlns:a16="http://schemas.microsoft.com/office/drawing/2014/main" id="{4E60CFD3-307B-4E7D-8186-1DC0709FF78A}"/>
            </a:ext>
          </a:extLst>
        </xdr:cNvPr>
        <xdr:cNvSpPr txBox="1"/>
      </xdr:nvSpPr>
      <xdr:spPr>
        <a:xfrm>
          <a:off x="6315075" y="28575"/>
          <a:ext cx="13620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6" name="テキスト ボックス 5">
          <a:extLst>
            <a:ext uri="{FF2B5EF4-FFF2-40B4-BE49-F238E27FC236}">
              <a16:creationId xmlns:a16="http://schemas.microsoft.com/office/drawing/2014/main" id="{7652EF7F-FF1B-4073-856D-916AF017350A}"/>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9" name="テキスト ボックス 8">
          <a:extLst>
            <a:ext uri="{FF2B5EF4-FFF2-40B4-BE49-F238E27FC236}">
              <a16:creationId xmlns:a16="http://schemas.microsoft.com/office/drawing/2014/main" id="{8EFF2DB4-3F92-4FD2-8F24-639977103B08}"/>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9" name="テキスト ボックス 8">
          <a:extLst>
            <a:ext uri="{FF2B5EF4-FFF2-40B4-BE49-F238E27FC236}">
              <a16:creationId xmlns:a16="http://schemas.microsoft.com/office/drawing/2014/main" id="{94DCEE29-C874-47F0-8D97-161BF382884D}"/>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twoCellAnchor>
    <xdr:from>
      <xdr:col>0</xdr:col>
      <xdr:colOff>0</xdr:colOff>
      <xdr:row>26</xdr:row>
      <xdr:rowOff>0</xdr:rowOff>
    </xdr:from>
    <xdr:to>
      <xdr:col>41</xdr:col>
      <xdr:colOff>0</xdr:colOff>
      <xdr:row>30</xdr:row>
      <xdr:rowOff>0</xdr:rowOff>
    </xdr:to>
    <xdr:sp macro="" textlink="">
      <xdr:nvSpPr>
        <xdr:cNvPr id="2" name="テキスト ボックス 1">
          <a:extLst>
            <a:ext uri="{FF2B5EF4-FFF2-40B4-BE49-F238E27FC236}">
              <a16:creationId xmlns:a16="http://schemas.microsoft.com/office/drawing/2014/main" id="{3F1A9907-9BF1-4C29-AD87-586EA9148C6C}"/>
            </a:ext>
          </a:extLst>
        </xdr:cNvPr>
        <xdr:cNvSpPr txBox="1"/>
      </xdr:nvSpPr>
      <xdr:spPr>
        <a:xfrm>
          <a:off x="0" y="5410200"/>
          <a:ext cx="468630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b="1">
              <a:solidFill>
                <a:srgbClr val="FF0000"/>
              </a:solidFill>
              <a:latin typeface="+mj-ea"/>
              <a:ea typeface="+mj-ea"/>
            </a:rPr>
            <a:t>金色は２色扱いとなります。</a:t>
          </a:r>
          <a:r>
            <a:rPr kumimoji="1" lang="ja-JP" altLang="en-US" sz="1100" b="1" baseline="0">
              <a:solidFill>
                <a:srgbClr val="FF0000"/>
              </a:solidFill>
              <a:latin typeface="+mj-ea"/>
              <a:ea typeface="+mj-ea"/>
            </a:rPr>
            <a:t>　</a:t>
          </a:r>
          <a:r>
            <a:rPr kumimoji="1" lang="ja-JP" altLang="en-US" sz="1100" b="1">
              <a:solidFill>
                <a:srgbClr val="FF0000"/>
              </a:solidFill>
              <a:latin typeface="+mj-ea"/>
              <a:ea typeface="+mj-ea"/>
            </a:rPr>
            <a:t>例 ： 墨・金の場合は３色となります。</a:t>
          </a:r>
          <a:br>
            <a:rPr kumimoji="1" lang="en-US" altLang="ja-JP" sz="1100" b="1">
              <a:solidFill>
                <a:srgbClr val="FF0000"/>
              </a:solidFill>
              <a:latin typeface="+mj-ea"/>
              <a:ea typeface="+mj-ea"/>
            </a:rPr>
          </a:br>
          <a:r>
            <a:rPr kumimoji="1" lang="en-US" altLang="ja-JP" sz="1100" b="1">
              <a:solidFill>
                <a:srgbClr val="FF0000"/>
              </a:solidFill>
              <a:latin typeface="+mj-ea"/>
              <a:ea typeface="+mj-ea"/>
            </a:rPr>
            <a:t>1</a:t>
          </a:r>
          <a:r>
            <a:rPr kumimoji="1" lang="ja-JP" altLang="en-US" sz="1100" b="1">
              <a:solidFill>
                <a:srgbClr val="FF0000"/>
              </a:solidFill>
              <a:latin typeface="+mj-ea"/>
              <a:ea typeface="+mj-ea"/>
            </a:rPr>
            <a:t>色</a:t>
          </a:r>
          <a:r>
            <a:rPr kumimoji="1" lang="en-US" altLang="ja-JP" sz="1100" b="1">
              <a:solidFill>
                <a:srgbClr val="FF0000"/>
              </a:solidFill>
              <a:latin typeface="+mj-ea"/>
              <a:ea typeface="+mj-ea"/>
            </a:rPr>
            <a:t>UP</a:t>
          </a:r>
          <a:r>
            <a:rPr kumimoji="1" lang="ja-JP" altLang="en-US" sz="1100" b="1">
              <a:solidFill>
                <a:srgbClr val="FF0000"/>
              </a:solidFill>
              <a:latin typeface="+mj-ea"/>
              <a:ea typeface="+mj-ea"/>
            </a:rPr>
            <a:t>の価格も変更となります。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7" name="テキスト ボックス 6">
          <a:extLst>
            <a:ext uri="{FF2B5EF4-FFF2-40B4-BE49-F238E27FC236}">
              <a16:creationId xmlns:a16="http://schemas.microsoft.com/office/drawing/2014/main" id="{CA0DC2A0-C8BA-4424-BB0F-8DAAA4A755AA}"/>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twoCellAnchor>
    <xdr:from>
      <xdr:col>0</xdr:col>
      <xdr:colOff>0</xdr:colOff>
      <xdr:row>23</xdr:row>
      <xdr:rowOff>0</xdr:rowOff>
    </xdr:from>
    <xdr:to>
      <xdr:col>13</xdr:col>
      <xdr:colOff>0</xdr:colOff>
      <xdr:row>29</xdr:row>
      <xdr:rowOff>0</xdr:rowOff>
    </xdr:to>
    <xdr:sp macro="" textlink="">
      <xdr:nvSpPr>
        <xdr:cNvPr id="2" name="テキスト ボックス 1">
          <a:extLst>
            <a:ext uri="{FF2B5EF4-FFF2-40B4-BE49-F238E27FC236}">
              <a16:creationId xmlns:a16="http://schemas.microsoft.com/office/drawing/2014/main" id="{D355066F-88C9-43A1-A85A-4D64253E6072}"/>
            </a:ext>
          </a:extLst>
        </xdr:cNvPr>
        <xdr:cNvSpPr txBox="1"/>
      </xdr:nvSpPr>
      <xdr:spPr>
        <a:xfrm>
          <a:off x="0" y="4792980"/>
          <a:ext cx="1485900" cy="1234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b="1">
              <a:solidFill>
                <a:srgbClr val="FF0000"/>
              </a:solidFill>
              <a:latin typeface="+mj-ea"/>
              <a:ea typeface="+mj-ea"/>
            </a:rPr>
            <a:t>金色は２色扱いとなります。</a:t>
          </a:r>
          <a:r>
            <a:rPr kumimoji="1" lang="ja-JP" altLang="en-US" sz="1100" b="1" baseline="0">
              <a:solidFill>
                <a:srgbClr val="FF0000"/>
              </a:solidFill>
              <a:latin typeface="+mj-ea"/>
              <a:ea typeface="+mj-ea"/>
            </a:rPr>
            <a:t>　</a:t>
          </a:r>
          <a:r>
            <a:rPr kumimoji="1" lang="ja-JP" altLang="en-US" sz="1100" b="1">
              <a:solidFill>
                <a:srgbClr val="FF0000"/>
              </a:solidFill>
              <a:latin typeface="+mj-ea"/>
              <a:ea typeface="+mj-ea"/>
            </a:rPr>
            <a:t>例 ： 墨・金の場合は３色となります。</a:t>
          </a:r>
          <a:br>
            <a:rPr kumimoji="1" lang="en-US" altLang="ja-JP" sz="1100" b="1">
              <a:solidFill>
                <a:srgbClr val="FF0000"/>
              </a:solidFill>
              <a:latin typeface="+mj-ea"/>
              <a:ea typeface="+mj-ea"/>
            </a:rPr>
          </a:br>
          <a:r>
            <a:rPr kumimoji="1" lang="en-US" altLang="ja-JP" sz="1100" b="1">
              <a:solidFill>
                <a:srgbClr val="FF0000"/>
              </a:solidFill>
              <a:latin typeface="+mj-ea"/>
              <a:ea typeface="+mj-ea"/>
            </a:rPr>
            <a:t>1</a:t>
          </a:r>
          <a:r>
            <a:rPr kumimoji="1" lang="ja-JP" altLang="en-US" sz="1100" b="1">
              <a:solidFill>
                <a:srgbClr val="FF0000"/>
              </a:solidFill>
              <a:latin typeface="+mj-ea"/>
              <a:ea typeface="+mj-ea"/>
            </a:rPr>
            <a:t>色</a:t>
          </a:r>
          <a:r>
            <a:rPr kumimoji="1" lang="en-US" altLang="ja-JP" sz="1100" b="1">
              <a:solidFill>
                <a:srgbClr val="FF0000"/>
              </a:solidFill>
              <a:latin typeface="+mj-ea"/>
              <a:ea typeface="+mj-ea"/>
            </a:rPr>
            <a:t>UP</a:t>
          </a:r>
          <a:r>
            <a:rPr kumimoji="1" lang="ja-JP" altLang="en-US" sz="1100" b="1">
              <a:solidFill>
                <a:srgbClr val="FF0000"/>
              </a:solidFill>
              <a:latin typeface="+mj-ea"/>
              <a:ea typeface="+mj-ea"/>
            </a:rPr>
            <a:t>の価格も変更となります。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4" name="テキスト ボックス 3">
          <a:extLst>
            <a:ext uri="{FF2B5EF4-FFF2-40B4-BE49-F238E27FC236}">
              <a16:creationId xmlns:a16="http://schemas.microsoft.com/office/drawing/2014/main" id="{E5DC600A-8B9D-4CBA-889E-162CE5225E4B}"/>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4" name="テキスト ボックス 3">
          <a:extLst>
            <a:ext uri="{FF2B5EF4-FFF2-40B4-BE49-F238E27FC236}">
              <a16:creationId xmlns:a16="http://schemas.microsoft.com/office/drawing/2014/main" id="{A66963B3-DBE8-4512-8E27-E64FBCC624AE}"/>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5" name="テキスト ボックス 4">
          <a:extLst>
            <a:ext uri="{FF2B5EF4-FFF2-40B4-BE49-F238E27FC236}">
              <a16:creationId xmlns:a16="http://schemas.microsoft.com/office/drawing/2014/main" id="{AA5A540D-30C5-4DA3-A93E-1F5ED791CBF7}"/>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35%UP</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2" name="テキスト ボックス 1">
          <a:extLst>
            <a:ext uri="{FF2B5EF4-FFF2-40B4-BE49-F238E27FC236}">
              <a16:creationId xmlns:a16="http://schemas.microsoft.com/office/drawing/2014/main" id="{C3EDF354-C274-4F9B-8293-6EFF58E31390}"/>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35%UP</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4" name="テキスト ボックス 3">
          <a:extLst>
            <a:ext uri="{FF2B5EF4-FFF2-40B4-BE49-F238E27FC236}">
              <a16:creationId xmlns:a16="http://schemas.microsoft.com/office/drawing/2014/main" id="{93666000-75E8-4C41-9215-5E84822089BE}"/>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3" name="テキスト ボックス 2">
          <a:extLst>
            <a:ext uri="{FF2B5EF4-FFF2-40B4-BE49-F238E27FC236}">
              <a16:creationId xmlns:a16="http://schemas.microsoft.com/office/drawing/2014/main" id="{C523B83A-9B61-42B4-A2DD-FDE31820BA7F}"/>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30%UP</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4" name="テキスト ボックス 3">
          <a:extLst>
            <a:ext uri="{FF2B5EF4-FFF2-40B4-BE49-F238E27FC236}">
              <a16:creationId xmlns:a16="http://schemas.microsoft.com/office/drawing/2014/main" id="{C49CA43F-D59A-4B94-AF4A-778FEB709489}"/>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35%UP</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51</xdr:col>
      <xdr:colOff>0</xdr:colOff>
      <xdr:row>0</xdr:row>
      <xdr:rowOff>28575</xdr:rowOff>
    </xdr:from>
    <xdr:to>
      <xdr:col>62</xdr:col>
      <xdr:colOff>0</xdr:colOff>
      <xdr:row>2</xdr:row>
      <xdr:rowOff>0</xdr:rowOff>
    </xdr:to>
    <xdr:sp macro="" textlink="">
      <xdr:nvSpPr>
        <xdr:cNvPr id="4" name="テキスト ボックス 3">
          <a:extLst>
            <a:ext uri="{FF2B5EF4-FFF2-40B4-BE49-F238E27FC236}">
              <a16:creationId xmlns:a16="http://schemas.microsoft.com/office/drawing/2014/main" id="{11D08426-943F-4225-B1EE-161FEB32E951}"/>
            </a:ext>
          </a:extLst>
        </xdr:cNvPr>
        <xdr:cNvSpPr txBox="1"/>
      </xdr:nvSpPr>
      <xdr:spPr>
        <a:xfrm>
          <a:off x="6315075" y="28575"/>
          <a:ext cx="13620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a:solidFill>
                <a:srgbClr val="FF0000"/>
              </a:solidFill>
              <a:latin typeface="HG丸ｺﾞｼｯｸM-PRO" panose="020F0600000000000000" pitchFamily="50" charset="-128"/>
              <a:ea typeface="HG丸ｺﾞｼｯｸM-PRO" panose="020F0600000000000000" pitchFamily="50" charset="-128"/>
            </a:rPr>
            <a:t>35%UP</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427F-0676-4E99-915D-66A049531DBC}">
  <sheetPr>
    <tabColor indexed="10"/>
  </sheetPr>
  <dimension ref="A1:BJ266"/>
  <sheetViews>
    <sheetView view="pageBreakPreview" topLeftCell="A10" zoomScaleSheetLayoutView="100" workbookViewId="0">
      <selection activeCell="BS8" sqref="BS8"/>
    </sheetView>
  </sheetViews>
  <sheetFormatPr defaultColWidth="8.875" defaultRowHeight="13.5"/>
  <cols>
    <col min="1" max="93" width="1.625" style="1" customWidth="1"/>
    <col min="94" max="16384" width="8.875" style="1"/>
  </cols>
  <sheetData>
    <row r="1" spans="1:60" ht="21">
      <c r="A1" s="76" t="s">
        <v>331</v>
      </c>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0"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0" ht="16.5" customHeight="1"/>
    <row r="4" spans="1:60" ht="16.5" customHeight="1">
      <c r="A4" s="109" t="s">
        <v>0</v>
      </c>
      <c r="B4" s="110"/>
      <c r="C4" s="110"/>
      <c r="D4" s="110"/>
      <c r="E4" s="110"/>
      <c r="F4" s="110"/>
      <c r="G4" s="110"/>
      <c r="H4" s="110"/>
      <c r="I4" s="110"/>
      <c r="J4" s="110"/>
      <c r="K4" s="110"/>
      <c r="L4" s="123" t="s">
        <v>1</v>
      </c>
      <c r="M4" s="124"/>
      <c r="N4" s="124"/>
      <c r="O4" s="124"/>
      <c r="P4" s="124"/>
      <c r="Q4" s="124"/>
      <c r="R4" s="124"/>
      <c r="S4" s="124"/>
      <c r="T4" s="124"/>
      <c r="U4" s="124"/>
      <c r="V4" s="124"/>
      <c r="W4" s="124"/>
      <c r="X4" s="124"/>
      <c r="Y4" s="124"/>
      <c r="Z4" s="124"/>
      <c r="AA4" s="124"/>
      <c r="AD4" s="119">
        <v>994</v>
      </c>
      <c r="AE4" s="119"/>
      <c r="AF4" s="119"/>
      <c r="AG4" s="120" t="s">
        <v>319</v>
      </c>
      <c r="AH4" s="120"/>
      <c r="AI4" s="120"/>
      <c r="AJ4" s="120"/>
      <c r="AK4" s="120"/>
      <c r="AL4" s="120"/>
      <c r="AM4" s="120"/>
      <c r="AN4" s="120"/>
      <c r="AO4" s="120"/>
      <c r="AP4" s="120"/>
    </row>
    <row r="5" spans="1:60" ht="16.5" customHeight="1">
      <c r="A5" s="111"/>
      <c r="B5" s="112"/>
      <c r="C5" s="112"/>
      <c r="D5" s="112"/>
      <c r="E5" s="112"/>
      <c r="F5" s="112"/>
      <c r="G5" s="112"/>
      <c r="H5" s="112"/>
      <c r="I5" s="112"/>
      <c r="J5" s="112"/>
      <c r="K5" s="112"/>
      <c r="L5" s="125"/>
      <c r="M5" s="126"/>
      <c r="N5" s="126"/>
      <c r="O5" s="126"/>
      <c r="P5" s="126"/>
      <c r="Q5" s="126"/>
      <c r="R5" s="126"/>
      <c r="S5" s="126"/>
      <c r="T5" s="126"/>
      <c r="U5" s="126"/>
      <c r="V5" s="126"/>
      <c r="W5" s="126"/>
      <c r="X5" s="126"/>
      <c r="Y5" s="126"/>
      <c r="Z5" s="126"/>
      <c r="AA5" s="126"/>
      <c r="AD5" s="121">
        <v>994</v>
      </c>
      <c r="AE5" s="121"/>
      <c r="AF5" s="121"/>
      <c r="AG5" s="122" t="s">
        <v>320</v>
      </c>
      <c r="AH5" s="122"/>
      <c r="AI5" s="122"/>
      <c r="AJ5" s="122"/>
      <c r="AK5" s="122"/>
      <c r="AL5" s="122"/>
      <c r="AM5" s="122"/>
      <c r="AN5" s="122"/>
      <c r="AO5" s="122"/>
      <c r="AP5" s="122"/>
    </row>
    <row r="6" spans="1:60" ht="16.5" customHeight="1">
      <c r="A6" s="103" t="s">
        <v>2</v>
      </c>
      <c r="B6" s="104"/>
      <c r="C6" s="104"/>
      <c r="D6" s="104"/>
      <c r="E6" s="104"/>
      <c r="F6" s="104"/>
      <c r="G6" s="104"/>
      <c r="H6" s="104"/>
      <c r="I6" s="104"/>
      <c r="J6" s="104"/>
      <c r="K6" s="105"/>
      <c r="L6" s="125"/>
      <c r="M6" s="126"/>
      <c r="N6" s="126"/>
      <c r="O6" s="126"/>
      <c r="P6" s="126"/>
      <c r="Q6" s="126"/>
      <c r="R6" s="126"/>
      <c r="S6" s="126"/>
      <c r="T6" s="126"/>
      <c r="U6" s="126"/>
      <c r="V6" s="126"/>
      <c r="W6" s="126"/>
      <c r="X6" s="126"/>
      <c r="Y6" s="126"/>
      <c r="Z6" s="126"/>
      <c r="AA6" s="126"/>
      <c r="AD6" s="69"/>
      <c r="AE6" s="69"/>
      <c r="AF6" s="69"/>
      <c r="AG6" s="69"/>
      <c r="AH6" s="69"/>
      <c r="AI6" s="69"/>
      <c r="AJ6" s="69"/>
      <c r="AK6" s="69"/>
      <c r="AL6" s="69"/>
      <c r="AM6" s="69"/>
      <c r="AN6" s="69"/>
      <c r="AO6" s="69"/>
      <c r="AP6" s="69"/>
    </row>
    <row r="7" spans="1:60" ht="16.5" customHeight="1">
      <c r="A7" s="106"/>
      <c r="B7" s="107"/>
      <c r="C7" s="107"/>
      <c r="D7" s="107"/>
      <c r="E7" s="107"/>
      <c r="F7" s="107"/>
      <c r="G7" s="107"/>
      <c r="H7" s="107"/>
      <c r="I7" s="107"/>
      <c r="J7" s="107"/>
      <c r="K7" s="108"/>
      <c r="L7" s="127"/>
      <c r="M7" s="128"/>
      <c r="N7" s="128"/>
      <c r="O7" s="128"/>
      <c r="P7" s="128"/>
      <c r="Q7" s="128"/>
      <c r="R7" s="128"/>
      <c r="S7" s="128"/>
      <c r="T7" s="128"/>
      <c r="U7" s="128"/>
      <c r="V7" s="128"/>
      <c r="W7" s="128"/>
      <c r="X7" s="128"/>
      <c r="Y7" s="128"/>
      <c r="Z7" s="128"/>
      <c r="AA7" s="128"/>
      <c r="AD7" s="3"/>
      <c r="AE7" s="3"/>
      <c r="AF7" s="3"/>
      <c r="AG7" s="3"/>
      <c r="AH7" s="3"/>
      <c r="AI7" s="3"/>
      <c r="AJ7" s="3"/>
      <c r="AK7" s="3"/>
      <c r="AL7" s="3"/>
      <c r="AM7" s="3"/>
      <c r="AN7" s="3"/>
      <c r="AO7" s="3"/>
      <c r="AP7" s="3"/>
    </row>
    <row r="8" spans="1:60" ht="16.5" customHeight="1">
      <c r="AC8" s="6"/>
      <c r="AD8" s="6"/>
      <c r="AE8" s="6"/>
      <c r="AF8" s="6"/>
    </row>
    <row r="9" spans="1:60"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3"/>
      <c r="AC9" s="98" t="s">
        <v>3</v>
      </c>
      <c r="AD9" s="98"/>
      <c r="AE9" s="98"/>
      <c r="AF9" s="98"/>
      <c r="AG9" s="98"/>
      <c r="AH9" s="98" t="s">
        <v>4</v>
      </c>
      <c r="AI9" s="98"/>
      <c r="AJ9" s="98"/>
      <c r="AK9" s="98" t="s">
        <v>5</v>
      </c>
      <c r="AL9" s="98"/>
      <c r="AM9" s="98"/>
      <c r="AN9" s="98"/>
      <c r="AO9" s="98"/>
      <c r="AP9" s="98"/>
      <c r="AQ9" s="98"/>
      <c r="AR9" s="98" t="s">
        <v>6</v>
      </c>
      <c r="AS9" s="98"/>
      <c r="AT9" s="98"/>
      <c r="AU9" s="98"/>
      <c r="AV9" s="98" t="s">
        <v>7</v>
      </c>
      <c r="AW9" s="98"/>
      <c r="AX9" s="98"/>
      <c r="AY9" s="98"/>
      <c r="AZ9" s="98" t="s">
        <v>8</v>
      </c>
      <c r="BA9" s="98"/>
      <c r="BB9" s="98"/>
      <c r="BC9" s="98"/>
      <c r="BD9" s="3"/>
      <c r="BE9" s="3"/>
      <c r="BF9" s="3"/>
      <c r="BG9" s="3"/>
      <c r="BH9" s="3"/>
    </row>
    <row r="10" spans="1:60" ht="16.5" customHeight="1">
      <c r="A10" s="93">
        <v>994</v>
      </c>
      <c r="B10" s="93"/>
      <c r="C10" s="93"/>
      <c r="D10" s="93"/>
      <c r="E10" s="93"/>
      <c r="F10" s="94">
        <v>2</v>
      </c>
      <c r="G10" s="94"/>
      <c r="H10" s="94"/>
      <c r="I10" s="95" t="s">
        <v>9</v>
      </c>
      <c r="J10" s="95"/>
      <c r="K10" s="95"/>
      <c r="L10" s="95"/>
      <c r="M10" s="95"/>
      <c r="N10" s="100" t="s">
        <v>10</v>
      </c>
      <c r="O10" s="100"/>
      <c r="P10" s="99">
        <f>P22+25</f>
        <v>233</v>
      </c>
      <c r="Q10" s="99"/>
      <c r="R10" s="99"/>
      <c r="S10" s="99"/>
      <c r="T10" s="99">
        <f>P10+30</f>
        <v>263</v>
      </c>
      <c r="U10" s="99"/>
      <c r="V10" s="99"/>
      <c r="W10" s="99"/>
      <c r="X10" s="99">
        <f>T10+30</f>
        <v>293</v>
      </c>
      <c r="Y10" s="99"/>
      <c r="Z10" s="99"/>
      <c r="AA10" s="99"/>
      <c r="AB10" s="3"/>
      <c r="AC10" s="93">
        <v>995</v>
      </c>
      <c r="AD10" s="93"/>
      <c r="AE10" s="93"/>
      <c r="AF10" s="93"/>
      <c r="AG10" s="93"/>
      <c r="AH10" s="94">
        <v>5</v>
      </c>
      <c r="AI10" s="94"/>
      <c r="AJ10" s="94"/>
      <c r="AK10" s="95" t="s">
        <v>9</v>
      </c>
      <c r="AL10" s="95"/>
      <c r="AM10" s="95"/>
      <c r="AN10" s="95"/>
      <c r="AO10" s="95"/>
      <c r="AP10" s="100" t="s">
        <v>10</v>
      </c>
      <c r="AQ10" s="100"/>
      <c r="AR10" s="99">
        <f>AR22+25</f>
        <v>231.5</v>
      </c>
      <c r="AS10" s="99"/>
      <c r="AT10" s="99"/>
      <c r="AU10" s="99"/>
      <c r="AV10" s="99">
        <f>AR10+30</f>
        <v>261.5</v>
      </c>
      <c r="AW10" s="99"/>
      <c r="AX10" s="99"/>
      <c r="AY10" s="99"/>
      <c r="AZ10" s="99">
        <f>AV10+30</f>
        <v>291.5</v>
      </c>
      <c r="BA10" s="99"/>
      <c r="BB10" s="99"/>
      <c r="BC10" s="99"/>
      <c r="BD10" s="3"/>
      <c r="BE10" s="3"/>
      <c r="BF10" s="3"/>
      <c r="BG10" s="3"/>
      <c r="BH10" s="3"/>
    </row>
    <row r="11" spans="1:60" ht="16.5" customHeight="1">
      <c r="A11" s="93"/>
      <c r="B11" s="93"/>
      <c r="C11" s="93"/>
      <c r="D11" s="93"/>
      <c r="E11" s="93"/>
      <c r="F11" s="94"/>
      <c r="G11" s="94"/>
      <c r="H11" s="94"/>
      <c r="I11" s="95"/>
      <c r="J11" s="95"/>
      <c r="K11" s="95"/>
      <c r="L11" s="95"/>
      <c r="M11" s="95"/>
      <c r="N11" s="100" t="s">
        <v>11</v>
      </c>
      <c r="O11" s="100"/>
      <c r="P11" s="99">
        <f>CEILING(P10*0.95,0.5)</f>
        <v>221.5</v>
      </c>
      <c r="Q11" s="99"/>
      <c r="R11" s="99"/>
      <c r="S11" s="99"/>
      <c r="T11" s="99">
        <f>CEILING(T10*0.95,0.5)</f>
        <v>250</v>
      </c>
      <c r="U11" s="99"/>
      <c r="V11" s="99"/>
      <c r="W11" s="99"/>
      <c r="X11" s="99">
        <f>CEILING(X10*0.95,0.5)</f>
        <v>278.5</v>
      </c>
      <c r="Y11" s="99"/>
      <c r="Z11" s="99"/>
      <c r="AA11" s="99"/>
      <c r="AB11" s="3"/>
      <c r="AC11" s="93"/>
      <c r="AD11" s="93"/>
      <c r="AE11" s="93"/>
      <c r="AF11" s="93"/>
      <c r="AG11" s="93"/>
      <c r="AH11" s="94"/>
      <c r="AI11" s="94"/>
      <c r="AJ11" s="94"/>
      <c r="AK11" s="95"/>
      <c r="AL11" s="95"/>
      <c r="AM11" s="95"/>
      <c r="AN11" s="95"/>
      <c r="AO11" s="95"/>
      <c r="AP11" s="100" t="s">
        <v>11</v>
      </c>
      <c r="AQ11" s="100"/>
      <c r="AR11" s="99">
        <f>CEILING(AR10*0.95,0.5)</f>
        <v>220</v>
      </c>
      <c r="AS11" s="99"/>
      <c r="AT11" s="99"/>
      <c r="AU11" s="99"/>
      <c r="AV11" s="99">
        <f>CEILING(AV10*0.95,0.5)</f>
        <v>248.5</v>
      </c>
      <c r="AW11" s="99"/>
      <c r="AX11" s="99"/>
      <c r="AY11" s="99"/>
      <c r="AZ11" s="99">
        <f>CEILING(AZ10*0.95,0.5)</f>
        <v>277</v>
      </c>
      <c r="BA11" s="99"/>
      <c r="BB11" s="99"/>
      <c r="BC11" s="99"/>
      <c r="BD11" s="3"/>
      <c r="BE11" s="3"/>
      <c r="BF11" s="3"/>
      <c r="BG11" s="3"/>
      <c r="BH11" s="3"/>
    </row>
    <row r="12" spans="1:60" ht="16.5" customHeight="1">
      <c r="A12" s="93"/>
      <c r="B12" s="93"/>
      <c r="C12" s="93"/>
      <c r="D12" s="93"/>
      <c r="E12" s="93"/>
      <c r="F12" s="94"/>
      <c r="G12" s="94"/>
      <c r="H12" s="94"/>
      <c r="I12" s="95"/>
      <c r="J12" s="95"/>
      <c r="K12" s="95"/>
      <c r="L12" s="95"/>
      <c r="M12" s="95"/>
      <c r="N12" s="100" t="s">
        <v>12</v>
      </c>
      <c r="O12" s="100"/>
      <c r="P12" s="99">
        <f>P24+25</f>
        <v>204</v>
      </c>
      <c r="Q12" s="99"/>
      <c r="R12" s="99"/>
      <c r="S12" s="99"/>
      <c r="T12" s="99">
        <f>P12+30</f>
        <v>234</v>
      </c>
      <c r="U12" s="99"/>
      <c r="V12" s="99"/>
      <c r="W12" s="99"/>
      <c r="X12" s="99">
        <f>T12+30</f>
        <v>264</v>
      </c>
      <c r="Y12" s="99"/>
      <c r="Z12" s="99"/>
      <c r="AA12" s="99"/>
      <c r="AB12" s="3"/>
      <c r="AC12" s="93"/>
      <c r="AD12" s="93"/>
      <c r="AE12" s="93"/>
      <c r="AF12" s="93"/>
      <c r="AG12" s="93"/>
      <c r="AH12" s="94"/>
      <c r="AI12" s="94"/>
      <c r="AJ12" s="94"/>
      <c r="AK12" s="95"/>
      <c r="AL12" s="95"/>
      <c r="AM12" s="95"/>
      <c r="AN12" s="95"/>
      <c r="AO12" s="95"/>
      <c r="AP12" s="100" t="s">
        <v>12</v>
      </c>
      <c r="AQ12" s="100"/>
      <c r="AR12" s="99">
        <f>AR24+25</f>
        <v>202.5</v>
      </c>
      <c r="AS12" s="99"/>
      <c r="AT12" s="99"/>
      <c r="AU12" s="99"/>
      <c r="AV12" s="99">
        <f>AR12+30</f>
        <v>232.5</v>
      </c>
      <c r="AW12" s="99"/>
      <c r="AX12" s="99"/>
      <c r="AY12" s="99"/>
      <c r="AZ12" s="99">
        <f>AV12+30</f>
        <v>262.5</v>
      </c>
      <c r="BA12" s="99"/>
      <c r="BB12" s="99"/>
      <c r="BC12" s="99"/>
      <c r="BD12" s="3"/>
      <c r="BE12" s="3"/>
      <c r="BF12" s="3"/>
      <c r="BG12" s="3"/>
      <c r="BH12" s="3"/>
    </row>
    <row r="13" spans="1:60" ht="16.5" customHeight="1">
      <c r="A13" s="93"/>
      <c r="B13" s="93"/>
      <c r="C13" s="93"/>
      <c r="D13" s="93"/>
      <c r="E13" s="93"/>
      <c r="F13" s="94"/>
      <c r="G13" s="94"/>
      <c r="H13" s="94"/>
      <c r="I13" s="97" t="s">
        <v>13</v>
      </c>
      <c r="J13" s="97"/>
      <c r="K13" s="97"/>
      <c r="L13" s="97"/>
      <c r="M13" s="97"/>
      <c r="N13" s="98" t="s">
        <v>10</v>
      </c>
      <c r="O13" s="98"/>
      <c r="P13" s="96">
        <f>CEILING(P10*0.35+5,0.5)</f>
        <v>87</v>
      </c>
      <c r="Q13" s="96"/>
      <c r="R13" s="96"/>
      <c r="S13" s="96"/>
      <c r="T13" s="96">
        <f>CEILING(T10*0.35+5,0.5)</f>
        <v>97.5</v>
      </c>
      <c r="U13" s="96"/>
      <c r="V13" s="96"/>
      <c r="W13" s="96"/>
      <c r="X13" s="96">
        <f>CEILING(X10*0.35+5,0.5)</f>
        <v>108</v>
      </c>
      <c r="Y13" s="96"/>
      <c r="Z13" s="96"/>
      <c r="AA13" s="96"/>
      <c r="AB13" s="3"/>
      <c r="AC13" s="93"/>
      <c r="AD13" s="93"/>
      <c r="AE13" s="93"/>
      <c r="AF13" s="93"/>
      <c r="AG13" s="93"/>
      <c r="AH13" s="94"/>
      <c r="AI13" s="94"/>
      <c r="AJ13" s="94"/>
      <c r="AK13" s="97" t="s">
        <v>14</v>
      </c>
      <c r="AL13" s="97"/>
      <c r="AM13" s="97"/>
      <c r="AN13" s="97"/>
      <c r="AO13" s="97"/>
      <c r="AP13" s="98" t="s">
        <v>10</v>
      </c>
      <c r="AQ13" s="98"/>
      <c r="AR13" s="96">
        <f>CEILING(AR10*0.47+5,0.5)</f>
        <v>114</v>
      </c>
      <c r="AS13" s="96"/>
      <c r="AT13" s="96"/>
      <c r="AU13" s="96"/>
      <c r="AV13" s="96">
        <f>CEILING(AV10*0.47+5,0.5)</f>
        <v>128</v>
      </c>
      <c r="AW13" s="96"/>
      <c r="AX13" s="96"/>
      <c r="AY13" s="96"/>
      <c r="AZ13" s="96">
        <f>CEILING(AZ10*0.47+5,0.5)</f>
        <v>142.5</v>
      </c>
      <c r="BA13" s="96"/>
      <c r="BB13" s="96"/>
      <c r="BC13" s="96"/>
      <c r="BD13" s="3"/>
      <c r="BE13" s="3"/>
      <c r="BF13" s="3"/>
      <c r="BG13" s="3"/>
      <c r="BH13" s="3"/>
    </row>
    <row r="14" spans="1:60" ht="16.5" customHeight="1">
      <c r="A14" s="93"/>
      <c r="B14" s="93"/>
      <c r="C14" s="93"/>
      <c r="D14" s="93"/>
      <c r="E14" s="93"/>
      <c r="F14" s="94"/>
      <c r="G14" s="94"/>
      <c r="H14" s="94"/>
      <c r="I14" s="97"/>
      <c r="J14" s="97"/>
      <c r="K14" s="97"/>
      <c r="L14" s="97"/>
      <c r="M14" s="97"/>
      <c r="N14" s="98" t="s">
        <v>11</v>
      </c>
      <c r="O14" s="98"/>
      <c r="P14" s="96">
        <f>CEILING(P13*0.95,0.5)</f>
        <v>83</v>
      </c>
      <c r="Q14" s="96"/>
      <c r="R14" s="96"/>
      <c r="S14" s="96"/>
      <c r="T14" s="96">
        <f>CEILING(T13*0.95,0.5)</f>
        <v>93</v>
      </c>
      <c r="U14" s="96"/>
      <c r="V14" s="96"/>
      <c r="W14" s="96"/>
      <c r="X14" s="96">
        <f>CEILING(X13*0.95,0.5)</f>
        <v>103</v>
      </c>
      <c r="Y14" s="96"/>
      <c r="Z14" s="96"/>
      <c r="AA14" s="96"/>
      <c r="AB14" s="3"/>
      <c r="AC14" s="93"/>
      <c r="AD14" s="93"/>
      <c r="AE14" s="93"/>
      <c r="AF14" s="93"/>
      <c r="AG14" s="93"/>
      <c r="AH14" s="94"/>
      <c r="AI14" s="94"/>
      <c r="AJ14" s="94"/>
      <c r="AK14" s="97"/>
      <c r="AL14" s="97"/>
      <c r="AM14" s="97"/>
      <c r="AN14" s="97"/>
      <c r="AO14" s="97"/>
      <c r="AP14" s="98" t="s">
        <v>11</v>
      </c>
      <c r="AQ14" s="98"/>
      <c r="AR14" s="96">
        <f>CEILING(AR13*0.95,0.5)</f>
        <v>108.5</v>
      </c>
      <c r="AS14" s="96"/>
      <c r="AT14" s="96"/>
      <c r="AU14" s="96"/>
      <c r="AV14" s="96">
        <f>CEILING(AV13*0.95,0.5)</f>
        <v>122</v>
      </c>
      <c r="AW14" s="96"/>
      <c r="AX14" s="96"/>
      <c r="AY14" s="96"/>
      <c r="AZ14" s="96">
        <f>CEILING(AZ13*0.95,0.5)</f>
        <v>135.5</v>
      </c>
      <c r="BA14" s="96"/>
      <c r="BB14" s="96"/>
      <c r="BC14" s="96"/>
      <c r="BD14" s="3"/>
      <c r="BE14" s="3"/>
      <c r="BF14" s="3"/>
      <c r="BG14" s="3"/>
      <c r="BH14" s="3"/>
    </row>
    <row r="15" spans="1:60" ht="16.5" customHeight="1">
      <c r="A15" s="93"/>
      <c r="B15" s="93"/>
      <c r="C15" s="93"/>
      <c r="D15" s="93"/>
      <c r="E15" s="93"/>
      <c r="F15" s="94"/>
      <c r="G15" s="94"/>
      <c r="H15" s="94"/>
      <c r="I15" s="97"/>
      <c r="J15" s="97"/>
      <c r="K15" s="97"/>
      <c r="L15" s="97"/>
      <c r="M15" s="97"/>
      <c r="N15" s="98" t="s">
        <v>12</v>
      </c>
      <c r="O15" s="98"/>
      <c r="P15" s="96">
        <f>CEILING(P12*0.35+5,0.5)</f>
        <v>76.5</v>
      </c>
      <c r="Q15" s="96"/>
      <c r="R15" s="96"/>
      <c r="S15" s="96"/>
      <c r="T15" s="96">
        <f>CEILING(T12*0.35+5,0.5)</f>
        <v>87</v>
      </c>
      <c r="U15" s="96"/>
      <c r="V15" s="96"/>
      <c r="W15" s="96"/>
      <c r="X15" s="96">
        <f>CEILING(X12*0.35+5,0.5)</f>
        <v>97.5</v>
      </c>
      <c r="Y15" s="96"/>
      <c r="Z15" s="96"/>
      <c r="AA15" s="96"/>
      <c r="AB15" s="3"/>
      <c r="AC15" s="93"/>
      <c r="AD15" s="93"/>
      <c r="AE15" s="93"/>
      <c r="AF15" s="93"/>
      <c r="AG15" s="93"/>
      <c r="AH15" s="94"/>
      <c r="AI15" s="94"/>
      <c r="AJ15" s="94"/>
      <c r="AK15" s="97"/>
      <c r="AL15" s="97"/>
      <c r="AM15" s="97"/>
      <c r="AN15" s="97"/>
      <c r="AO15" s="97"/>
      <c r="AP15" s="98" t="s">
        <v>12</v>
      </c>
      <c r="AQ15" s="98"/>
      <c r="AR15" s="96">
        <f>CEILING(AR12*0.47+5,0.5)</f>
        <v>100.5</v>
      </c>
      <c r="AS15" s="96"/>
      <c r="AT15" s="96"/>
      <c r="AU15" s="96"/>
      <c r="AV15" s="96">
        <f>CEILING(AV12*0.47+5,0.5)</f>
        <v>114.5</v>
      </c>
      <c r="AW15" s="96"/>
      <c r="AX15" s="96"/>
      <c r="AY15" s="96"/>
      <c r="AZ15" s="96">
        <f>CEILING(AZ12*0.47+5,0.5)</f>
        <v>128.5</v>
      </c>
      <c r="BA15" s="96"/>
      <c r="BB15" s="96"/>
      <c r="BC15" s="96"/>
      <c r="BD15" s="3"/>
      <c r="BE15" s="3"/>
      <c r="BF15" s="3"/>
      <c r="BG15" s="3"/>
      <c r="BH15" s="3"/>
    </row>
    <row r="16" spans="1:60" ht="16.5" customHeight="1">
      <c r="A16" s="93"/>
      <c r="B16" s="93"/>
      <c r="C16" s="93"/>
      <c r="D16" s="93"/>
      <c r="E16" s="93"/>
      <c r="F16" s="94"/>
      <c r="G16" s="94"/>
      <c r="H16" s="94"/>
      <c r="I16" s="95" t="s">
        <v>15</v>
      </c>
      <c r="J16" s="95"/>
      <c r="K16" s="95"/>
      <c r="L16" s="95"/>
      <c r="M16" s="95"/>
      <c r="N16" s="100" t="s">
        <v>10</v>
      </c>
      <c r="O16" s="100"/>
      <c r="P16" s="99">
        <f>P22+15</f>
        <v>223</v>
      </c>
      <c r="Q16" s="99"/>
      <c r="R16" s="99"/>
      <c r="S16" s="99"/>
      <c r="T16" s="99">
        <f>P16+15</f>
        <v>238</v>
      </c>
      <c r="U16" s="99"/>
      <c r="V16" s="99"/>
      <c r="W16" s="99"/>
      <c r="X16" s="99">
        <f>T16+15</f>
        <v>253</v>
      </c>
      <c r="Y16" s="99"/>
      <c r="Z16" s="99"/>
      <c r="AA16" s="99"/>
      <c r="AB16" s="3"/>
      <c r="AC16" s="93"/>
      <c r="AD16" s="93"/>
      <c r="AE16" s="93"/>
      <c r="AF16" s="93"/>
      <c r="AG16" s="93"/>
      <c r="AH16" s="94"/>
      <c r="AI16" s="94"/>
      <c r="AJ16" s="94"/>
      <c r="AK16" s="95" t="s">
        <v>15</v>
      </c>
      <c r="AL16" s="95"/>
      <c r="AM16" s="95"/>
      <c r="AN16" s="95"/>
      <c r="AO16" s="95"/>
      <c r="AP16" s="100" t="s">
        <v>10</v>
      </c>
      <c r="AQ16" s="100"/>
      <c r="AR16" s="99">
        <f>AR22+15</f>
        <v>221.5</v>
      </c>
      <c r="AS16" s="99"/>
      <c r="AT16" s="99"/>
      <c r="AU16" s="99"/>
      <c r="AV16" s="99">
        <f>AR16+15</f>
        <v>236.5</v>
      </c>
      <c r="AW16" s="99"/>
      <c r="AX16" s="99"/>
      <c r="AY16" s="99"/>
      <c r="AZ16" s="99">
        <f>AV16+15</f>
        <v>251.5</v>
      </c>
      <c r="BA16" s="99"/>
      <c r="BB16" s="99"/>
      <c r="BC16" s="99"/>
      <c r="BD16" s="3"/>
      <c r="BE16" s="3"/>
      <c r="BF16" s="3"/>
      <c r="BG16" s="3"/>
      <c r="BH16" s="3"/>
    </row>
    <row r="17" spans="1:62" ht="16.5" customHeight="1">
      <c r="A17" s="93"/>
      <c r="B17" s="93"/>
      <c r="C17" s="93"/>
      <c r="D17" s="93"/>
      <c r="E17" s="93"/>
      <c r="F17" s="94"/>
      <c r="G17" s="94"/>
      <c r="H17" s="94"/>
      <c r="I17" s="95"/>
      <c r="J17" s="95"/>
      <c r="K17" s="95"/>
      <c r="L17" s="95"/>
      <c r="M17" s="95"/>
      <c r="N17" s="100" t="s">
        <v>11</v>
      </c>
      <c r="O17" s="100"/>
      <c r="P17" s="99">
        <f>CEILING(P16*0.95,0.5)</f>
        <v>212</v>
      </c>
      <c r="Q17" s="99"/>
      <c r="R17" s="99"/>
      <c r="S17" s="99"/>
      <c r="T17" s="99">
        <f>CEILING(T16*0.95,0.5)</f>
        <v>226.5</v>
      </c>
      <c r="U17" s="99"/>
      <c r="V17" s="99"/>
      <c r="W17" s="99"/>
      <c r="X17" s="99">
        <f>CEILING(X16*0.95,0.5)</f>
        <v>240.5</v>
      </c>
      <c r="Y17" s="99"/>
      <c r="Z17" s="99"/>
      <c r="AA17" s="99"/>
      <c r="AB17" s="3"/>
      <c r="AC17" s="93"/>
      <c r="AD17" s="93"/>
      <c r="AE17" s="93"/>
      <c r="AF17" s="93"/>
      <c r="AG17" s="93"/>
      <c r="AH17" s="94"/>
      <c r="AI17" s="94"/>
      <c r="AJ17" s="94"/>
      <c r="AK17" s="95"/>
      <c r="AL17" s="95"/>
      <c r="AM17" s="95"/>
      <c r="AN17" s="95"/>
      <c r="AO17" s="95"/>
      <c r="AP17" s="100" t="s">
        <v>11</v>
      </c>
      <c r="AQ17" s="100"/>
      <c r="AR17" s="99">
        <f>CEILING(AR16*0.95,0.5)</f>
        <v>210.5</v>
      </c>
      <c r="AS17" s="99"/>
      <c r="AT17" s="99"/>
      <c r="AU17" s="99"/>
      <c r="AV17" s="99">
        <f>CEILING(AV16*0.95,0.5)</f>
        <v>225</v>
      </c>
      <c r="AW17" s="99"/>
      <c r="AX17" s="99"/>
      <c r="AY17" s="99"/>
      <c r="AZ17" s="99">
        <f>CEILING(AZ16*0.95,0.5)</f>
        <v>239</v>
      </c>
      <c r="BA17" s="99"/>
      <c r="BB17" s="99"/>
      <c r="BC17" s="99"/>
      <c r="BD17" s="3"/>
      <c r="BE17" s="3"/>
      <c r="BF17" s="3"/>
      <c r="BG17" s="3"/>
      <c r="BH17" s="3"/>
    </row>
    <row r="18" spans="1:62" ht="16.5" customHeight="1">
      <c r="A18" s="93"/>
      <c r="B18" s="93"/>
      <c r="C18" s="93"/>
      <c r="D18" s="93"/>
      <c r="E18" s="93"/>
      <c r="F18" s="94"/>
      <c r="G18" s="94"/>
      <c r="H18" s="94"/>
      <c r="I18" s="95"/>
      <c r="J18" s="95"/>
      <c r="K18" s="95"/>
      <c r="L18" s="95"/>
      <c r="M18" s="95"/>
      <c r="N18" s="100" t="s">
        <v>12</v>
      </c>
      <c r="O18" s="100"/>
      <c r="P18" s="99">
        <f>P24+15</f>
        <v>194</v>
      </c>
      <c r="Q18" s="99"/>
      <c r="R18" s="99"/>
      <c r="S18" s="99"/>
      <c r="T18" s="99">
        <f>P18+15</f>
        <v>209</v>
      </c>
      <c r="U18" s="99"/>
      <c r="V18" s="99"/>
      <c r="W18" s="99"/>
      <c r="X18" s="99">
        <f>T18+15</f>
        <v>224</v>
      </c>
      <c r="Y18" s="99"/>
      <c r="Z18" s="99"/>
      <c r="AA18" s="99"/>
      <c r="AB18" s="3"/>
      <c r="AC18" s="93"/>
      <c r="AD18" s="93"/>
      <c r="AE18" s="93"/>
      <c r="AF18" s="93"/>
      <c r="AG18" s="93"/>
      <c r="AH18" s="94"/>
      <c r="AI18" s="94"/>
      <c r="AJ18" s="94"/>
      <c r="AK18" s="95"/>
      <c r="AL18" s="95"/>
      <c r="AM18" s="95"/>
      <c r="AN18" s="95"/>
      <c r="AO18" s="95"/>
      <c r="AP18" s="100" t="s">
        <v>12</v>
      </c>
      <c r="AQ18" s="100"/>
      <c r="AR18" s="99">
        <f>AR24+15</f>
        <v>192.5</v>
      </c>
      <c r="AS18" s="99"/>
      <c r="AT18" s="99"/>
      <c r="AU18" s="99"/>
      <c r="AV18" s="99">
        <f>AR18+15</f>
        <v>207.5</v>
      </c>
      <c r="AW18" s="99"/>
      <c r="AX18" s="99"/>
      <c r="AY18" s="99"/>
      <c r="AZ18" s="99">
        <f>AV18+15</f>
        <v>222.5</v>
      </c>
      <c r="BA18" s="99"/>
      <c r="BB18" s="99"/>
      <c r="BC18" s="99"/>
      <c r="BD18" s="3"/>
      <c r="BE18" s="3"/>
      <c r="BF18" s="3"/>
      <c r="BG18" s="3"/>
      <c r="BH18" s="3"/>
    </row>
    <row r="19" spans="1:62" ht="16.5" customHeight="1">
      <c r="A19" s="93"/>
      <c r="B19" s="93"/>
      <c r="C19" s="93"/>
      <c r="D19" s="93"/>
      <c r="E19" s="93"/>
      <c r="F19" s="94"/>
      <c r="G19" s="94"/>
      <c r="H19" s="94"/>
      <c r="I19" s="97" t="s">
        <v>16</v>
      </c>
      <c r="J19" s="97"/>
      <c r="K19" s="97"/>
      <c r="L19" s="97"/>
      <c r="M19" s="97"/>
      <c r="N19" s="98" t="s">
        <v>10</v>
      </c>
      <c r="O19" s="98"/>
      <c r="P19" s="96">
        <f>CEILING(P16*0.35+5,0.5)</f>
        <v>83.5</v>
      </c>
      <c r="Q19" s="96"/>
      <c r="R19" s="96"/>
      <c r="S19" s="96"/>
      <c r="T19" s="96">
        <f>CEILING(T16*0.35+5,0.5)</f>
        <v>88.5</v>
      </c>
      <c r="U19" s="96"/>
      <c r="V19" s="96"/>
      <c r="W19" s="96"/>
      <c r="X19" s="96">
        <f>CEILING(X16*0.35+5,0.5)</f>
        <v>94</v>
      </c>
      <c r="Y19" s="96"/>
      <c r="Z19" s="96"/>
      <c r="AA19" s="96"/>
      <c r="AB19" s="3"/>
      <c r="AC19" s="93"/>
      <c r="AD19" s="93"/>
      <c r="AE19" s="93"/>
      <c r="AF19" s="93"/>
      <c r="AG19" s="93"/>
      <c r="AH19" s="94"/>
      <c r="AI19" s="94"/>
      <c r="AJ19" s="94"/>
      <c r="AK19" s="97" t="s">
        <v>17</v>
      </c>
      <c r="AL19" s="97"/>
      <c r="AM19" s="97"/>
      <c r="AN19" s="97"/>
      <c r="AO19" s="97"/>
      <c r="AP19" s="98" t="s">
        <v>10</v>
      </c>
      <c r="AQ19" s="98"/>
      <c r="AR19" s="96">
        <f>CEILING(AR16*0.47+5,0.5)</f>
        <v>109.5</v>
      </c>
      <c r="AS19" s="96"/>
      <c r="AT19" s="96"/>
      <c r="AU19" s="96"/>
      <c r="AV19" s="96">
        <f>CEILING(AV16*0.47+5,0.5)</f>
        <v>116.5</v>
      </c>
      <c r="AW19" s="96"/>
      <c r="AX19" s="96"/>
      <c r="AY19" s="96"/>
      <c r="AZ19" s="96">
        <f>CEILING(AZ16*0.47+5,0.5)</f>
        <v>123.5</v>
      </c>
      <c r="BA19" s="96"/>
      <c r="BB19" s="96"/>
      <c r="BC19" s="96"/>
      <c r="BD19" s="3"/>
      <c r="BE19" s="3"/>
      <c r="BF19" s="3"/>
      <c r="BG19" s="3"/>
      <c r="BH19" s="3"/>
    </row>
    <row r="20" spans="1:62" ht="16.5" customHeight="1">
      <c r="A20" s="93"/>
      <c r="B20" s="93"/>
      <c r="C20" s="93"/>
      <c r="D20" s="93"/>
      <c r="E20" s="93"/>
      <c r="F20" s="94"/>
      <c r="G20" s="94"/>
      <c r="H20" s="94"/>
      <c r="I20" s="97"/>
      <c r="J20" s="97"/>
      <c r="K20" s="97"/>
      <c r="L20" s="97"/>
      <c r="M20" s="97"/>
      <c r="N20" s="98" t="s">
        <v>11</v>
      </c>
      <c r="O20" s="98"/>
      <c r="P20" s="96">
        <f>CEILING(P19*0.95,0.5)</f>
        <v>79.5</v>
      </c>
      <c r="Q20" s="96"/>
      <c r="R20" s="96"/>
      <c r="S20" s="96"/>
      <c r="T20" s="96">
        <f>CEILING(T19*0.95,0.5)</f>
        <v>84.5</v>
      </c>
      <c r="U20" s="96"/>
      <c r="V20" s="96"/>
      <c r="W20" s="96"/>
      <c r="X20" s="96">
        <f>CEILING(X19*0.95,0.5)</f>
        <v>89.5</v>
      </c>
      <c r="Y20" s="96"/>
      <c r="Z20" s="96"/>
      <c r="AA20" s="96"/>
      <c r="AB20" s="3"/>
      <c r="AC20" s="93"/>
      <c r="AD20" s="93"/>
      <c r="AE20" s="93"/>
      <c r="AF20" s="93"/>
      <c r="AG20" s="93"/>
      <c r="AH20" s="94"/>
      <c r="AI20" s="94"/>
      <c r="AJ20" s="94"/>
      <c r="AK20" s="97"/>
      <c r="AL20" s="97"/>
      <c r="AM20" s="97"/>
      <c r="AN20" s="97"/>
      <c r="AO20" s="97"/>
      <c r="AP20" s="98" t="s">
        <v>11</v>
      </c>
      <c r="AQ20" s="98"/>
      <c r="AR20" s="96">
        <f>CEILING(AR19*0.95,0.5)</f>
        <v>104.5</v>
      </c>
      <c r="AS20" s="96"/>
      <c r="AT20" s="96"/>
      <c r="AU20" s="96"/>
      <c r="AV20" s="96">
        <f>CEILING(AV19*0.95,0.5)</f>
        <v>111</v>
      </c>
      <c r="AW20" s="96"/>
      <c r="AX20" s="96"/>
      <c r="AY20" s="96"/>
      <c r="AZ20" s="96">
        <f>CEILING(AZ19*0.95,0.5)</f>
        <v>117.5</v>
      </c>
      <c r="BA20" s="96"/>
      <c r="BB20" s="96"/>
      <c r="BC20" s="96"/>
      <c r="BD20" s="3"/>
      <c r="BE20" s="3"/>
      <c r="BF20" s="3"/>
      <c r="BG20" s="3"/>
      <c r="BH20" s="3"/>
    </row>
    <row r="21" spans="1:62" ht="16.5" customHeight="1">
      <c r="A21" s="93"/>
      <c r="B21" s="93"/>
      <c r="C21" s="93"/>
      <c r="D21" s="93"/>
      <c r="E21" s="93"/>
      <c r="F21" s="94"/>
      <c r="G21" s="94"/>
      <c r="H21" s="94"/>
      <c r="I21" s="97"/>
      <c r="J21" s="97"/>
      <c r="K21" s="97"/>
      <c r="L21" s="97"/>
      <c r="M21" s="97"/>
      <c r="N21" s="98" t="s">
        <v>12</v>
      </c>
      <c r="O21" s="98"/>
      <c r="P21" s="96">
        <f>CEILING(P18*0.35+5,0.5)</f>
        <v>73</v>
      </c>
      <c r="Q21" s="96"/>
      <c r="R21" s="96"/>
      <c r="S21" s="96"/>
      <c r="T21" s="96">
        <f>CEILING(T18*0.35+5,0.5)</f>
        <v>78.5</v>
      </c>
      <c r="U21" s="96"/>
      <c r="V21" s="96"/>
      <c r="W21" s="96"/>
      <c r="X21" s="96">
        <f>CEILING(X18*0.35+5,0.5)</f>
        <v>83.5</v>
      </c>
      <c r="Y21" s="96"/>
      <c r="Z21" s="96"/>
      <c r="AA21" s="96"/>
      <c r="AB21" s="3"/>
      <c r="AC21" s="93"/>
      <c r="AD21" s="93"/>
      <c r="AE21" s="93"/>
      <c r="AF21" s="93"/>
      <c r="AG21" s="93"/>
      <c r="AH21" s="94"/>
      <c r="AI21" s="94"/>
      <c r="AJ21" s="94"/>
      <c r="AK21" s="97"/>
      <c r="AL21" s="97"/>
      <c r="AM21" s="97"/>
      <c r="AN21" s="97"/>
      <c r="AO21" s="97"/>
      <c r="AP21" s="98" t="s">
        <v>12</v>
      </c>
      <c r="AQ21" s="98"/>
      <c r="AR21" s="96">
        <f>CEILING(AR18*0.47+5,0.5)</f>
        <v>95.5</v>
      </c>
      <c r="AS21" s="96"/>
      <c r="AT21" s="96"/>
      <c r="AU21" s="96"/>
      <c r="AV21" s="96">
        <f>CEILING(AV18*0.47+5,0.5)</f>
        <v>103</v>
      </c>
      <c r="AW21" s="96"/>
      <c r="AX21" s="96"/>
      <c r="AY21" s="96"/>
      <c r="AZ21" s="96">
        <f>CEILING(AZ18*0.47+5,0.5)</f>
        <v>110</v>
      </c>
      <c r="BA21" s="96"/>
      <c r="BB21" s="96"/>
      <c r="BC21" s="96"/>
      <c r="BD21" s="3"/>
      <c r="BE21" s="3"/>
      <c r="BF21" s="3"/>
      <c r="BG21" s="3"/>
      <c r="BH21" s="3"/>
    </row>
    <row r="22" spans="1:62" ht="16.5" customHeight="1">
      <c r="A22" s="93"/>
      <c r="B22" s="93"/>
      <c r="C22" s="93"/>
      <c r="D22" s="93"/>
      <c r="E22" s="93"/>
      <c r="F22" s="94"/>
      <c r="G22" s="94"/>
      <c r="H22" s="94"/>
      <c r="I22" s="95" t="s">
        <v>18</v>
      </c>
      <c r="J22" s="95"/>
      <c r="K22" s="95"/>
      <c r="L22" s="95"/>
      <c r="M22" s="95"/>
      <c r="N22" s="100" t="s">
        <v>10</v>
      </c>
      <c r="O22" s="100"/>
      <c r="P22" s="101">
        <f>CEILING(160*1.3,0.5)</f>
        <v>208</v>
      </c>
      <c r="Q22" s="101"/>
      <c r="R22" s="101"/>
      <c r="S22" s="101"/>
      <c r="T22" s="99">
        <f>P22+10</f>
        <v>218</v>
      </c>
      <c r="U22" s="99"/>
      <c r="V22" s="99"/>
      <c r="W22" s="99"/>
      <c r="X22" s="99">
        <f>T22+10</f>
        <v>228</v>
      </c>
      <c r="Y22" s="99"/>
      <c r="Z22" s="99"/>
      <c r="AA22" s="99"/>
      <c r="AB22" s="7"/>
      <c r="AC22" s="93"/>
      <c r="AD22" s="93"/>
      <c r="AE22" s="93"/>
      <c r="AF22" s="93"/>
      <c r="AG22" s="93"/>
      <c r="AH22" s="94"/>
      <c r="AI22" s="94"/>
      <c r="AJ22" s="94"/>
      <c r="AK22" s="95" t="s">
        <v>18</v>
      </c>
      <c r="AL22" s="95"/>
      <c r="AM22" s="95"/>
      <c r="AN22" s="95"/>
      <c r="AO22" s="95"/>
      <c r="AP22" s="100" t="s">
        <v>10</v>
      </c>
      <c r="AQ22" s="100"/>
      <c r="AR22" s="101">
        <f>CEILING(158.5*1.3,0.5)</f>
        <v>206.5</v>
      </c>
      <c r="AS22" s="101"/>
      <c r="AT22" s="101"/>
      <c r="AU22" s="101"/>
      <c r="AV22" s="99">
        <f>AR22+10</f>
        <v>216.5</v>
      </c>
      <c r="AW22" s="99"/>
      <c r="AX22" s="99"/>
      <c r="AY22" s="99"/>
      <c r="AZ22" s="99">
        <f>AV22+10</f>
        <v>226.5</v>
      </c>
      <c r="BA22" s="99"/>
      <c r="BB22" s="99"/>
      <c r="BC22" s="99"/>
      <c r="BD22" s="3"/>
      <c r="BE22" s="3"/>
      <c r="BF22" s="3"/>
      <c r="BG22" s="3"/>
      <c r="BH22" s="3"/>
    </row>
    <row r="23" spans="1:62" ht="16.5" customHeight="1">
      <c r="A23" s="93"/>
      <c r="B23" s="93"/>
      <c r="C23" s="93"/>
      <c r="D23" s="93"/>
      <c r="E23" s="93"/>
      <c r="F23" s="94"/>
      <c r="G23" s="94"/>
      <c r="H23" s="94"/>
      <c r="I23" s="95"/>
      <c r="J23" s="95"/>
      <c r="K23" s="95"/>
      <c r="L23" s="95"/>
      <c r="M23" s="95"/>
      <c r="N23" s="100" t="s">
        <v>11</v>
      </c>
      <c r="O23" s="100"/>
      <c r="P23" s="99">
        <f>CEILING(P22*0.95,0.5)</f>
        <v>198</v>
      </c>
      <c r="Q23" s="99"/>
      <c r="R23" s="99"/>
      <c r="S23" s="99"/>
      <c r="T23" s="99">
        <f>CEILING(T22*0.95,0.5)</f>
        <v>207.5</v>
      </c>
      <c r="U23" s="99"/>
      <c r="V23" s="99"/>
      <c r="W23" s="99"/>
      <c r="X23" s="99">
        <f>CEILING(X22*0.95,0.5)</f>
        <v>217</v>
      </c>
      <c r="Y23" s="99"/>
      <c r="Z23" s="99"/>
      <c r="AA23" s="99"/>
      <c r="AB23" s="7"/>
      <c r="AC23" s="93"/>
      <c r="AD23" s="93"/>
      <c r="AE23" s="93"/>
      <c r="AF23" s="93"/>
      <c r="AG23" s="93"/>
      <c r="AH23" s="94"/>
      <c r="AI23" s="94"/>
      <c r="AJ23" s="94"/>
      <c r="AK23" s="95"/>
      <c r="AL23" s="95"/>
      <c r="AM23" s="95"/>
      <c r="AN23" s="95"/>
      <c r="AO23" s="95"/>
      <c r="AP23" s="100" t="s">
        <v>11</v>
      </c>
      <c r="AQ23" s="100"/>
      <c r="AR23" s="99">
        <f>CEILING(AR22*0.95,0.5)</f>
        <v>196.5</v>
      </c>
      <c r="AS23" s="99"/>
      <c r="AT23" s="99"/>
      <c r="AU23" s="99"/>
      <c r="AV23" s="99">
        <f>CEILING(AV22*0.95,0.5)</f>
        <v>206</v>
      </c>
      <c r="AW23" s="99"/>
      <c r="AX23" s="99"/>
      <c r="AY23" s="99"/>
      <c r="AZ23" s="99">
        <f>CEILING(AZ22*0.95,0.5)</f>
        <v>215.5</v>
      </c>
      <c r="BA23" s="99"/>
      <c r="BB23" s="99"/>
      <c r="BC23" s="99"/>
      <c r="BD23" s="3"/>
      <c r="BE23" s="3"/>
      <c r="BF23" s="3"/>
      <c r="BG23" s="3"/>
      <c r="BH23" s="3"/>
    </row>
    <row r="24" spans="1:62" ht="16.5" customHeight="1">
      <c r="A24" s="93"/>
      <c r="B24" s="93"/>
      <c r="C24" s="93"/>
      <c r="D24" s="93"/>
      <c r="E24" s="93"/>
      <c r="F24" s="94"/>
      <c r="G24" s="94"/>
      <c r="H24" s="94"/>
      <c r="I24" s="95"/>
      <c r="J24" s="95"/>
      <c r="K24" s="95"/>
      <c r="L24" s="95"/>
      <c r="M24" s="95"/>
      <c r="N24" s="100" t="s">
        <v>12</v>
      </c>
      <c r="O24" s="100"/>
      <c r="P24" s="101">
        <f>CEILING(137.5*1.3,0.5)</f>
        <v>179</v>
      </c>
      <c r="Q24" s="101"/>
      <c r="R24" s="101"/>
      <c r="S24" s="101"/>
      <c r="T24" s="99">
        <f>P24+10</f>
        <v>189</v>
      </c>
      <c r="U24" s="99"/>
      <c r="V24" s="99"/>
      <c r="W24" s="99"/>
      <c r="X24" s="99">
        <f>T24+10</f>
        <v>199</v>
      </c>
      <c r="Y24" s="99"/>
      <c r="Z24" s="99"/>
      <c r="AA24" s="99"/>
      <c r="AB24" s="7"/>
      <c r="AC24" s="93"/>
      <c r="AD24" s="93"/>
      <c r="AE24" s="93"/>
      <c r="AF24" s="93"/>
      <c r="AG24" s="93"/>
      <c r="AH24" s="94"/>
      <c r="AI24" s="94"/>
      <c r="AJ24" s="94"/>
      <c r="AK24" s="95"/>
      <c r="AL24" s="95"/>
      <c r="AM24" s="95"/>
      <c r="AN24" s="95"/>
      <c r="AO24" s="95"/>
      <c r="AP24" s="100" t="s">
        <v>12</v>
      </c>
      <c r="AQ24" s="100"/>
      <c r="AR24" s="101">
        <f>CEILING(136.5*1.3,0.5)</f>
        <v>177.5</v>
      </c>
      <c r="AS24" s="101"/>
      <c r="AT24" s="101"/>
      <c r="AU24" s="101"/>
      <c r="AV24" s="99">
        <f>AR24+10</f>
        <v>187.5</v>
      </c>
      <c r="AW24" s="99"/>
      <c r="AX24" s="99"/>
      <c r="AY24" s="99"/>
      <c r="AZ24" s="99">
        <f>AV24+10</f>
        <v>197.5</v>
      </c>
      <c r="BA24" s="99"/>
      <c r="BB24" s="99"/>
      <c r="BC24" s="99"/>
      <c r="BD24" s="3"/>
      <c r="BE24" s="3"/>
      <c r="BF24" s="3"/>
      <c r="BG24" s="3"/>
      <c r="BH24" s="3"/>
      <c r="BI24" s="3"/>
    </row>
    <row r="25" spans="1:62" ht="16.5" customHeight="1">
      <c r="A25" s="93"/>
      <c r="B25" s="93"/>
      <c r="C25" s="93"/>
      <c r="D25" s="93"/>
      <c r="E25" s="93"/>
      <c r="F25" s="94"/>
      <c r="G25" s="94"/>
      <c r="H25" s="94"/>
      <c r="I25" s="97" t="s">
        <v>19</v>
      </c>
      <c r="J25" s="97"/>
      <c r="K25" s="97"/>
      <c r="L25" s="97"/>
      <c r="M25" s="97"/>
      <c r="N25" s="98" t="s">
        <v>10</v>
      </c>
      <c r="O25" s="98"/>
      <c r="P25" s="96">
        <f>CEILING(P22*0.35+5,0.5)</f>
        <v>78</v>
      </c>
      <c r="Q25" s="96"/>
      <c r="R25" s="96"/>
      <c r="S25" s="96"/>
      <c r="T25" s="96">
        <f>CEILING(T22*0.35+5,0.5)</f>
        <v>81.5</v>
      </c>
      <c r="U25" s="96"/>
      <c r="V25" s="96"/>
      <c r="W25" s="96"/>
      <c r="X25" s="96">
        <f>CEILING(X22*0.35+5,0.5)</f>
        <v>85</v>
      </c>
      <c r="Y25" s="96"/>
      <c r="Z25" s="96"/>
      <c r="AA25" s="96"/>
      <c r="AB25" s="7"/>
      <c r="AC25" s="93"/>
      <c r="AD25" s="93"/>
      <c r="AE25" s="93"/>
      <c r="AF25" s="93"/>
      <c r="AG25" s="93"/>
      <c r="AH25" s="94"/>
      <c r="AI25" s="94"/>
      <c r="AJ25" s="94"/>
      <c r="AK25" s="97" t="s">
        <v>20</v>
      </c>
      <c r="AL25" s="97"/>
      <c r="AM25" s="97"/>
      <c r="AN25" s="97"/>
      <c r="AO25" s="97"/>
      <c r="AP25" s="98" t="s">
        <v>10</v>
      </c>
      <c r="AQ25" s="98"/>
      <c r="AR25" s="96">
        <f>CEILING(AR22*0.47+5,0.5)</f>
        <v>102.5</v>
      </c>
      <c r="AS25" s="96"/>
      <c r="AT25" s="96"/>
      <c r="AU25" s="96"/>
      <c r="AV25" s="96">
        <f>CEILING(AV22*0.47+5,0.5)</f>
        <v>107</v>
      </c>
      <c r="AW25" s="96"/>
      <c r="AX25" s="96"/>
      <c r="AY25" s="96"/>
      <c r="AZ25" s="96">
        <f>CEILING(AZ22*0.47+5,0.5)</f>
        <v>111.5</v>
      </c>
      <c r="BA25" s="96"/>
      <c r="BB25" s="96"/>
      <c r="BC25" s="96"/>
    </row>
    <row r="26" spans="1:62" ht="16.5" customHeight="1">
      <c r="A26" s="93"/>
      <c r="B26" s="93"/>
      <c r="C26" s="93"/>
      <c r="D26" s="93"/>
      <c r="E26" s="93"/>
      <c r="F26" s="94"/>
      <c r="G26" s="94"/>
      <c r="H26" s="94"/>
      <c r="I26" s="97"/>
      <c r="J26" s="97"/>
      <c r="K26" s="97"/>
      <c r="L26" s="97"/>
      <c r="M26" s="97"/>
      <c r="N26" s="98" t="s">
        <v>11</v>
      </c>
      <c r="O26" s="98"/>
      <c r="P26" s="96">
        <f>CEILING(P25*0.95,0.5)</f>
        <v>74.5</v>
      </c>
      <c r="Q26" s="96"/>
      <c r="R26" s="96"/>
      <c r="S26" s="96"/>
      <c r="T26" s="96">
        <f>CEILING(T25*0.95,0.5)</f>
        <v>77.5</v>
      </c>
      <c r="U26" s="96"/>
      <c r="V26" s="96"/>
      <c r="W26" s="96"/>
      <c r="X26" s="96">
        <f>CEILING(X25*0.95,0.5)</f>
        <v>81</v>
      </c>
      <c r="Y26" s="96"/>
      <c r="Z26" s="96"/>
      <c r="AA26" s="96"/>
      <c r="AB26" s="7"/>
      <c r="AC26" s="93"/>
      <c r="AD26" s="93"/>
      <c r="AE26" s="93"/>
      <c r="AF26" s="93"/>
      <c r="AG26" s="93"/>
      <c r="AH26" s="94"/>
      <c r="AI26" s="94"/>
      <c r="AJ26" s="94"/>
      <c r="AK26" s="97"/>
      <c r="AL26" s="97"/>
      <c r="AM26" s="97"/>
      <c r="AN26" s="97"/>
      <c r="AO26" s="97"/>
      <c r="AP26" s="98" t="s">
        <v>11</v>
      </c>
      <c r="AQ26" s="98"/>
      <c r="AR26" s="96">
        <f>CEILING(AR25*0.95,0.5)</f>
        <v>97.5</v>
      </c>
      <c r="AS26" s="96"/>
      <c r="AT26" s="96"/>
      <c r="AU26" s="96"/>
      <c r="AV26" s="96">
        <f>CEILING(AV25*0.95,0.5)</f>
        <v>102</v>
      </c>
      <c r="AW26" s="96"/>
      <c r="AX26" s="96"/>
      <c r="AY26" s="96"/>
      <c r="AZ26" s="96">
        <f>CEILING(AZ25*0.95,0.5)</f>
        <v>106</v>
      </c>
      <c r="BA26" s="96"/>
      <c r="BB26" s="96"/>
      <c r="BC26" s="96"/>
    </row>
    <row r="27" spans="1:62" ht="16.5" customHeight="1">
      <c r="A27" s="93"/>
      <c r="B27" s="93"/>
      <c r="C27" s="93"/>
      <c r="D27" s="93"/>
      <c r="E27" s="93"/>
      <c r="F27" s="94"/>
      <c r="G27" s="94"/>
      <c r="H27" s="94"/>
      <c r="I27" s="97"/>
      <c r="J27" s="97"/>
      <c r="K27" s="97"/>
      <c r="L27" s="97"/>
      <c r="M27" s="97"/>
      <c r="N27" s="98" t="s">
        <v>12</v>
      </c>
      <c r="O27" s="98"/>
      <c r="P27" s="96">
        <f>CEILING(P24*0.35+5,0.5)</f>
        <v>68</v>
      </c>
      <c r="Q27" s="96"/>
      <c r="R27" s="96"/>
      <c r="S27" s="96"/>
      <c r="T27" s="96">
        <f>CEILING(T24*0.35+5,0.5)</f>
        <v>71.5</v>
      </c>
      <c r="U27" s="96"/>
      <c r="V27" s="96"/>
      <c r="W27" s="96"/>
      <c r="X27" s="96">
        <f>CEILING(X24*0.35+5,0.5)</f>
        <v>75</v>
      </c>
      <c r="Y27" s="96"/>
      <c r="Z27" s="96"/>
      <c r="AA27" s="96"/>
      <c r="AB27" s="7"/>
      <c r="AC27" s="93"/>
      <c r="AD27" s="93"/>
      <c r="AE27" s="93"/>
      <c r="AF27" s="93"/>
      <c r="AG27" s="93"/>
      <c r="AH27" s="94"/>
      <c r="AI27" s="94"/>
      <c r="AJ27" s="94"/>
      <c r="AK27" s="97"/>
      <c r="AL27" s="97"/>
      <c r="AM27" s="97"/>
      <c r="AN27" s="97"/>
      <c r="AO27" s="97"/>
      <c r="AP27" s="98" t="s">
        <v>12</v>
      </c>
      <c r="AQ27" s="98"/>
      <c r="AR27" s="96">
        <f>CEILING(AR24*0.47+5,0.5)</f>
        <v>88.5</v>
      </c>
      <c r="AS27" s="96"/>
      <c r="AT27" s="96"/>
      <c r="AU27" s="96"/>
      <c r="AV27" s="96">
        <f>CEILING(AV24*0.47+5,0.5)</f>
        <v>93.5</v>
      </c>
      <c r="AW27" s="96"/>
      <c r="AX27" s="96"/>
      <c r="AY27" s="96"/>
      <c r="AZ27" s="96">
        <f>CEILING(AZ24*0.47+5,0.5)</f>
        <v>98</v>
      </c>
      <c r="BA27" s="96"/>
      <c r="BB27" s="96"/>
      <c r="BC27" s="96"/>
      <c r="BJ27" s="3"/>
    </row>
    <row r="28" spans="1:62" ht="16.5" customHeight="1">
      <c r="A28" s="93"/>
      <c r="B28" s="93"/>
      <c r="C28" s="93"/>
      <c r="D28" s="93"/>
      <c r="E28" s="93"/>
      <c r="F28" s="94"/>
      <c r="G28" s="94"/>
      <c r="H28" s="94"/>
      <c r="I28" s="82" t="s">
        <v>21</v>
      </c>
      <c r="J28" s="82"/>
      <c r="K28" s="82"/>
      <c r="L28" s="82"/>
      <c r="M28" s="82"/>
      <c r="N28" s="84" t="s">
        <v>10</v>
      </c>
      <c r="O28" s="84"/>
      <c r="P28" s="83">
        <f>P22-4</f>
        <v>204</v>
      </c>
      <c r="Q28" s="83"/>
      <c r="R28" s="83"/>
      <c r="S28" s="83"/>
      <c r="T28" s="83">
        <f>P28+8</f>
        <v>212</v>
      </c>
      <c r="U28" s="83"/>
      <c r="V28" s="83"/>
      <c r="W28" s="83"/>
      <c r="X28" s="83">
        <f>T28+8</f>
        <v>220</v>
      </c>
      <c r="Y28" s="83"/>
      <c r="Z28" s="83"/>
      <c r="AA28" s="83"/>
      <c r="AB28" s="7"/>
      <c r="AC28" s="93"/>
      <c r="AD28" s="93"/>
      <c r="AE28" s="93"/>
      <c r="AF28" s="93"/>
      <c r="AG28" s="93"/>
      <c r="AH28" s="94"/>
      <c r="AI28" s="94"/>
      <c r="AJ28" s="94"/>
      <c r="AK28" s="82" t="s">
        <v>21</v>
      </c>
      <c r="AL28" s="82"/>
      <c r="AM28" s="82"/>
      <c r="AN28" s="82"/>
      <c r="AO28" s="82"/>
      <c r="AP28" s="84" t="s">
        <v>10</v>
      </c>
      <c r="AQ28" s="84"/>
      <c r="AR28" s="83">
        <f>AR22-4</f>
        <v>202.5</v>
      </c>
      <c r="AS28" s="83"/>
      <c r="AT28" s="83"/>
      <c r="AU28" s="83"/>
      <c r="AV28" s="83">
        <f>AR28+8</f>
        <v>210.5</v>
      </c>
      <c r="AW28" s="83"/>
      <c r="AX28" s="83"/>
      <c r="AY28" s="83"/>
      <c r="AZ28" s="83">
        <f>AV28+8</f>
        <v>218.5</v>
      </c>
      <c r="BA28" s="83"/>
      <c r="BB28" s="83"/>
      <c r="BC28" s="83"/>
      <c r="BJ28" s="3"/>
    </row>
    <row r="29" spans="1:62" ht="16.5" customHeight="1">
      <c r="A29" s="93"/>
      <c r="B29" s="93"/>
      <c r="C29" s="93"/>
      <c r="D29" s="93"/>
      <c r="E29" s="93"/>
      <c r="F29" s="94"/>
      <c r="G29" s="94"/>
      <c r="H29" s="94"/>
      <c r="I29" s="82"/>
      <c r="J29" s="82"/>
      <c r="K29" s="82"/>
      <c r="L29" s="82"/>
      <c r="M29" s="82"/>
      <c r="N29" s="84" t="s">
        <v>11</v>
      </c>
      <c r="O29" s="84"/>
      <c r="P29" s="83">
        <f>CEILING(P28*0.95,0.5)</f>
        <v>194</v>
      </c>
      <c r="Q29" s="83"/>
      <c r="R29" s="83"/>
      <c r="S29" s="83"/>
      <c r="T29" s="83">
        <f>CEILING(T28*0.95,0.5)</f>
        <v>201.5</v>
      </c>
      <c r="U29" s="83"/>
      <c r="V29" s="83"/>
      <c r="W29" s="83"/>
      <c r="X29" s="83">
        <f>CEILING(X28*0.95,0.5)</f>
        <v>209</v>
      </c>
      <c r="Y29" s="83"/>
      <c r="Z29" s="83"/>
      <c r="AA29" s="83"/>
      <c r="AB29" s="7"/>
      <c r="AC29" s="93"/>
      <c r="AD29" s="93"/>
      <c r="AE29" s="93"/>
      <c r="AF29" s="93"/>
      <c r="AG29" s="93"/>
      <c r="AH29" s="94"/>
      <c r="AI29" s="94"/>
      <c r="AJ29" s="94"/>
      <c r="AK29" s="82"/>
      <c r="AL29" s="82"/>
      <c r="AM29" s="82"/>
      <c r="AN29" s="82"/>
      <c r="AO29" s="82"/>
      <c r="AP29" s="84" t="s">
        <v>11</v>
      </c>
      <c r="AQ29" s="84"/>
      <c r="AR29" s="83">
        <f>CEILING(AR28*0.95,0.5)</f>
        <v>192.5</v>
      </c>
      <c r="AS29" s="83"/>
      <c r="AT29" s="83"/>
      <c r="AU29" s="83"/>
      <c r="AV29" s="83">
        <f>CEILING(AV28*0.95,0.5)</f>
        <v>200</v>
      </c>
      <c r="AW29" s="83"/>
      <c r="AX29" s="83"/>
      <c r="AY29" s="83"/>
      <c r="AZ29" s="83">
        <f>CEILING(AZ28*0.95,0.5)</f>
        <v>208</v>
      </c>
      <c r="BA29" s="83"/>
      <c r="BB29" s="83"/>
      <c r="BC29" s="83"/>
      <c r="BJ29" s="3"/>
    </row>
    <row r="30" spans="1:62" ht="16.5" customHeight="1">
      <c r="A30" s="93"/>
      <c r="B30" s="93"/>
      <c r="C30" s="93"/>
      <c r="D30" s="93"/>
      <c r="E30" s="93"/>
      <c r="F30" s="94"/>
      <c r="G30" s="94"/>
      <c r="H30" s="94"/>
      <c r="I30" s="82"/>
      <c r="J30" s="82"/>
      <c r="K30" s="82"/>
      <c r="L30" s="82"/>
      <c r="M30" s="82"/>
      <c r="N30" s="84" t="s">
        <v>12</v>
      </c>
      <c r="O30" s="84"/>
      <c r="P30" s="83">
        <f>P24-4</f>
        <v>175</v>
      </c>
      <c r="Q30" s="83"/>
      <c r="R30" s="83"/>
      <c r="S30" s="83"/>
      <c r="T30" s="83">
        <f>P30+8</f>
        <v>183</v>
      </c>
      <c r="U30" s="83"/>
      <c r="V30" s="83"/>
      <c r="W30" s="83"/>
      <c r="X30" s="83">
        <f>T30+8</f>
        <v>191</v>
      </c>
      <c r="Y30" s="83"/>
      <c r="Z30" s="83"/>
      <c r="AA30" s="83"/>
      <c r="AB30" s="7"/>
      <c r="AC30" s="93"/>
      <c r="AD30" s="93"/>
      <c r="AE30" s="93"/>
      <c r="AF30" s="93"/>
      <c r="AG30" s="93"/>
      <c r="AH30" s="94"/>
      <c r="AI30" s="94"/>
      <c r="AJ30" s="94"/>
      <c r="AK30" s="82"/>
      <c r="AL30" s="82"/>
      <c r="AM30" s="82"/>
      <c r="AN30" s="82"/>
      <c r="AO30" s="82"/>
      <c r="AP30" s="84" t="s">
        <v>12</v>
      </c>
      <c r="AQ30" s="84"/>
      <c r="AR30" s="83">
        <f>AR24-4</f>
        <v>173.5</v>
      </c>
      <c r="AS30" s="83"/>
      <c r="AT30" s="83"/>
      <c r="AU30" s="83"/>
      <c r="AV30" s="83">
        <f>AR30+8</f>
        <v>181.5</v>
      </c>
      <c r="AW30" s="83"/>
      <c r="AX30" s="83"/>
      <c r="AY30" s="83"/>
      <c r="AZ30" s="83">
        <f>AV30+8</f>
        <v>189.5</v>
      </c>
      <c r="BA30" s="83"/>
      <c r="BB30" s="83"/>
      <c r="BC30" s="83"/>
      <c r="BJ30" s="3"/>
    </row>
    <row r="31" spans="1:62" ht="16.5" customHeight="1">
      <c r="A31" s="93"/>
      <c r="B31" s="93"/>
      <c r="C31" s="93"/>
      <c r="D31" s="93"/>
      <c r="E31" s="93"/>
      <c r="F31" s="94"/>
      <c r="G31" s="94"/>
      <c r="H31" s="94"/>
      <c r="I31" s="80" t="s">
        <v>22</v>
      </c>
      <c r="J31" s="80"/>
      <c r="K31" s="80"/>
      <c r="L31" s="80"/>
      <c r="M31" s="80"/>
      <c r="N31" s="81" t="s">
        <v>10</v>
      </c>
      <c r="O31" s="81"/>
      <c r="P31" s="89">
        <f>CEILING(P28*0.35+5,0.5)</f>
        <v>76.5</v>
      </c>
      <c r="Q31" s="89"/>
      <c r="R31" s="89"/>
      <c r="S31" s="89"/>
      <c r="T31" s="89">
        <f>CEILING(T28*0.35+5,0.5)</f>
        <v>79.5</v>
      </c>
      <c r="U31" s="89"/>
      <c r="V31" s="89"/>
      <c r="W31" s="89"/>
      <c r="X31" s="89">
        <f>CEILING(X28*0.35+5,0.5)</f>
        <v>82</v>
      </c>
      <c r="Y31" s="89"/>
      <c r="Z31" s="89"/>
      <c r="AA31" s="89"/>
      <c r="AB31" s="7"/>
      <c r="AC31" s="93"/>
      <c r="AD31" s="93"/>
      <c r="AE31" s="93"/>
      <c r="AF31" s="93"/>
      <c r="AG31" s="93"/>
      <c r="AH31" s="94"/>
      <c r="AI31" s="94"/>
      <c r="AJ31" s="94"/>
      <c r="AK31" s="80" t="s">
        <v>23</v>
      </c>
      <c r="AL31" s="80"/>
      <c r="AM31" s="80"/>
      <c r="AN31" s="80"/>
      <c r="AO31" s="80"/>
      <c r="AP31" s="81" t="s">
        <v>10</v>
      </c>
      <c r="AQ31" s="81"/>
      <c r="AR31" s="89">
        <f>CEILING(AR28*0.47+5,0.5)</f>
        <v>100.5</v>
      </c>
      <c r="AS31" s="89"/>
      <c r="AT31" s="89"/>
      <c r="AU31" s="89"/>
      <c r="AV31" s="89">
        <f>CEILING(AV28*0.47+5,0.5)</f>
        <v>104</v>
      </c>
      <c r="AW31" s="89"/>
      <c r="AX31" s="89"/>
      <c r="AY31" s="89"/>
      <c r="AZ31" s="89">
        <f>CEILING(AZ28*0.47+5,0.5)</f>
        <v>108</v>
      </c>
      <c r="BA31" s="89"/>
      <c r="BB31" s="89"/>
      <c r="BC31" s="89"/>
      <c r="BJ31" s="3"/>
    </row>
    <row r="32" spans="1:62" ht="16.5" customHeight="1">
      <c r="A32" s="93"/>
      <c r="B32" s="93"/>
      <c r="C32" s="93"/>
      <c r="D32" s="93"/>
      <c r="E32" s="93"/>
      <c r="F32" s="94"/>
      <c r="G32" s="94"/>
      <c r="H32" s="94"/>
      <c r="I32" s="80"/>
      <c r="J32" s="80"/>
      <c r="K32" s="80"/>
      <c r="L32" s="80"/>
      <c r="M32" s="80"/>
      <c r="N32" s="81" t="s">
        <v>11</v>
      </c>
      <c r="O32" s="81"/>
      <c r="P32" s="89">
        <f>CEILING(P31*0.95,0.5)</f>
        <v>73</v>
      </c>
      <c r="Q32" s="89"/>
      <c r="R32" s="89"/>
      <c r="S32" s="89"/>
      <c r="T32" s="89">
        <f>CEILING(T31*0.95,0.5)</f>
        <v>76</v>
      </c>
      <c r="U32" s="89"/>
      <c r="V32" s="89"/>
      <c r="W32" s="89"/>
      <c r="X32" s="89">
        <f>CEILING(X31*0.95,0.5)</f>
        <v>78</v>
      </c>
      <c r="Y32" s="89"/>
      <c r="Z32" s="89"/>
      <c r="AA32" s="89"/>
      <c r="AB32" s="7"/>
      <c r="AC32" s="93"/>
      <c r="AD32" s="93"/>
      <c r="AE32" s="93"/>
      <c r="AF32" s="93"/>
      <c r="AG32" s="93"/>
      <c r="AH32" s="94"/>
      <c r="AI32" s="94"/>
      <c r="AJ32" s="94"/>
      <c r="AK32" s="80"/>
      <c r="AL32" s="80"/>
      <c r="AM32" s="80"/>
      <c r="AN32" s="80"/>
      <c r="AO32" s="80"/>
      <c r="AP32" s="81" t="s">
        <v>11</v>
      </c>
      <c r="AQ32" s="81"/>
      <c r="AR32" s="89">
        <f>CEILING(AR31*0.95,0.5)</f>
        <v>95.5</v>
      </c>
      <c r="AS32" s="89"/>
      <c r="AT32" s="89"/>
      <c r="AU32" s="89"/>
      <c r="AV32" s="89">
        <f>CEILING(AV31*0.95,0.5)</f>
        <v>99</v>
      </c>
      <c r="AW32" s="89"/>
      <c r="AX32" s="89"/>
      <c r="AY32" s="89"/>
      <c r="AZ32" s="89">
        <f>CEILING(AZ31*0.95,0.5)</f>
        <v>103</v>
      </c>
      <c r="BA32" s="89"/>
      <c r="BB32" s="89"/>
      <c r="BC32" s="89"/>
      <c r="BJ32" s="3"/>
    </row>
    <row r="33" spans="1:62" ht="16.5" customHeight="1">
      <c r="A33" s="93"/>
      <c r="B33" s="93"/>
      <c r="C33" s="93"/>
      <c r="D33" s="93"/>
      <c r="E33" s="93"/>
      <c r="F33" s="94"/>
      <c r="G33" s="94"/>
      <c r="H33" s="94"/>
      <c r="I33" s="80"/>
      <c r="J33" s="80"/>
      <c r="K33" s="80"/>
      <c r="L33" s="80"/>
      <c r="M33" s="80"/>
      <c r="N33" s="81" t="s">
        <v>12</v>
      </c>
      <c r="O33" s="81"/>
      <c r="P33" s="89">
        <f>CEILING(P30*0.35+5,0.5)</f>
        <v>66.5</v>
      </c>
      <c r="Q33" s="89"/>
      <c r="R33" s="89"/>
      <c r="S33" s="89"/>
      <c r="T33" s="89">
        <f>CEILING(T30*0.35+5,0.5)</f>
        <v>69.5</v>
      </c>
      <c r="U33" s="89"/>
      <c r="V33" s="89"/>
      <c r="W33" s="89"/>
      <c r="X33" s="89">
        <f>CEILING(X30*0.35+5,0.5)</f>
        <v>72</v>
      </c>
      <c r="Y33" s="89"/>
      <c r="Z33" s="89"/>
      <c r="AA33" s="89"/>
      <c r="AB33" s="7"/>
      <c r="AC33" s="93"/>
      <c r="AD33" s="93"/>
      <c r="AE33" s="93"/>
      <c r="AF33" s="93"/>
      <c r="AG33" s="93"/>
      <c r="AH33" s="94"/>
      <c r="AI33" s="94"/>
      <c r="AJ33" s="94"/>
      <c r="AK33" s="80"/>
      <c r="AL33" s="80"/>
      <c r="AM33" s="80"/>
      <c r="AN33" s="80"/>
      <c r="AO33" s="80"/>
      <c r="AP33" s="81" t="s">
        <v>12</v>
      </c>
      <c r="AQ33" s="81"/>
      <c r="AR33" s="89">
        <f>CEILING(AR30*0.47+5,0.5)</f>
        <v>87</v>
      </c>
      <c r="AS33" s="89"/>
      <c r="AT33" s="89"/>
      <c r="AU33" s="89"/>
      <c r="AV33" s="89">
        <f>CEILING(AV30*0.47+5,0.5)</f>
        <v>90.5</v>
      </c>
      <c r="AW33" s="89"/>
      <c r="AX33" s="89"/>
      <c r="AY33" s="89"/>
      <c r="AZ33" s="89">
        <f>CEILING(AZ30*0.47+5,0.5)</f>
        <v>94.5</v>
      </c>
      <c r="BA33" s="89"/>
      <c r="BB33" s="89"/>
      <c r="BC33" s="89"/>
      <c r="BJ33" s="3"/>
    </row>
    <row r="34" spans="1:62" ht="16.5" customHeight="1">
      <c r="A34" s="9" t="s">
        <v>24</v>
      </c>
      <c r="X34" s="10"/>
      <c r="Y34" s="10"/>
      <c r="Z34" s="10"/>
      <c r="AA34" s="10"/>
      <c r="AC34" s="11"/>
      <c r="AD34" s="11"/>
      <c r="AE34" s="11"/>
      <c r="AF34" s="3"/>
      <c r="AG34" s="3"/>
      <c r="AH34" s="3"/>
      <c r="AI34" s="12"/>
      <c r="AL34" s="13"/>
      <c r="AM34" s="14"/>
      <c r="AN34" s="14"/>
      <c r="AO34" s="14"/>
      <c r="AP34" s="14"/>
      <c r="AQ34" s="14"/>
    </row>
    <row r="35" spans="1:62" ht="16.5" customHeight="1">
      <c r="A35" s="9" t="s">
        <v>25</v>
      </c>
      <c r="X35" s="10"/>
      <c r="Y35" s="10"/>
      <c r="Z35" s="10"/>
      <c r="AA35" s="10"/>
      <c r="AB35" s="10"/>
      <c r="AC35" s="10"/>
      <c r="AD35" s="10"/>
      <c r="AE35" s="10"/>
      <c r="AI35" s="15"/>
      <c r="AL35" s="13"/>
      <c r="AM35" s="14"/>
      <c r="AN35" s="14"/>
      <c r="AO35" s="14"/>
      <c r="AP35" s="14"/>
      <c r="AQ35" s="14"/>
      <c r="AR35" s="14"/>
      <c r="AS35" s="14"/>
      <c r="AT35" s="14"/>
      <c r="AU35" s="14"/>
      <c r="AV35" s="14"/>
      <c r="AW35" s="14"/>
      <c r="AX35" s="14"/>
      <c r="AY35" s="14"/>
      <c r="AZ35" s="14"/>
      <c r="BA35" s="14"/>
      <c r="BB35" s="14"/>
      <c r="BC35" s="14"/>
      <c r="BD35" s="14"/>
      <c r="BI35" s="14"/>
    </row>
    <row r="36" spans="1:62" ht="16.5" customHeight="1">
      <c r="A36" s="9" t="s">
        <v>26</v>
      </c>
      <c r="X36" s="10"/>
      <c r="Y36" s="10"/>
      <c r="Z36" s="10"/>
      <c r="AA36" s="10"/>
      <c r="AB36" s="9"/>
      <c r="AC36" s="10"/>
      <c r="AD36" s="10"/>
      <c r="AE36" s="10"/>
      <c r="AJ36" s="7"/>
      <c r="AQ36" s="13"/>
    </row>
    <row r="37" spans="1:62" ht="16.5" customHeight="1" thickBot="1">
      <c r="A37" s="9"/>
      <c r="X37" s="10"/>
      <c r="Y37" s="10"/>
      <c r="Z37" s="10"/>
      <c r="AA37" s="10"/>
      <c r="AB37" s="10"/>
      <c r="AC37" s="10"/>
      <c r="AD37" s="10"/>
      <c r="AE37" s="10"/>
    </row>
    <row r="38" spans="1:62" s="17" customFormat="1" ht="16.5" customHeight="1" thickTop="1">
      <c r="A38" s="129" t="s">
        <v>27</v>
      </c>
      <c r="B38" s="130"/>
      <c r="C38" s="130"/>
      <c r="D38" s="130"/>
      <c r="E38" s="130"/>
      <c r="F38" s="130"/>
      <c r="G38" s="130"/>
      <c r="H38" s="130"/>
      <c r="I38" s="130"/>
      <c r="J38" s="130"/>
      <c r="K38" s="130"/>
      <c r="L38" s="130"/>
      <c r="M38" s="130"/>
      <c r="N38" s="130"/>
      <c r="O38" s="130"/>
      <c r="P38" s="130"/>
      <c r="Q38" s="130"/>
      <c r="R38" s="130"/>
      <c r="S38" s="130"/>
      <c r="T38" s="131"/>
      <c r="U38" s="16"/>
      <c r="V38" s="16"/>
      <c r="W38" s="16"/>
      <c r="X38" s="16" t="s">
        <v>323</v>
      </c>
      <c r="Y38" s="16"/>
      <c r="Z38" s="16"/>
      <c r="AA38" s="16"/>
      <c r="AB38" s="16"/>
      <c r="AC38" s="16"/>
      <c r="AD38" s="16"/>
      <c r="AE38" s="16"/>
      <c r="AF38" s="16"/>
      <c r="AG38" s="16"/>
      <c r="AH38" s="16"/>
      <c r="AI38" s="16"/>
      <c r="AJ38" s="16"/>
      <c r="AK38" s="16"/>
      <c r="AL38" s="16"/>
      <c r="AM38" s="16"/>
      <c r="AN38" s="16"/>
      <c r="AO38" s="16"/>
    </row>
    <row r="39" spans="1:62" s="17" customFormat="1" ht="16.5" customHeight="1">
      <c r="A39" s="132" t="s">
        <v>28</v>
      </c>
      <c r="B39" s="133"/>
      <c r="C39" s="133"/>
      <c r="D39" s="133"/>
      <c r="E39" s="133"/>
      <c r="F39" s="133"/>
      <c r="G39" s="133"/>
      <c r="H39" s="134"/>
      <c r="I39" s="133" t="s">
        <v>29</v>
      </c>
      <c r="J39" s="133"/>
      <c r="K39" s="133"/>
      <c r="L39" s="133"/>
      <c r="M39" s="133"/>
      <c r="N39" s="133"/>
      <c r="O39" s="133"/>
      <c r="P39" s="133"/>
      <c r="Q39" s="133"/>
      <c r="R39" s="133"/>
      <c r="S39" s="133"/>
      <c r="T39" s="135"/>
      <c r="U39" s="16"/>
      <c r="V39" s="16"/>
      <c r="W39" s="16"/>
      <c r="X39" s="16" t="s">
        <v>324</v>
      </c>
      <c r="Y39" s="16"/>
      <c r="Z39" s="16"/>
      <c r="AA39" s="16"/>
      <c r="AB39" s="16"/>
      <c r="AC39" s="16"/>
      <c r="AD39" s="16"/>
      <c r="AE39" s="16"/>
      <c r="AF39" s="16"/>
      <c r="AG39" s="16"/>
      <c r="AH39" s="16"/>
      <c r="AI39" s="16"/>
      <c r="AJ39" s="16"/>
      <c r="AK39" s="16"/>
      <c r="AL39" s="16"/>
      <c r="AM39" s="16"/>
      <c r="AN39" s="16"/>
      <c r="AO39" s="16"/>
    </row>
    <row r="40" spans="1:62" s="17" customFormat="1" ht="16.5" customHeight="1" thickBot="1">
      <c r="A40" s="136" t="s">
        <v>30</v>
      </c>
      <c r="B40" s="137"/>
      <c r="C40" s="137"/>
      <c r="D40" s="137"/>
      <c r="E40" s="137"/>
      <c r="F40" s="137"/>
      <c r="G40" s="137"/>
      <c r="H40" s="138"/>
      <c r="I40" s="137" t="s">
        <v>31</v>
      </c>
      <c r="J40" s="137"/>
      <c r="K40" s="137"/>
      <c r="L40" s="137"/>
      <c r="M40" s="137"/>
      <c r="N40" s="137"/>
      <c r="O40" s="137"/>
      <c r="P40" s="137"/>
      <c r="Q40" s="137"/>
      <c r="R40" s="137"/>
      <c r="S40" s="137"/>
      <c r="T40" s="139"/>
      <c r="X40" s="17" t="s">
        <v>325</v>
      </c>
      <c r="AQ40" s="18"/>
    </row>
    <row r="41" spans="1:62" s="17" customFormat="1" ht="16.5" customHeight="1" thickTop="1">
      <c r="AQ41" s="18"/>
      <c r="AR41" s="18"/>
      <c r="AS41" s="18"/>
      <c r="AT41" s="18"/>
      <c r="AU41" s="18"/>
      <c r="AV41" s="18"/>
      <c r="AW41" s="18"/>
      <c r="AX41" s="18"/>
      <c r="AY41" s="18"/>
      <c r="AZ41" s="18"/>
      <c r="BA41" s="18"/>
      <c r="BB41" s="18"/>
      <c r="BC41" s="18"/>
      <c r="BD41" s="18"/>
      <c r="BE41" s="18"/>
      <c r="BF41" s="18"/>
      <c r="BG41" s="18"/>
      <c r="BH41" s="18"/>
      <c r="BI41" s="18"/>
      <c r="BJ41" s="18"/>
    </row>
    <row r="42" spans="1:62" s="17" customFormat="1" ht="16.5" customHeight="1"/>
    <row r="43" spans="1:62" s="17" customFormat="1" ht="16.5" customHeight="1"/>
    <row r="44" spans="1:62" s="17" customFormat="1" ht="16.5" customHeight="1"/>
    <row r="45" spans="1:62" s="17" customFormat="1" ht="16.5" customHeight="1"/>
    <row r="46" spans="1:62" s="17" customFormat="1" ht="16.5" customHeight="1"/>
    <row r="47" spans="1:62" s="17" customFormat="1" ht="16.5" customHeight="1"/>
    <row r="48" spans="1:62" s="17" customFormat="1" ht="16.5" customHeight="1"/>
    <row r="49" s="17" customFormat="1" ht="16.5" customHeight="1"/>
    <row r="50" s="17" customFormat="1" ht="16.5" customHeight="1"/>
    <row r="51" s="17" customFormat="1" ht="16.5" customHeight="1"/>
    <row r="52" s="17" customFormat="1" ht="15.6" customHeight="1"/>
    <row r="53" s="17" customFormat="1" ht="15.6" customHeight="1"/>
    <row r="54" s="17" customFormat="1" ht="15.6" customHeight="1"/>
    <row r="55" s="17" customFormat="1" ht="15.6" customHeight="1"/>
    <row r="56" s="17" customFormat="1" ht="15.6" customHeight="1"/>
    <row r="57" s="17" customFormat="1" ht="15.6" customHeight="1"/>
    <row r="58" s="17" customFormat="1" ht="15.6" customHeight="1"/>
    <row r="59" s="17" customFormat="1" ht="15.6" customHeight="1"/>
    <row r="60" s="17" customFormat="1" ht="15.6" customHeight="1"/>
    <row r="61" s="17" customFormat="1" ht="15.6" customHeight="1"/>
    <row r="62" s="17" customFormat="1" ht="15.6" customHeight="1"/>
    <row r="63" s="17" customFormat="1" ht="15.6" customHeight="1"/>
    <row r="64" s="17" customFormat="1" ht="15.6" customHeight="1"/>
    <row r="65" s="17" customFormat="1" ht="15.6" customHeight="1"/>
    <row r="66" s="17" customFormat="1" ht="15.6" customHeight="1"/>
    <row r="67" s="17" customFormat="1" ht="15.6" customHeight="1"/>
    <row r="68" s="17" customFormat="1" ht="15.6" customHeight="1"/>
    <row r="69" s="17" customFormat="1" ht="15.6" customHeight="1"/>
    <row r="70" s="17" customFormat="1" ht="15.6" customHeight="1"/>
    <row r="71" s="17" customFormat="1" ht="15.6" customHeight="1"/>
    <row r="72" s="17" customFormat="1" ht="15.6" customHeight="1"/>
    <row r="73" s="17" customFormat="1"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sheetData>
  <mergeCells count="238">
    <mergeCell ref="AZ32:BC32"/>
    <mergeCell ref="AV33:AY33"/>
    <mergeCell ref="AZ33:BC33"/>
    <mergeCell ref="A38:T38"/>
    <mergeCell ref="A39:H39"/>
    <mergeCell ref="I39:T39"/>
    <mergeCell ref="A40:H40"/>
    <mergeCell ref="I40:T40"/>
    <mergeCell ref="N33:O33"/>
    <mergeCell ref="P33:S33"/>
    <mergeCell ref="T33:W33"/>
    <mergeCell ref="X33:AA33"/>
    <mergeCell ref="AP33:AQ33"/>
    <mergeCell ref="AR33:AU33"/>
    <mergeCell ref="AP32:AQ32"/>
    <mergeCell ref="AR32:AU32"/>
    <mergeCell ref="AR29:AU29"/>
    <mergeCell ref="AV29:AY29"/>
    <mergeCell ref="AZ29:BC29"/>
    <mergeCell ref="AV30:AY30"/>
    <mergeCell ref="AZ30:BC30"/>
    <mergeCell ref="I31:M33"/>
    <mergeCell ref="N31:O31"/>
    <mergeCell ref="P31:S31"/>
    <mergeCell ref="T31:W31"/>
    <mergeCell ref="X31:AA31"/>
    <mergeCell ref="AK31:AO33"/>
    <mergeCell ref="AP31:AQ31"/>
    <mergeCell ref="AR31:AU31"/>
    <mergeCell ref="N30:O30"/>
    <mergeCell ref="P30:S30"/>
    <mergeCell ref="T30:W30"/>
    <mergeCell ref="X30:AA30"/>
    <mergeCell ref="AP30:AQ30"/>
    <mergeCell ref="AR30:AU30"/>
    <mergeCell ref="AV31:AY31"/>
    <mergeCell ref="AZ31:BC31"/>
    <mergeCell ref="N32:O32"/>
    <mergeCell ref="P32:S32"/>
    <mergeCell ref="AV32:AY32"/>
    <mergeCell ref="AR26:AU26"/>
    <mergeCell ref="AV26:AY26"/>
    <mergeCell ref="AZ26:BC26"/>
    <mergeCell ref="AV27:AY27"/>
    <mergeCell ref="AZ27:BC27"/>
    <mergeCell ref="I28:M30"/>
    <mergeCell ref="N28:O28"/>
    <mergeCell ref="P28:S28"/>
    <mergeCell ref="T28:W28"/>
    <mergeCell ref="X28:AA28"/>
    <mergeCell ref="AK28:AO30"/>
    <mergeCell ref="AP28:AQ28"/>
    <mergeCell ref="AR28:AU28"/>
    <mergeCell ref="N27:O27"/>
    <mergeCell ref="P27:S27"/>
    <mergeCell ref="T27:W27"/>
    <mergeCell ref="X27:AA27"/>
    <mergeCell ref="AP27:AQ27"/>
    <mergeCell ref="AR27:AU27"/>
    <mergeCell ref="AV28:AY28"/>
    <mergeCell ref="AZ28:BC28"/>
    <mergeCell ref="N29:O29"/>
    <mergeCell ref="P29:S29"/>
    <mergeCell ref="AP29:AQ29"/>
    <mergeCell ref="AR23:AU23"/>
    <mergeCell ref="AV23:AY23"/>
    <mergeCell ref="AZ23:BC23"/>
    <mergeCell ref="AV24:AY24"/>
    <mergeCell ref="AZ24:BC24"/>
    <mergeCell ref="I25:M27"/>
    <mergeCell ref="N25:O25"/>
    <mergeCell ref="P25:S25"/>
    <mergeCell ref="T25:W25"/>
    <mergeCell ref="X25:AA25"/>
    <mergeCell ref="AK25:AO27"/>
    <mergeCell ref="AP25:AQ25"/>
    <mergeCell ref="AR25:AU25"/>
    <mergeCell ref="N24:O24"/>
    <mergeCell ref="P24:S24"/>
    <mergeCell ref="T24:W24"/>
    <mergeCell ref="X24:AA24"/>
    <mergeCell ref="AP24:AQ24"/>
    <mergeCell ref="AR24:AU24"/>
    <mergeCell ref="AV25:AY25"/>
    <mergeCell ref="AZ25:BC25"/>
    <mergeCell ref="N26:O26"/>
    <mergeCell ref="P26:S26"/>
    <mergeCell ref="T26:W26"/>
    <mergeCell ref="AR20:AU20"/>
    <mergeCell ref="AV20:AY20"/>
    <mergeCell ref="AZ20:BC20"/>
    <mergeCell ref="AZ21:BC21"/>
    <mergeCell ref="I22:M24"/>
    <mergeCell ref="N22:O22"/>
    <mergeCell ref="P22:S22"/>
    <mergeCell ref="T22:W22"/>
    <mergeCell ref="X22:AA22"/>
    <mergeCell ref="AK22:AO24"/>
    <mergeCell ref="AP22:AQ22"/>
    <mergeCell ref="AR22:AU22"/>
    <mergeCell ref="AV22:AY22"/>
    <mergeCell ref="N21:O21"/>
    <mergeCell ref="P21:S21"/>
    <mergeCell ref="T21:W21"/>
    <mergeCell ref="X21:AA21"/>
    <mergeCell ref="AP21:AQ21"/>
    <mergeCell ref="AR21:AU21"/>
    <mergeCell ref="AZ22:BC22"/>
    <mergeCell ref="N23:O23"/>
    <mergeCell ref="P23:S23"/>
    <mergeCell ref="T23:W23"/>
    <mergeCell ref="X23:AA23"/>
    <mergeCell ref="AR17:AU17"/>
    <mergeCell ref="AV17:AY17"/>
    <mergeCell ref="AZ17:BC17"/>
    <mergeCell ref="AZ18:BC18"/>
    <mergeCell ref="I19:M21"/>
    <mergeCell ref="N19:O19"/>
    <mergeCell ref="P19:S19"/>
    <mergeCell ref="T19:W19"/>
    <mergeCell ref="X19:AA19"/>
    <mergeCell ref="AK19:AO21"/>
    <mergeCell ref="AP19:AQ19"/>
    <mergeCell ref="AR19:AU19"/>
    <mergeCell ref="AV19:AY19"/>
    <mergeCell ref="N18:O18"/>
    <mergeCell ref="P18:S18"/>
    <mergeCell ref="T18:W18"/>
    <mergeCell ref="X18:AA18"/>
    <mergeCell ref="AP18:AQ18"/>
    <mergeCell ref="AR18:AU18"/>
    <mergeCell ref="AZ19:BC19"/>
    <mergeCell ref="N20:O20"/>
    <mergeCell ref="P20:S20"/>
    <mergeCell ref="T20:W20"/>
    <mergeCell ref="X20:AA20"/>
    <mergeCell ref="AR16:AU16"/>
    <mergeCell ref="AV16:AY16"/>
    <mergeCell ref="N15:O15"/>
    <mergeCell ref="P15:S15"/>
    <mergeCell ref="T15:W15"/>
    <mergeCell ref="X15:AA15"/>
    <mergeCell ref="AP15:AQ15"/>
    <mergeCell ref="AR15:AU15"/>
    <mergeCell ref="AZ16:BC16"/>
    <mergeCell ref="AR11:AU11"/>
    <mergeCell ref="AV11:AY11"/>
    <mergeCell ref="AZ11:BC11"/>
    <mergeCell ref="AC10:AG33"/>
    <mergeCell ref="AH10:AJ33"/>
    <mergeCell ref="AK10:AO12"/>
    <mergeCell ref="AP10:AQ10"/>
    <mergeCell ref="AR10:AU10"/>
    <mergeCell ref="AV10:AY10"/>
    <mergeCell ref="AV12:AY12"/>
    <mergeCell ref="AV15:AY15"/>
    <mergeCell ref="AV18:AY18"/>
    <mergeCell ref="AZ13:BC13"/>
    <mergeCell ref="AP14:AQ14"/>
    <mergeCell ref="AR14:AU14"/>
    <mergeCell ref="AV14:AY14"/>
    <mergeCell ref="AZ14:BC14"/>
    <mergeCell ref="AK13:AO15"/>
    <mergeCell ref="AP13:AQ13"/>
    <mergeCell ref="AR13:AU13"/>
    <mergeCell ref="AV13:AY13"/>
    <mergeCell ref="AZ15:BC15"/>
    <mergeCell ref="AK16:AO18"/>
    <mergeCell ref="AP16:AQ16"/>
    <mergeCell ref="AR9:AU9"/>
    <mergeCell ref="AV9:AY9"/>
    <mergeCell ref="AZ9:BC9"/>
    <mergeCell ref="AC9:AG9"/>
    <mergeCell ref="AH9:AJ9"/>
    <mergeCell ref="AK9:AO9"/>
    <mergeCell ref="AV21:AY21"/>
    <mergeCell ref="AZ12:BC12"/>
    <mergeCell ref="N13:O13"/>
    <mergeCell ref="P13:S13"/>
    <mergeCell ref="T13:W13"/>
    <mergeCell ref="X13:AA13"/>
    <mergeCell ref="N10:O10"/>
    <mergeCell ref="P10:S10"/>
    <mergeCell ref="T10:W10"/>
    <mergeCell ref="X10:AA10"/>
    <mergeCell ref="N12:O12"/>
    <mergeCell ref="P12:S12"/>
    <mergeCell ref="T12:W12"/>
    <mergeCell ref="X12:AA12"/>
    <mergeCell ref="AP12:AQ12"/>
    <mergeCell ref="AR12:AU12"/>
    <mergeCell ref="AZ10:BC10"/>
    <mergeCell ref="N11:O11"/>
    <mergeCell ref="T29:W29"/>
    <mergeCell ref="X29:AA29"/>
    <mergeCell ref="T32:W32"/>
    <mergeCell ref="X32:AA32"/>
    <mergeCell ref="A4:K5"/>
    <mergeCell ref="L4:AA7"/>
    <mergeCell ref="A6:K7"/>
    <mergeCell ref="A9:E9"/>
    <mergeCell ref="F9:H9"/>
    <mergeCell ref="I9:M9"/>
    <mergeCell ref="N9:O9"/>
    <mergeCell ref="P9:S9"/>
    <mergeCell ref="A10:E33"/>
    <mergeCell ref="F10:H33"/>
    <mergeCell ref="I10:M12"/>
    <mergeCell ref="P11:S11"/>
    <mergeCell ref="T11:W11"/>
    <mergeCell ref="X11:AA11"/>
    <mergeCell ref="N14:O14"/>
    <mergeCell ref="P14:S14"/>
    <mergeCell ref="T14:W14"/>
    <mergeCell ref="X14:AA14"/>
    <mergeCell ref="I16:M18"/>
    <mergeCell ref="N16:O16"/>
    <mergeCell ref="AP9:AQ9"/>
    <mergeCell ref="AD4:AF4"/>
    <mergeCell ref="AG4:AP4"/>
    <mergeCell ref="AD5:AF5"/>
    <mergeCell ref="AG5:AP5"/>
    <mergeCell ref="T9:W9"/>
    <mergeCell ref="X9:AA9"/>
    <mergeCell ref="I13:M15"/>
    <mergeCell ref="X26:AA26"/>
    <mergeCell ref="AP11:AQ11"/>
    <mergeCell ref="P16:S16"/>
    <mergeCell ref="T16:W16"/>
    <mergeCell ref="X16:AA16"/>
    <mergeCell ref="N17:O17"/>
    <mergeCell ref="P17:S17"/>
    <mergeCell ref="T17:W17"/>
    <mergeCell ref="X17:AA17"/>
    <mergeCell ref="AP17:AQ17"/>
    <mergeCell ref="AP20:AQ20"/>
    <mergeCell ref="AP23:AQ23"/>
    <mergeCell ref="AP26:AQ26"/>
  </mergeCells>
  <phoneticPr fontId="2"/>
  <pageMargins left="0.39370078740157483" right="0.39370078740157483" top="0.59055118110236227" bottom="0.39370078740157483" header="0.51181102362204722" footer="0.19685039370078741"/>
  <pageSetup paperSize="9" scale="95" orientation="portrait" useFirstPageNumber="1" r:id="rId1"/>
  <headerFooter alignWithMargins="0">
    <oddFooter>&amp;C20260511臨時改定価格_SP_ZIP&amp;R　　&amp;P/&amp;N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6260-9936-4804-A2AF-A182E10BC9DC}">
  <sheetPr>
    <tabColor indexed="10"/>
  </sheetPr>
  <dimension ref="A1:CK309"/>
  <sheetViews>
    <sheetView view="pageBreakPreview" zoomScaleSheetLayoutView="100" workbookViewId="0">
      <selection activeCell="BS8" sqref="BS8"/>
    </sheetView>
  </sheetViews>
  <sheetFormatPr defaultColWidth="8.875" defaultRowHeight="13.5"/>
  <cols>
    <col min="1" max="153" width="1.625" style="1" customWidth="1"/>
    <col min="154" max="16384" width="8.875" style="1"/>
  </cols>
  <sheetData>
    <row r="1" spans="1:89"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89"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89" ht="16.5" customHeight="1">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89" ht="16.5" customHeight="1">
      <c r="A4" s="109" t="s">
        <v>0</v>
      </c>
      <c r="B4" s="110"/>
      <c r="C4" s="110"/>
      <c r="D4" s="110"/>
      <c r="E4" s="110"/>
      <c r="F4" s="110"/>
      <c r="G4" s="110"/>
      <c r="H4" s="110"/>
      <c r="I4" s="110"/>
      <c r="J4" s="110"/>
      <c r="K4" s="110"/>
      <c r="L4" s="124" t="s">
        <v>32</v>
      </c>
      <c r="M4" s="124"/>
      <c r="N4" s="124"/>
      <c r="O4" s="124"/>
      <c r="P4" s="124"/>
      <c r="Q4" s="124"/>
      <c r="R4" s="124"/>
      <c r="S4" s="124"/>
      <c r="T4" s="124"/>
      <c r="U4" s="124"/>
      <c r="V4" s="124"/>
      <c r="W4" s="124"/>
      <c r="X4" s="124"/>
      <c r="Y4" s="124"/>
      <c r="Z4" s="124"/>
      <c r="AA4" s="124"/>
      <c r="AB4" s="124"/>
      <c r="AC4" s="124"/>
      <c r="AD4" s="124"/>
      <c r="AE4" s="124"/>
      <c r="AF4" s="19"/>
      <c r="AG4" s="19"/>
      <c r="AH4" s="19"/>
    </row>
    <row r="5" spans="1:89" ht="16.5" customHeight="1">
      <c r="A5" s="111"/>
      <c r="B5" s="112"/>
      <c r="C5" s="112"/>
      <c r="D5" s="112"/>
      <c r="E5" s="112"/>
      <c r="F5" s="112"/>
      <c r="G5" s="112"/>
      <c r="H5" s="112"/>
      <c r="I5" s="112"/>
      <c r="J5" s="112"/>
      <c r="K5" s="112"/>
      <c r="L5" s="126"/>
      <c r="M5" s="126"/>
      <c r="N5" s="126"/>
      <c r="O5" s="126"/>
      <c r="P5" s="126"/>
      <c r="Q5" s="126"/>
      <c r="R5" s="126"/>
      <c r="S5" s="126"/>
      <c r="T5" s="126"/>
      <c r="U5" s="126"/>
      <c r="V5" s="126"/>
      <c r="W5" s="126"/>
      <c r="X5" s="126"/>
      <c r="Y5" s="126"/>
      <c r="Z5" s="126"/>
      <c r="AA5" s="126"/>
      <c r="AB5" s="126"/>
      <c r="AC5" s="126"/>
      <c r="AD5" s="126"/>
      <c r="AE5" s="126"/>
      <c r="AF5" s="19"/>
      <c r="AG5" s="19"/>
      <c r="AH5" s="19"/>
    </row>
    <row r="6" spans="1:89" ht="16.5" customHeight="1">
      <c r="A6" s="103" t="s">
        <v>2</v>
      </c>
      <c r="B6" s="104"/>
      <c r="C6" s="104"/>
      <c r="D6" s="104"/>
      <c r="E6" s="104"/>
      <c r="F6" s="104"/>
      <c r="G6" s="104"/>
      <c r="H6" s="104"/>
      <c r="I6" s="104"/>
      <c r="J6" s="104"/>
      <c r="K6" s="104"/>
      <c r="L6" s="126"/>
      <c r="M6" s="126"/>
      <c r="N6" s="126"/>
      <c r="O6" s="126"/>
      <c r="P6" s="126"/>
      <c r="Q6" s="126"/>
      <c r="R6" s="126"/>
      <c r="S6" s="126"/>
      <c r="T6" s="126"/>
      <c r="U6" s="126"/>
      <c r="V6" s="126"/>
      <c r="W6" s="126"/>
      <c r="X6" s="126"/>
      <c r="Y6" s="126"/>
      <c r="Z6" s="126"/>
      <c r="AA6" s="126"/>
      <c r="AB6" s="126"/>
      <c r="AC6" s="126"/>
      <c r="AD6" s="126"/>
      <c r="AE6" s="126"/>
      <c r="AF6" s="19"/>
      <c r="AG6" s="19"/>
      <c r="AH6" s="19"/>
    </row>
    <row r="7" spans="1:89" ht="16.5" customHeight="1">
      <c r="A7" s="106"/>
      <c r="B7" s="107"/>
      <c r="C7" s="107"/>
      <c r="D7" s="107"/>
      <c r="E7" s="107"/>
      <c r="F7" s="107"/>
      <c r="G7" s="107"/>
      <c r="H7" s="107"/>
      <c r="I7" s="107"/>
      <c r="J7" s="107"/>
      <c r="K7" s="107"/>
      <c r="L7" s="128"/>
      <c r="M7" s="128"/>
      <c r="N7" s="128"/>
      <c r="O7" s="128"/>
      <c r="P7" s="128"/>
      <c r="Q7" s="128"/>
      <c r="R7" s="128"/>
      <c r="S7" s="128"/>
      <c r="T7" s="128"/>
      <c r="U7" s="128"/>
      <c r="V7" s="128"/>
      <c r="W7" s="128"/>
      <c r="X7" s="128"/>
      <c r="Y7" s="128"/>
      <c r="Z7" s="128"/>
      <c r="AA7" s="128"/>
      <c r="AB7" s="128"/>
      <c r="AC7" s="128"/>
      <c r="AD7" s="128"/>
      <c r="AE7" s="128"/>
      <c r="AF7" s="19"/>
      <c r="AG7" s="19"/>
      <c r="AH7" s="19"/>
      <c r="AK7" s="3"/>
      <c r="AL7" s="3"/>
      <c r="AM7" s="3"/>
      <c r="AN7" s="3"/>
      <c r="AO7" s="3"/>
      <c r="AP7" s="3"/>
      <c r="AQ7" s="3"/>
      <c r="AR7" s="3"/>
      <c r="AS7" s="3"/>
      <c r="AT7" s="3"/>
      <c r="AU7" s="3"/>
      <c r="AV7" s="3"/>
      <c r="AW7" s="3"/>
      <c r="AX7" s="3"/>
      <c r="AY7" s="3"/>
      <c r="AZ7" s="3"/>
      <c r="BA7" s="3"/>
      <c r="BB7" s="3"/>
      <c r="BC7" s="3"/>
      <c r="BD7" s="3"/>
      <c r="BE7" s="3"/>
      <c r="BF7" s="3"/>
      <c r="BG7" s="3"/>
      <c r="BH7" s="3"/>
      <c r="BI7" s="3"/>
      <c r="BJ7" s="3"/>
      <c r="BK7" s="3"/>
    </row>
    <row r="8" spans="1:89" ht="16.5" customHeight="1">
      <c r="A8" s="20"/>
      <c r="B8" s="20"/>
      <c r="C8" s="20"/>
      <c r="D8" s="20"/>
      <c r="E8" s="20"/>
      <c r="F8" s="20"/>
      <c r="G8" s="20"/>
      <c r="H8" s="20"/>
      <c r="I8" s="20"/>
      <c r="J8" s="20"/>
      <c r="K8" s="20"/>
      <c r="L8" s="5"/>
      <c r="M8" s="5"/>
      <c r="N8" s="5"/>
      <c r="O8" s="5"/>
      <c r="P8" s="5"/>
      <c r="Q8" s="5"/>
      <c r="R8" s="5"/>
      <c r="S8" s="5"/>
      <c r="T8" s="5"/>
      <c r="U8" s="5"/>
      <c r="V8" s="5"/>
      <c r="W8" s="5"/>
      <c r="X8" s="5"/>
      <c r="Y8" s="5"/>
      <c r="Z8" s="5"/>
      <c r="AA8" s="5"/>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89" ht="16.5" customHeight="1">
      <c r="A9" s="119">
        <v>841</v>
      </c>
      <c r="B9" s="119"/>
      <c r="C9" s="140" t="s">
        <v>33</v>
      </c>
      <c r="D9" s="140"/>
      <c r="E9" s="140"/>
      <c r="F9" s="140"/>
      <c r="G9" s="140"/>
      <c r="H9" s="140"/>
      <c r="I9" s="140"/>
      <c r="J9" s="119">
        <v>882</v>
      </c>
      <c r="K9" s="119"/>
      <c r="L9" s="140" t="s">
        <v>34</v>
      </c>
      <c r="M9" s="140"/>
      <c r="N9" s="140"/>
      <c r="O9" s="140"/>
      <c r="P9" s="140"/>
      <c r="Q9" s="140"/>
      <c r="R9" s="140"/>
      <c r="S9" s="119">
        <v>927</v>
      </c>
      <c r="T9" s="119"/>
      <c r="U9" s="120" t="s">
        <v>35</v>
      </c>
      <c r="V9" s="120"/>
      <c r="W9" s="120"/>
      <c r="X9" s="120"/>
      <c r="Y9" s="120"/>
      <c r="Z9" s="120"/>
      <c r="AA9" s="120"/>
      <c r="AB9" s="119">
        <v>952</v>
      </c>
      <c r="AC9" s="119"/>
      <c r="AD9" s="140" t="s">
        <v>36</v>
      </c>
      <c r="AE9" s="140"/>
      <c r="AF9" s="140"/>
      <c r="AG9" s="140"/>
      <c r="AH9" s="140"/>
      <c r="AI9" s="140"/>
      <c r="AJ9" s="140"/>
      <c r="AK9" s="21"/>
      <c r="AL9" s="3"/>
      <c r="AM9" s="3"/>
      <c r="AN9" s="3"/>
      <c r="AO9" s="3"/>
      <c r="AP9" s="3"/>
      <c r="AQ9" s="3"/>
      <c r="AR9" s="3"/>
      <c r="BB9" s="3"/>
    </row>
    <row r="10" spans="1:89" ht="16.5" customHeight="1">
      <c r="A10" s="141">
        <v>842</v>
      </c>
      <c r="B10" s="141"/>
      <c r="C10" s="142" t="s">
        <v>37</v>
      </c>
      <c r="D10" s="142"/>
      <c r="E10" s="142"/>
      <c r="F10" s="142"/>
      <c r="G10" s="142"/>
      <c r="H10" s="142"/>
      <c r="I10" s="142"/>
      <c r="J10" s="143">
        <v>905</v>
      </c>
      <c r="K10" s="144"/>
      <c r="L10" s="145" t="s">
        <v>38</v>
      </c>
      <c r="M10" s="146"/>
      <c r="N10" s="146"/>
      <c r="O10" s="146"/>
      <c r="P10" s="146"/>
      <c r="Q10" s="146"/>
      <c r="R10" s="147"/>
      <c r="S10" s="141">
        <v>928</v>
      </c>
      <c r="T10" s="141"/>
      <c r="U10" s="148" t="s">
        <v>39</v>
      </c>
      <c r="V10" s="148"/>
      <c r="W10" s="148"/>
      <c r="X10" s="148"/>
      <c r="Y10" s="148"/>
      <c r="Z10" s="148"/>
      <c r="AA10" s="148"/>
      <c r="AB10" s="141">
        <v>953</v>
      </c>
      <c r="AC10" s="141"/>
      <c r="AD10" s="142" t="s">
        <v>40</v>
      </c>
      <c r="AE10" s="142"/>
      <c r="AF10" s="142"/>
      <c r="AG10" s="142"/>
      <c r="AH10" s="142"/>
      <c r="AI10" s="142"/>
      <c r="AJ10" s="142"/>
      <c r="BS10" s="150"/>
      <c r="BT10" s="150"/>
      <c r="BU10" s="149"/>
      <c r="BV10" s="149"/>
      <c r="BW10" s="149"/>
      <c r="BX10" s="149"/>
      <c r="BY10" s="149"/>
      <c r="BZ10" s="149"/>
      <c r="CA10" s="149"/>
    </row>
    <row r="11" spans="1:89" ht="16.5" customHeight="1">
      <c r="A11" s="141">
        <v>874</v>
      </c>
      <c r="B11" s="141"/>
      <c r="C11" s="142" t="s">
        <v>41</v>
      </c>
      <c r="D11" s="142"/>
      <c r="E11" s="142"/>
      <c r="F11" s="142"/>
      <c r="G11" s="142"/>
      <c r="H11" s="142"/>
      <c r="I11" s="142"/>
      <c r="J11" s="143">
        <v>906</v>
      </c>
      <c r="K11" s="144"/>
      <c r="L11" s="145" t="s">
        <v>42</v>
      </c>
      <c r="M11" s="146"/>
      <c r="N11" s="146"/>
      <c r="O11" s="146"/>
      <c r="P11" s="146"/>
      <c r="Q11" s="146"/>
      <c r="R11" s="147"/>
      <c r="S11" s="141">
        <v>929</v>
      </c>
      <c r="T11" s="141"/>
      <c r="U11" s="148" t="s">
        <v>43</v>
      </c>
      <c r="V11" s="148"/>
      <c r="W11" s="148"/>
      <c r="X11" s="148"/>
      <c r="Y11" s="148"/>
      <c r="Z11" s="148"/>
      <c r="AA11" s="148"/>
      <c r="AB11" s="141">
        <v>955</v>
      </c>
      <c r="AC11" s="141"/>
      <c r="AD11" s="142" t="s">
        <v>44</v>
      </c>
      <c r="AE11" s="142"/>
      <c r="AF11" s="142"/>
      <c r="AG11" s="142"/>
      <c r="AH11" s="142"/>
      <c r="AI11" s="142"/>
      <c r="AJ11" s="142"/>
      <c r="BC11" s="3"/>
      <c r="BD11" s="3"/>
      <c r="BE11" s="3"/>
      <c r="BF11" s="3"/>
      <c r="BG11" s="3"/>
      <c r="BH11" s="3"/>
      <c r="BI11" s="3"/>
      <c r="BJ11" s="3"/>
      <c r="BK11" s="3"/>
      <c r="BS11" s="150"/>
      <c r="BT11" s="150"/>
      <c r="BU11" s="149"/>
      <c r="BV11" s="149"/>
      <c r="BW11" s="149"/>
      <c r="BX11" s="149"/>
      <c r="BY11" s="149"/>
      <c r="BZ11" s="149"/>
      <c r="CA11" s="149"/>
      <c r="CC11" s="150"/>
      <c r="CD11" s="150"/>
      <c r="CE11" s="149"/>
      <c r="CF11" s="149"/>
      <c r="CG11" s="149"/>
      <c r="CH11" s="149"/>
      <c r="CI11" s="149"/>
      <c r="CJ11" s="149"/>
      <c r="CK11" s="149"/>
    </row>
    <row r="12" spans="1:89" ht="16.5" customHeight="1">
      <c r="A12" s="141">
        <v>880</v>
      </c>
      <c r="B12" s="141"/>
      <c r="C12" s="142" t="s">
        <v>45</v>
      </c>
      <c r="D12" s="142"/>
      <c r="E12" s="142"/>
      <c r="F12" s="142"/>
      <c r="G12" s="142"/>
      <c r="H12" s="142"/>
      <c r="I12" s="142"/>
      <c r="J12" s="141">
        <v>919</v>
      </c>
      <c r="K12" s="141"/>
      <c r="L12" s="142" t="s">
        <v>46</v>
      </c>
      <c r="M12" s="142"/>
      <c r="N12" s="142"/>
      <c r="O12" s="142"/>
      <c r="P12" s="142"/>
      <c r="Q12" s="142"/>
      <c r="R12" s="142"/>
      <c r="S12" s="141">
        <v>933</v>
      </c>
      <c r="T12" s="141"/>
      <c r="U12" s="148" t="s">
        <v>47</v>
      </c>
      <c r="V12" s="148"/>
      <c r="W12" s="148"/>
      <c r="X12" s="148"/>
      <c r="Y12" s="148"/>
      <c r="Z12" s="148"/>
      <c r="AA12" s="148"/>
      <c r="AB12" s="153">
        <v>977</v>
      </c>
      <c r="AC12" s="154"/>
      <c r="AD12" s="152" t="s">
        <v>48</v>
      </c>
      <c r="AE12" s="152"/>
      <c r="AF12" s="152"/>
      <c r="AG12" s="152"/>
      <c r="AH12" s="152"/>
      <c r="AI12" s="152"/>
      <c r="AJ12" s="152"/>
      <c r="BS12" s="150"/>
      <c r="BT12" s="150"/>
      <c r="BU12" s="149"/>
      <c r="BV12" s="149"/>
      <c r="BW12" s="149"/>
      <c r="BX12" s="149"/>
      <c r="BY12" s="149"/>
      <c r="BZ12" s="149"/>
      <c r="CA12" s="149"/>
      <c r="CC12" s="150"/>
      <c r="CD12" s="150"/>
      <c r="CE12" s="149"/>
      <c r="CF12" s="149"/>
      <c r="CG12" s="149"/>
      <c r="CH12" s="149"/>
      <c r="CI12" s="149"/>
      <c r="CJ12" s="149"/>
      <c r="CK12" s="149"/>
    </row>
    <row r="13" spans="1:89" ht="16.5" customHeight="1">
      <c r="A13" s="151">
        <v>881</v>
      </c>
      <c r="B13" s="151"/>
      <c r="C13" s="152" t="s">
        <v>49</v>
      </c>
      <c r="D13" s="152"/>
      <c r="E13" s="152"/>
      <c r="F13" s="152"/>
      <c r="G13" s="152"/>
      <c r="H13" s="152"/>
      <c r="I13" s="152"/>
      <c r="J13" s="151">
        <v>924</v>
      </c>
      <c r="K13" s="151"/>
      <c r="L13" s="152" t="s">
        <v>50</v>
      </c>
      <c r="M13" s="152"/>
      <c r="N13" s="152"/>
      <c r="O13" s="152"/>
      <c r="P13" s="152"/>
      <c r="Q13" s="152"/>
      <c r="R13" s="152"/>
      <c r="S13" s="151">
        <v>951</v>
      </c>
      <c r="T13" s="151"/>
      <c r="U13" s="152" t="s">
        <v>51</v>
      </c>
      <c r="V13" s="152"/>
      <c r="W13" s="152"/>
      <c r="X13" s="152"/>
      <c r="Y13" s="152"/>
      <c r="Z13" s="152"/>
      <c r="AA13" s="152"/>
      <c r="CC13" s="150"/>
      <c r="CD13" s="150"/>
      <c r="CE13" s="149"/>
      <c r="CF13" s="149"/>
      <c r="CG13" s="149"/>
      <c r="CH13" s="149"/>
      <c r="CI13" s="149"/>
      <c r="CJ13" s="149"/>
      <c r="CK13" s="149"/>
    </row>
    <row r="14" spans="1:89" ht="16.5" customHeight="1">
      <c r="A14" s="22"/>
      <c r="B14" s="22"/>
      <c r="C14" s="23"/>
      <c r="D14" s="23"/>
      <c r="E14" s="23"/>
      <c r="F14" s="23"/>
      <c r="G14" s="23"/>
      <c r="H14" s="23"/>
      <c r="I14" s="23"/>
      <c r="J14" s="22"/>
      <c r="K14" s="22"/>
      <c r="L14" s="23"/>
      <c r="M14" s="23"/>
      <c r="N14" s="23"/>
      <c r="O14" s="23"/>
      <c r="P14" s="23"/>
      <c r="Q14" s="23"/>
      <c r="R14" s="23"/>
      <c r="S14" s="22"/>
      <c r="T14" s="22"/>
      <c r="U14" s="23"/>
      <c r="V14" s="23"/>
      <c r="W14" s="23"/>
      <c r="X14" s="23"/>
      <c r="Y14" s="23"/>
      <c r="Z14" s="23"/>
      <c r="AA14" s="23"/>
      <c r="AB14" s="22"/>
      <c r="AC14" s="22"/>
      <c r="AD14" s="23"/>
      <c r="AE14" s="23"/>
      <c r="AF14" s="23"/>
      <c r="AG14" s="23"/>
      <c r="AH14" s="23"/>
      <c r="AI14" s="23"/>
      <c r="AJ14" s="23"/>
      <c r="AK14" s="22"/>
      <c r="AL14" s="22"/>
      <c r="AM14" s="23"/>
      <c r="AN14" s="23"/>
      <c r="AO14" s="23"/>
      <c r="AP14" s="23"/>
      <c r="AQ14" s="23"/>
      <c r="AR14" s="23"/>
      <c r="AS14" s="23"/>
      <c r="AT14" s="22"/>
      <c r="AU14" s="22"/>
      <c r="AV14" s="23"/>
      <c r="AW14" s="23"/>
      <c r="AX14" s="23"/>
      <c r="AY14" s="23"/>
      <c r="AZ14" s="23"/>
      <c r="BA14" s="23"/>
      <c r="BB14" s="23"/>
      <c r="BC14" s="3"/>
      <c r="BD14" s="3"/>
      <c r="BE14" s="3"/>
      <c r="BF14" s="24"/>
      <c r="BG14" s="24"/>
      <c r="BH14" s="24"/>
      <c r="BI14" s="24"/>
      <c r="BJ14" s="24"/>
      <c r="BK14" s="24"/>
    </row>
    <row r="15" spans="1:89" ht="16.5" customHeight="1">
      <c r="A15" s="98" t="s">
        <v>3</v>
      </c>
      <c r="B15" s="98"/>
      <c r="C15" s="98"/>
      <c r="D15" s="98"/>
      <c r="E15" s="98"/>
      <c r="F15" s="155" t="s">
        <v>4</v>
      </c>
      <c r="G15" s="155"/>
      <c r="H15" s="155"/>
      <c r="I15" s="98" t="s">
        <v>5</v>
      </c>
      <c r="J15" s="98"/>
      <c r="K15" s="98"/>
      <c r="L15" s="98"/>
      <c r="M15" s="98"/>
      <c r="N15" s="98"/>
      <c r="O15" s="98"/>
      <c r="P15" s="98" t="s">
        <v>6</v>
      </c>
      <c r="Q15" s="98"/>
      <c r="R15" s="98"/>
      <c r="S15" s="98"/>
      <c r="T15" s="98" t="s">
        <v>7</v>
      </c>
      <c r="U15" s="98"/>
      <c r="V15" s="98"/>
      <c r="W15" s="98"/>
      <c r="X15" s="98" t="s">
        <v>8</v>
      </c>
      <c r="Y15" s="98"/>
      <c r="Z15" s="98"/>
      <c r="AA15" s="98"/>
      <c r="AB15" s="98" t="s">
        <v>52</v>
      </c>
      <c r="AC15" s="98"/>
      <c r="AD15" s="98"/>
      <c r="AE15" s="98"/>
      <c r="AF15" s="3"/>
      <c r="AG15" s="98" t="s">
        <v>3</v>
      </c>
      <c r="AH15" s="98"/>
      <c r="AI15" s="98"/>
      <c r="AJ15" s="98"/>
      <c r="AK15" s="98"/>
      <c r="AL15" s="155" t="s">
        <v>4</v>
      </c>
      <c r="AM15" s="155"/>
      <c r="AN15" s="155"/>
      <c r="AO15" s="98" t="s">
        <v>5</v>
      </c>
      <c r="AP15" s="98"/>
      <c r="AQ15" s="98"/>
      <c r="AR15" s="98"/>
      <c r="AS15" s="98"/>
      <c r="AT15" s="98"/>
      <c r="AU15" s="98"/>
      <c r="AV15" s="98" t="s">
        <v>6</v>
      </c>
      <c r="AW15" s="98"/>
      <c r="AX15" s="98"/>
      <c r="AY15" s="98"/>
      <c r="AZ15" s="98" t="s">
        <v>7</v>
      </c>
      <c r="BA15" s="98"/>
      <c r="BB15" s="98"/>
      <c r="BC15" s="98"/>
      <c r="BD15" s="98" t="s">
        <v>8</v>
      </c>
      <c r="BE15" s="98"/>
      <c r="BF15" s="98"/>
      <c r="BG15" s="98"/>
      <c r="BH15" s="98" t="s">
        <v>52</v>
      </c>
      <c r="BI15" s="98"/>
      <c r="BJ15" s="98"/>
      <c r="BK15" s="98"/>
    </row>
    <row r="16" spans="1:89" ht="16.5" customHeight="1">
      <c r="A16" s="93" t="s">
        <v>53</v>
      </c>
      <c r="B16" s="93"/>
      <c r="C16" s="93"/>
      <c r="D16" s="93"/>
      <c r="E16" s="93"/>
      <c r="F16" s="94">
        <v>1</v>
      </c>
      <c r="G16" s="94"/>
      <c r="H16" s="94"/>
      <c r="I16" s="95" t="s">
        <v>9</v>
      </c>
      <c r="J16" s="95"/>
      <c r="K16" s="95"/>
      <c r="L16" s="95"/>
      <c r="M16" s="95"/>
      <c r="N16" s="100" t="s">
        <v>10</v>
      </c>
      <c r="O16" s="100"/>
      <c r="P16" s="99">
        <f>P28+25</f>
        <v>189</v>
      </c>
      <c r="Q16" s="99"/>
      <c r="R16" s="99"/>
      <c r="S16" s="99"/>
      <c r="T16" s="99">
        <f>P16+30</f>
        <v>219</v>
      </c>
      <c r="U16" s="99"/>
      <c r="V16" s="99"/>
      <c r="W16" s="99"/>
      <c r="X16" s="99">
        <f>T16+30</f>
        <v>249</v>
      </c>
      <c r="Y16" s="99"/>
      <c r="Z16" s="99"/>
      <c r="AA16" s="99"/>
      <c r="AB16" s="99">
        <f>X16+30</f>
        <v>279</v>
      </c>
      <c r="AC16" s="99"/>
      <c r="AD16" s="99"/>
      <c r="AE16" s="99"/>
      <c r="AF16" s="3"/>
      <c r="AG16" s="93" t="s">
        <v>54</v>
      </c>
      <c r="AH16" s="93"/>
      <c r="AI16" s="93"/>
      <c r="AJ16" s="93"/>
      <c r="AK16" s="93"/>
      <c r="AL16" s="94">
        <v>2</v>
      </c>
      <c r="AM16" s="94"/>
      <c r="AN16" s="94"/>
      <c r="AO16" s="156" t="s">
        <v>9</v>
      </c>
      <c r="AP16" s="156"/>
      <c r="AQ16" s="156"/>
      <c r="AR16" s="156"/>
      <c r="AS16" s="156"/>
      <c r="AT16" s="100" t="s">
        <v>10</v>
      </c>
      <c r="AU16" s="100"/>
      <c r="AV16" s="99">
        <f>AV28+25</f>
        <v>199</v>
      </c>
      <c r="AW16" s="99"/>
      <c r="AX16" s="99"/>
      <c r="AY16" s="99"/>
      <c r="AZ16" s="99">
        <f>AV16+30</f>
        <v>229</v>
      </c>
      <c r="BA16" s="99"/>
      <c r="BB16" s="99"/>
      <c r="BC16" s="99"/>
      <c r="BD16" s="99">
        <f>AZ16+30</f>
        <v>259</v>
      </c>
      <c r="BE16" s="99"/>
      <c r="BF16" s="99"/>
      <c r="BG16" s="99"/>
      <c r="BH16" s="99">
        <f>BD16+30</f>
        <v>289</v>
      </c>
      <c r="BI16" s="99"/>
      <c r="BJ16" s="99"/>
      <c r="BK16" s="99"/>
      <c r="BN16" s="8"/>
    </row>
    <row r="17" spans="1:67" ht="16.5" customHeight="1">
      <c r="A17" s="93"/>
      <c r="B17" s="93"/>
      <c r="C17" s="93"/>
      <c r="D17" s="93"/>
      <c r="E17" s="93"/>
      <c r="F17" s="94"/>
      <c r="G17" s="94"/>
      <c r="H17" s="94"/>
      <c r="I17" s="95"/>
      <c r="J17" s="95"/>
      <c r="K17" s="95"/>
      <c r="L17" s="95"/>
      <c r="M17" s="95"/>
      <c r="N17" s="100" t="s">
        <v>11</v>
      </c>
      <c r="O17" s="100"/>
      <c r="P17" s="99">
        <f>CEILING(P16*0.95,0.5)</f>
        <v>180</v>
      </c>
      <c r="Q17" s="99"/>
      <c r="R17" s="99"/>
      <c r="S17" s="99"/>
      <c r="T17" s="99">
        <f>CEILING(T16*0.95,0.5)</f>
        <v>208.5</v>
      </c>
      <c r="U17" s="99"/>
      <c r="V17" s="99"/>
      <c r="W17" s="99"/>
      <c r="X17" s="99">
        <f>CEILING(X16*0.95,0.5)</f>
        <v>237</v>
      </c>
      <c r="Y17" s="99"/>
      <c r="Z17" s="99"/>
      <c r="AA17" s="99"/>
      <c r="AB17" s="99">
        <f>CEILING(AB16*0.95,0.5)</f>
        <v>265.5</v>
      </c>
      <c r="AC17" s="99"/>
      <c r="AD17" s="99"/>
      <c r="AE17" s="99"/>
      <c r="AF17" s="3"/>
      <c r="AG17" s="93"/>
      <c r="AH17" s="93"/>
      <c r="AI17" s="93"/>
      <c r="AJ17" s="93"/>
      <c r="AK17" s="93"/>
      <c r="AL17" s="94"/>
      <c r="AM17" s="94"/>
      <c r="AN17" s="94"/>
      <c r="AO17" s="156"/>
      <c r="AP17" s="156"/>
      <c r="AQ17" s="156"/>
      <c r="AR17" s="156"/>
      <c r="AS17" s="156"/>
      <c r="AT17" s="100" t="s">
        <v>11</v>
      </c>
      <c r="AU17" s="100"/>
      <c r="AV17" s="99">
        <f>CEILING(AV16*0.95,0.5)</f>
        <v>189.5</v>
      </c>
      <c r="AW17" s="99"/>
      <c r="AX17" s="99"/>
      <c r="AY17" s="99"/>
      <c r="AZ17" s="99">
        <f>CEILING(AZ16*0.95,0.5)</f>
        <v>218</v>
      </c>
      <c r="BA17" s="99"/>
      <c r="BB17" s="99"/>
      <c r="BC17" s="99"/>
      <c r="BD17" s="99">
        <f>CEILING(BD16*0.95,0.5)</f>
        <v>246.5</v>
      </c>
      <c r="BE17" s="99"/>
      <c r="BF17" s="99"/>
      <c r="BG17" s="99"/>
      <c r="BH17" s="99">
        <f>CEILING(BH16*0.95,0.5)</f>
        <v>275</v>
      </c>
      <c r="BI17" s="99"/>
      <c r="BJ17" s="99"/>
      <c r="BK17" s="99"/>
      <c r="BN17" s="8"/>
    </row>
    <row r="18" spans="1:67" ht="16.5" customHeight="1">
      <c r="A18" s="93"/>
      <c r="B18" s="93"/>
      <c r="C18" s="93"/>
      <c r="D18" s="93"/>
      <c r="E18" s="93"/>
      <c r="F18" s="94"/>
      <c r="G18" s="94"/>
      <c r="H18" s="94"/>
      <c r="I18" s="95"/>
      <c r="J18" s="95"/>
      <c r="K18" s="95"/>
      <c r="L18" s="95"/>
      <c r="M18" s="95"/>
      <c r="N18" s="100" t="s">
        <v>12</v>
      </c>
      <c r="O18" s="100"/>
      <c r="P18" s="99">
        <f>P30+25</f>
        <v>174</v>
      </c>
      <c r="Q18" s="99"/>
      <c r="R18" s="99"/>
      <c r="S18" s="99"/>
      <c r="T18" s="99">
        <f>P18+30</f>
        <v>204</v>
      </c>
      <c r="U18" s="99"/>
      <c r="V18" s="99"/>
      <c r="W18" s="99"/>
      <c r="X18" s="99">
        <f>T18+30</f>
        <v>234</v>
      </c>
      <c r="Y18" s="99"/>
      <c r="Z18" s="99"/>
      <c r="AA18" s="99"/>
      <c r="AB18" s="99">
        <f>X18+30</f>
        <v>264</v>
      </c>
      <c r="AC18" s="99"/>
      <c r="AD18" s="99"/>
      <c r="AE18" s="99"/>
      <c r="AF18" s="3"/>
      <c r="AG18" s="93"/>
      <c r="AH18" s="93"/>
      <c r="AI18" s="93"/>
      <c r="AJ18" s="93"/>
      <c r="AK18" s="93"/>
      <c r="AL18" s="94"/>
      <c r="AM18" s="94"/>
      <c r="AN18" s="94"/>
      <c r="AO18" s="156"/>
      <c r="AP18" s="156"/>
      <c r="AQ18" s="156"/>
      <c r="AR18" s="156"/>
      <c r="AS18" s="156"/>
      <c r="AT18" s="100" t="s">
        <v>12</v>
      </c>
      <c r="AU18" s="100"/>
      <c r="AV18" s="99">
        <f>AV30+25</f>
        <v>182.5</v>
      </c>
      <c r="AW18" s="99"/>
      <c r="AX18" s="99"/>
      <c r="AY18" s="99"/>
      <c r="AZ18" s="99">
        <f>AV18+30</f>
        <v>212.5</v>
      </c>
      <c r="BA18" s="99"/>
      <c r="BB18" s="99"/>
      <c r="BC18" s="99"/>
      <c r="BD18" s="99">
        <f>AZ18+30</f>
        <v>242.5</v>
      </c>
      <c r="BE18" s="99"/>
      <c r="BF18" s="99"/>
      <c r="BG18" s="99"/>
      <c r="BH18" s="99">
        <f>BD18+30</f>
        <v>272.5</v>
      </c>
      <c r="BI18" s="99"/>
      <c r="BJ18" s="99"/>
      <c r="BK18" s="99"/>
      <c r="BN18" s="8"/>
    </row>
    <row r="19" spans="1:67" ht="16.5" customHeight="1">
      <c r="A19" s="93"/>
      <c r="B19" s="93"/>
      <c r="C19" s="93"/>
      <c r="D19" s="93"/>
      <c r="E19" s="93"/>
      <c r="F19" s="94"/>
      <c r="G19" s="94"/>
      <c r="H19" s="94"/>
      <c r="I19" s="97" t="s">
        <v>55</v>
      </c>
      <c r="J19" s="97"/>
      <c r="K19" s="97"/>
      <c r="L19" s="97"/>
      <c r="M19" s="97"/>
      <c r="N19" s="98" t="s">
        <v>10</v>
      </c>
      <c r="O19" s="98"/>
      <c r="P19" s="96">
        <f>CEILING(P16*0.28+5,0.5)</f>
        <v>58</v>
      </c>
      <c r="Q19" s="96"/>
      <c r="R19" s="96"/>
      <c r="S19" s="96"/>
      <c r="T19" s="96">
        <f>CEILING(T16*0.28+5,0.5)</f>
        <v>66.5</v>
      </c>
      <c r="U19" s="96"/>
      <c r="V19" s="96"/>
      <c r="W19" s="96"/>
      <c r="X19" s="96">
        <f>CEILING(X16*0.28+5,0.5)</f>
        <v>75</v>
      </c>
      <c r="Y19" s="96"/>
      <c r="Z19" s="96"/>
      <c r="AA19" s="96"/>
      <c r="AB19" s="96">
        <f>CEILING(AB16*0.28+5,0.5)</f>
        <v>83.5</v>
      </c>
      <c r="AC19" s="96"/>
      <c r="AD19" s="96"/>
      <c r="AE19" s="96"/>
      <c r="AF19" s="3"/>
      <c r="AG19" s="93"/>
      <c r="AH19" s="93"/>
      <c r="AI19" s="93"/>
      <c r="AJ19" s="93"/>
      <c r="AK19" s="93"/>
      <c r="AL19" s="94"/>
      <c r="AM19" s="94"/>
      <c r="AN19" s="94"/>
      <c r="AO19" s="97" t="s">
        <v>13</v>
      </c>
      <c r="AP19" s="97"/>
      <c r="AQ19" s="97"/>
      <c r="AR19" s="97"/>
      <c r="AS19" s="97"/>
      <c r="AT19" s="98" t="s">
        <v>10</v>
      </c>
      <c r="AU19" s="98"/>
      <c r="AV19" s="96">
        <f>CEILING(AV16*0.35+5,0.5)</f>
        <v>75</v>
      </c>
      <c r="AW19" s="96"/>
      <c r="AX19" s="96"/>
      <c r="AY19" s="96"/>
      <c r="AZ19" s="96">
        <f>CEILING(AZ16*0.35+5,0.5)</f>
        <v>85.5</v>
      </c>
      <c r="BA19" s="96"/>
      <c r="BB19" s="96"/>
      <c r="BC19" s="96"/>
      <c r="BD19" s="96">
        <f>CEILING(BD16*0.35+5,0.5)</f>
        <v>96</v>
      </c>
      <c r="BE19" s="96"/>
      <c r="BF19" s="96"/>
      <c r="BG19" s="96"/>
      <c r="BH19" s="96">
        <f>CEILING(BH16*0.35+5,0.5)</f>
        <v>106.5</v>
      </c>
      <c r="BI19" s="96"/>
      <c r="BJ19" s="96"/>
      <c r="BK19" s="96"/>
      <c r="BN19" s="8"/>
    </row>
    <row r="20" spans="1:67" ht="16.5" customHeight="1">
      <c r="A20" s="93"/>
      <c r="B20" s="93"/>
      <c r="C20" s="93"/>
      <c r="D20" s="93"/>
      <c r="E20" s="93"/>
      <c r="F20" s="94"/>
      <c r="G20" s="94"/>
      <c r="H20" s="94"/>
      <c r="I20" s="97"/>
      <c r="J20" s="97"/>
      <c r="K20" s="157"/>
      <c r="L20" s="97"/>
      <c r="M20" s="97"/>
      <c r="N20" s="98" t="s">
        <v>11</v>
      </c>
      <c r="O20" s="98"/>
      <c r="P20" s="96">
        <f>CEILING(P19*0.95,0.5)</f>
        <v>55.5</v>
      </c>
      <c r="Q20" s="96"/>
      <c r="R20" s="96"/>
      <c r="S20" s="96"/>
      <c r="T20" s="96">
        <f>CEILING(T19*0.95,0.5)</f>
        <v>63.5</v>
      </c>
      <c r="U20" s="96"/>
      <c r="V20" s="96"/>
      <c r="W20" s="96"/>
      <c r="X20" s="96">
        <f>CEILING(X19*0.95,0.5)</f>
        <v>71.5</v>
      </c>
      <c r="Y20" s="96"/>
      <c r="Z20" s="96"/>
      <c r="AA20" s="96"/>
      <c r="AB20" s="96">
        <f>CEILING(AB19*0.95,0.5)</f>
        <v>79.5</v>
      </c>
      <c r="AC20" s="96"/>
      <c r="AD20" s="96"/>
      <c r="AE20" s="96"/>
      <c r="AF20" s="3"/>
      <c r="AG20" s="93"/>
      <c r="AH20" s="93"/>
      <c r="AI20" s="93"/>
      <c r="AJ20" s="93"/>
      <c r="AK20" s="93"/>
      <c r="AL20" s="94"/>
      <c r="AM20" s="94"/>
      <c r="AN20" s="94"/>
      <c r="AO20" s="97"/>
      <c r="AP20" s="97"/>
      <c r="AQ20" s="97"/>
      <c r="AR20" s="97"/>
      <c r="AS20" s="97"/>
      <c r="AT20" s="98" t="s">
        <v>11</v>
      </c>
      <c r="AU20" s="98"/>
      <c r="AV20" s="96">
        <f>CEILING(AV19*0.95,0.5)</f>
        <v>71.5</v>
      </c>
      <c r="AW20" s="96"/>
      <c r="AX20" s="96"/>
      <c r="AY20" s="96"/>
      <c r="AZ20" s="96">
        <f>CEILING(AZ19*0.95,0.5)</f>
        <v>81.5</v>
      </c>
      <c r="BA20" s="96"/>
      <c r="BB20" s="96"/>
      <c r="BC20" s="96"/>
      <c r="BD20" s="96">
        <f>CEILING(BD19*0.95,0.5)</f>
        <v>91.5</v>
      </c>
      <c r="BE20" s="96"/>
      <c r="BF20" s="96"/>
      <c r="BG20" s="96"/>
      <c r="BH20" s="96">
        <f>CEILING(BH19*0.95,0.5)</f>
        <v>101.5</v>
      </c>
      <c r="BI20" s="96"/>
      <c r="BJ20" s="96"/>
      <c r="BK20" s="96"/>
    </row>
    <row r="21" spans="1:67" ht="16.5" customHeight="1">
      <c r="A21" s="93"/>
      <c r="B21" s="93"/>
      <c r="C21" s="93"/>
      <c r="D21" s="93"/>
      <c r="E21" s="93"/>
      <c r="F21" s="94"/>
      <c r="G21" s="94"/>
      <c r="H21" s="94"/>
      <c r="I21" s="97"/>
      <c r="J21" s="97"/>
      <c r="K21" s="97"/>
      <c r="L21" s="97"/>
      <c r="M21" s="97"/>
      <c r="N21" s="98" t="s">
        <v>12</v>
      </c>
      <c r="O21" s="98"/>
      <c r="P21" s="96">
        <f>CEILING(P18*0.28+5,0.5)</f>
        <v>54</v>
      </c>
      <c r="Q21" s="96"/>
      <c r="R21" s="96"/>
      <c r="S21" s="96"/>
      <c r="T21" s="96">
        <f>CEILING(T18*0.28+5,0.5)</f>
        <v>62.5</v>
      </c>
      <c r="U21" s="96"/>
      <c r="V21" s="96"/>
      <c r="W21" s="96"/>
      <c r="X21" s="96">
        <f>CEILING(X18*0.28+5,0.5)</f>
        <v>71</v>
      </c>
      <c r="Y21" s="96"/>
      <c r="Z21" s="96"/>
      <c r="AA21" s="96"/>
      <c r="AB21" s="96">
        <f>CEILING(AB18*0.28+5,0.5)</f>
        <v>79</v>
      </c>
      <c r="AC21" s="96"/>
      <c r="AD21" s="96"/>
      <c r="AE21" s="96"/>
      <c r="AF21" s="3"/>
      <c r="AG21" s="93"/>
      <c r="AH21" s="93"/>
      <c r="AI21" s="93"/>
      <c r="AJ21" s="93"/>
      <c r="AK21" s="93"/>
      <c r="AL21" s="94"/>
      <c r="AM21" s="94"/>
      <c r="AN21" s="94"/>
      <c r="AO21" s="97"/>
      <c r="AP21" s="97"/>
      <c r="AQ21" s="97"/>
      <c r="AR21" s="97"/>
      <c r="AS21" s="97"/>
      <c r="AT21" s="98" t="s">
        <v>12</v>
      </c>
      <c r="AU21" s="98"/>
      <c r="AV21" s="96">
        <f>CEILING(AV18*0.35+5,0.5)</f>
        <v>69</v>
      </c>
      <c r="AW21" s="96"/>
      <c r="AX21" s="96"/>
      <c r="AY21" s="96"/>
      <c r="AZ21" s="96">
        <f>CEILING(AZ18*0.35+5,0.5)</f>
        <v>79.5</v>
      </c>
      <c r="BA21" s="96"/>
      <c r="BB21" s="96"/>
      <c r="BC21" s="96"/>
      <c r="BD21" s="96">
        <f>CEILING(BD18*0.35+5,0.5)</f>
        <v>90</v>
      </c>
      <c r="BE21" s="96"/>
      <c r="BF21" s="96"/>
      <c r="BG21" s="96"/>
      <c r="BH21" s="96">
        <f>CEILING(BH18*0.35+5,0.5)</f>
        <v>100.5</v>
      </c>
      <c r="BI21" s="96"/>
      <c r="BJ21" s="96"/>
      <c r="BK21" s="96"/>
    </row>
    <row r="22" spans="1:67" ht="16.5" customHeight="1">
      <c r="A22" s="93"/>
      <c r="B22" s="93"/>
      <c r="C22" s="93"/>
      <c r="D22" s="93"/>
      <c r="E22" s="93"/>
      <c r="F22" s="94"/>
      <c r="G22" s="94"/>
      <c r="H22" s="94"/>
      <c r="I22" s="95" t="s">
        <v>15</v>
      </c>
      <c r="J22" s="95"/>
      <c r="K22" s="95"/>
      <c r="L22" s="95"/>
      <c r="M22" s="95"/>
      <c r="N22" s="100" t="s">
        <v>10</v>
      </c>
      <c r="O22" s="100"/>
      <c r="P22" s="99">
        <f>P28+15</f>
        <v>179</v>
      </c>
      <c r="Q22" s="99"/>
      <c r="R22" s="99"/>
      <c r="S22" s="99"/>
      <c r="T22" s="99">
        <f>P22+15</f>
        <v>194</v>
      </c>
      <c r="U22" s="99"/>
      <c r="V22" s="99"/>
      <c r="W22" s="99"/>
      <c r="X22" s="99">
        <f>T22+15</f>
        <v>209</v>
      </c>
      <c r="Y22" s="99"/>
      <c r="Z22" s="99"/>
      <c r="AA22" s="99"/>
      <c r="AB22" s="99">
        <f>X22+15</f>
        <v>224</v>
      </c>
      <c r="AC22" s="99"/>
      <c r="AD22" s="99"/>
      <c r="AE22" s="99"/>
      <c r="AG22" s="93"/>
      <c r="AH22" s="93"/>
      <c r="AI22" s="93"/>
      <c r="AJ22" s="93"/>
      <c r="AK22" s="93"/>
      <c r="AL22" s="94"/>
      <c r="AM22" s="94"/>
      <c r="AN22" s="94"/>
      <c r="AO22" s="156" t="s">
        <v>15</v>
      </c>
      <c r="AP22" s="156"/>
      <c r="AQ22" s="156"/>
      <c r="AR22" s="156"/>
      <c r="AS22" s="156"/>
      <c r="AT22" s="100" t="s">
        <v>10</v>
      </c>
      <c r="AU22" s="100"/>
      <c r="AV22" s="99">
        <f>AV28+15</f>
        <v>189</v>
      </c>
      <c r="AW22" s="99"/>
      <c r="AX22" s="99"/>
      <c r="AY22" s="99"/>
      <c r="AZ22" s="99">
        <f>AV22+15</f>
        <v>204</v>
      </c>
      <c r="BA22" s="99"/>
      <c r="BB22" s="99"/>
      <c r="BC22" s="99"/>
      <c r="BD22" s="99">
        <f>AZ22+15</f>
        <v>219</v>
      </c>
      <c r="BE22" s="99"/>
      <c r="BF22" s="99"/>
      <c r="BG22" s="99"/>
      <c r="BH22" s="99">
        <f>BD22+15</f>
        <v>234</v>
      </c>
      <c r="BI22" s="99"/>
      <c r="BJ22" s="99"/>
      <c r="BK22" s="99"/>
      <c r="BO22" s="25"/>
    </row>
    <row r="23" spans="1:67" ht="16.5" customHeight="1">
      <c r="A23" s="93"/>
      <c r="B23" s="93"/>
      <c r="C23" s="93"/>
      <c r="D23" s="93"/>
      <c r="E23" s="93"/>
      <c r="F23" s="94"/>
      <c r="G23" s="94"/>
      <c r="H23" s="94"/>
      <c r="I23" s="95"/>
      <c r="J23" s="95"/>
      <c r="K23" s="95"/>
      <c r="L23" s="95"/>
      <c r="M23" s="95"/>
      <c r="N23" s="100" t="s">
        <v>11</v>
      </c>
      <c r="O23" s="100"/>
      <c r="P23" s="99">
        <f>CEILING(P22*0.95,0.5)</f>
        <v>170.5</v>
      </c>
      <c r="Q23" s="99"/>
      <c r="R23" s="99"/>
      <c r="S23" s="99"/>
      <c r="T23" s="99">
        <f>CEILING(T22*0.95,0.5)</f>
        <v>184.5</v>
      </c>
      <c r="U23" s="99"/>
      <c r="V23" s="99"/>
      <c r="W23" s="99"/>
      <c r="X23" s="99">
        <f>CEILING(X22*0.95,0.5)</f>
        <v>199</v>
      </c>
      <c r="Y23" s="99"/>
      <c r="Z23" s="99"/>
      <c r="AA23" s="99"/>
      <c r="AB23" s="99">
        <f>CEILING(AB22*0.95,0.5)</f>
        <v>213</v>
      </c>
      <c r="AC23" s="99"/>
      <c r="AD23" s="99"/>
      <c r="AE23" s="99"/>
      <c r="AG23" s="93"/>
      <c r="AH23" s="93"/>
      <c r="AI23" s="93"/>
      <c r="AJ23" s="93"/>
      <c r="AK23" s="93"/>
      <c r="AL23" s="94"/>
      <c r="AM23" s="94"/>
      <c r="AN23" s="94"/>
      <c r="AO23" s="156"/>
      <c r="AP23" s="156"/>
      <c r="AQ23" s="156"/>
      <c r="AR23" s="156"/>
      <c r="AS23" s="156"/>
      <c r="AT23" s="100" t="s">
        <v>11</v>
      </c>
      <c r="AU23" s="100"/>
      <c r="AV23" s="99">
        <f>CEILING(AV22*0.95,0.5)</f>
        <v>180</v>
      </c>
      <c r="AW23" s="99"/>
      <c r="AX23" s="99"/>
      <c r="AY23" s="99"/>
      <c r="AZ23" s="99">
        <f>CEILING(AZ22*0.95,0.5)</f>
        <v>194</v>
      </c>
      <c r="BA23" s="99"/>
      <c r="BB23" s="99"/>
      <c r="BC23" s="99"/>
      <c r="BD23" s="99">
        <f>CEILING(BD22*0.95,0.5)</f>
        <v>208.5</v>
      </c>
      <c r="BE23" s="99"/>
      <c r="BF23" s="99"/>
      <c r="BG23" s="99"/>
      <c r="BH23" s="99">
        <f>CEILING(BH22*0.95,0.5)</f>
        <v>222.5</v>
      </c>
      <c r="BI23" s="99"/>
      <c r="BJ23" s="99"/>
      <c r="BK23" s="99"/>
    </row>
    <row r="24" spans="1:67" ht="16.5" customHeight="1">
      <c r="A24" s="93"/>
      <c r="B24" s="93"/>
      <c r="C24" s="93"/>
      <c r="D24" s="93"/>
      <c r="E24" s="93"/>
      <c r="F24" s="94"/>
      <c r="G24" s="94"/>
      <c r="H24" s="94"/>
      <c r="I24" s="95"/>
      <c r="J24" s="95"/>
      <c r="K24" s="95"/>
      <c r="L24" s="95"/>
      <c r="M24" s="95"/>
      <c r="N24" s="100" t="s">
        <v>12</v>
      </c>
      <c r="O24" s="100"/>
      <c r="P24" s="99">
        <f>P30+15</f>
        <v>164</v>
      </c>
      <c r="Q24" s="99"/>
      <c r="R24" s="99"/>
      <c r="S24" s="99"/>
      <c r="T24" s="99">
        <f>P24+15</f>
        <v>179</v>
      </c>
      <c r="U24" s="99"/>
      <c r="V24" s="99"/>
      <c r="W24" s="99"/>
      <c r="X24" s="99">
        <f>T24+15</f>
        <v>194</v>
      </c>
      <c r="Y24" s="99"/>
      <c r="Z24" s="99"/>
      <c r="AA24" s="99"/>
      <c r="AB24" s="99">
        <f>X24+15</f>
        <v>209</v>
      </c>
      <c r="AC24" s="99"/>
      <c r="AD24" s="99"/>
      <c r="AE24" s="99"/>
      <c r="AG24" s="93"/>
      <c r="AH24" s="93"/>
      <c r="AI24" s="93"/>
      <c r="AJ24" s="93"/>
      <c r="AK24" s="93"/>
      <c r="AL24" s="94"/>
      <c r="AM24" s="94"/>
      <c r="AN24" s="94"/>
      <c r="AO24" s="156"/>
      <c r="AP24" s="156"/>
      <c r="AQ24" s="156"/>
      <c r="AR24" s="156"/>
      <c r="AS24" s="156"/>
      <c r="AT24" s="100" t="s">
        <v>12</v>
      </c>
      <c r="AU24" s="100"/>
      <c r="AV24" s="99">
        <f>AV30+15</f>
        <v>172.5</v>
      </c>
      <c r="AW24" s="99"/>
      <c r="AX24" s="99"/>
      <c r="AY24" s="99"/>
      <c r="AZ24" s="99">
        <f>AV24+15</f>
        <v>187.5</v>
      </c>
      <c r="BA24" s="99"/>
      <c r="BB24" s="99"/>
      <c r="BC24" s="99"/>
      <c r="BD24" s="99">
        <f>AZ24+15</f>
        <v>202.5</v>
      </c>
      <c r="BE24" s="99"/>
      <c r="BF24" s="99"/>
      <c r="BG24" s="99"/>
      <c r="BH24" s="99">
        <f>BD24+15</f>
        <v>217.5</v>
      </c>
      <c r="BI24" s="99"/>
      <c r="BJ24" s="99"/>
      <c r="BK24" s="99"/>
    </row>
    <row r="25" spans="1:67" ht="16.5" customHeight="1">
      <c r="A25" s="93"/>
      <c r="B25" s="93"/>
      <c r="C25" s="93"/>
      <c r="D25" s="93"/>
      <c r="E25" s="93"/>
      <c r="F25" s="94"/>
      <c r="G25" s="94"/>
      <c r="H25" s="94"/>
      <c r="I25" s="97" t="s">
        <v>56</v>
      </c>
      <c r="J25" s="97"/>
      <c r="K25" s="97"/>
      <c r="L25" s="97"/>
      <c r="M25" s="97"/>
      <c r="N25" s="98" t="s">
        <v>10</v>
      </c>
      <c r="O25" s="98"/>
      <c r="P25" s="96">
        <f>CEILING(P22*0.28+5,0.5)</f>
        <v>55.5</v>
      </c>
      <c r="Q25" s="96"/>
      <c r="R25" s="96"/>
      <c r="S25" s="96"/>
      <c r="T25" s="96">
        <f>CEILING(T22*0.28+5,0.5)</f>
        <v>59.5</v>
      </c>
      <c r="U25" s="96"/>
      <c r="V25" s="96"/>
      <c r="W25" s="96"/>
      <c r="X25" s="96">
        <f>CEILING(X22*0.28+5,0.5)</f>
        <v>64</v>
      </c>
      <c r="Y25" s="96"/>
      <c r="Z25" s="96"/>
      <c r="AA25" s="96"/>
      <c r="AB25" s="96">
        <f>CEILING(AB22*0.28+5,0.5)</f>
        <v>68</v>
      </c>
      <c r="AC25" s="96"/>
      <c r="AD25" s="96"/>
      <c r="AE25" s="96"/>
      <c r="AG25" s="93"/>
      <c r="AH25" s="93"/>
      <c r="AI25" s="93"/>
      <c r="AJ25" s="93"/>
      <c r="AK25" s="93"/>
      <c r="AL25" s="94"/>
      <c r="AM25" s="94"/>
      <c r="AN25" s="94"/>
      <c r="AO25" s="97" t="s">
        <v>16</v>
      </c>
      <c r="AP25" s="97"/>
      <c r="AQ25" s="97"/>
      <c r="AR25" s="97"/>
      <c r="AS25" s="97"/>
      <c r="AT25" s="98" t="s">
        <v>10</v>
      </c>
      <c r="AU25" s="98"/>
      <c r="AV25" s="96">
        <f>CEILING(AV22*0.35+5,0.5)</f>
        <v>71.5</v>
      </c>
      <c r="AW25" s="96"/>
      <c r="AX25" s="96"/>
      <c r="AY25" s="96"/>
      <c r="AZ25" s="96">
        <f>CEILING(AZ22*0.35+5,0.5)</f>
        <v>76.5</v>
      </c>
      <c r="BA25" s="96"/>
      <c r="BB25" s="96"/>
      <c r="BC25" s="96"/>
      <c r="BD25" s="96">
        <f>CEILING(BD22*0.35+5,0.5)</f>
        <v>82</v>
      </c>
      <c r="BE25" s="96"/>
      <c r="BF25" s="96"/>
      <c r="BG25" s="96"/>
      <c r="BH25" s="96">
        <f>CEILING(BH22*0.35+5,0.5)</f>
        <v>87</v>
      </c>
      <c r="BI25" s="96"/>
      <c r="BJ25" s="96"/>
      <c r="BK25" s="96"/>
    </row>
    <row r="26" spans="1:67" ht="16.5" customHeight="1">
      <c r="A26" s="93"/>
      <c r="B26" s="93"/>
      <c r="C26" s="93"/>
      <c r="D26" s="93"/>
      <c r="E26" s="93"/>
      <c r="F26" s="94"/>
      <c r="G26" s="94"/>
      <c r="H26" s="94"/>
      <c r="I26" s="97"/>
      <c r="J26" s="97"/>
      <c r="K26" s="157"/>
      <c r="L26" s="97"/>
      <c r="M26" s="97"/>
      <c r="N26" s="98" t="s">
        <v>11</v>
      </c>
      <c r="O26" s="98"/>
      <c r="P26" s="96">
        <f>CEILING(P25*0.95,0.5)</f>
        <v>53</v>
      </c>
      <c r="Q26" s="96"/>
      <c r="R26" s="96"/>
      <c r="S26" s="96"/>
      <c r="T26" s="96">
        <f>CEILING(T25*0.95,0.5)</f>
        <v>57</v>
      </c>
      <c r="U26" s="96"/>
      <c r="V26" s="96"/>
      <c r="W26" s="96"/>
      <c r="X26" s="96">
        <f>CEILING(X25*0.95,0.5)</f>
        <v>61</v>
      </c>
      <c r="Y26" s="96"/>
      <c r="Z26" s="96"/>
      <c r="AA26" s="96"/>
      <c r="AB26" s="96">
        <f>CEILING(AB25*0.95,0.5)</f>
        <v>65</v>
      </c>
      <c r="AC26" s="96"/>
      <c r="AD26" s="96"/>
      <c r="AE26" s="96"/>
      <c r="AG26" s="93"/>
      <c r="AH26" s="93"/>
      <c r="AI26" s="93"/>
      <c r="AJ26" s="93"/>
      <c r="AK26" s="93"/>
      <c r="AL26" s="94"/>
      <c r="AM26" s="94"/>
      <c r="AN26" s="94"/>
      <c r="AO26" s="97"/>
      <c r="AP26" s="97"/>
      <c r="AQ26" s="97"/>
      <c r="AR26" s="97"/>
      <c r="AS26" s="97"/>
      <c r="AT26" s="98" t="s">
        <v>11</v>
      </c>
      <c r="AU26" s="98"/>
      <c r="AV26" s="96">
        <f>CEILING(AV25*0.95,0.5)</f>
        <v>68</v>
      </c>
      <c r="AW26" s="96"/>
      <c r="AX26" s="96"/>
      <c r="AY26" s="96"/>
      <c r="AZ26" s="96">
        <f>CEILING(AZ25*0.95,0.5)</f>
        <v>73</v>
      </c>
      <c r="BA26" s="96"/>
      <c r="BB26" s="96"/>
      <c r="BC26" s="96"/>
      <c r="BD26" s="96">
        <f>CEILING(BD25*0.95,0.5)</f>
        <v>78</v>
      </c>
      <c r="BE26" s="96"/>
      <c r="BF26" s="96"/>
      <c r="BG26" s="96"/>
      <c r="BH26" s="96">
        <f>CEILING(BH25*0.95,0.5)</f>
        <v>83</v>
      </c>
      <c r="BI26" s="96"/>
      <c r="BJ26" s="96"/>
      <c r="BK26" s="96"/>
    </row>
    <row r="27" spans="1:67" ht="16.5" customHeight="1">
      <c r="A27" s="93"/>
      <c r="B27" s="93"/>
      <c r="C27" s="93"/>
      <c r="D27" s="93"/>
      <c r="E27" s="93"/>
      <c r="F27" s="94"/>
      <c r="G27" s="94"/>
      <c r="H27" s="94"/>
      <c r="I27" s="97"/>
      <c r="J27" s="97"/>
      <c r="K27" s="97"/>
      <c r="L27" s="97"/>
      <c r="M27" s="97"/>
      <c r="N27" s="98" t="s">
        <v>12</v>
      </c>
      <c r="O27" s="98"/>
      <c r="P27" s="96">
        <f>CEILING(P24*0.28+5,0.5)</f>
        <v>51</v>
      </c>
      <c r="Q27" s="96"/>
      <c r="R27" s="96"/>
      <c r="S27" s="96"/>
      <c r="T27" s="96">
        <f>CEILING(T24*0.28+5,0.5)</f>
        <v>55.5</v>
      </c>
      <c r="U27" s="96"/>
      <c r="V27" s="96"/>
      <c r="W27" s="96"/>
      <c r="X27" s="96">
        <f>CEILING(X24*0.28+5,0.5)</f>
        <v>59.5</v>
      </c>
      <c r="Y27" s="96"/>
      <c r="Z27" s="96"/>
      <c r="AA27" s="96"/>
      <c r="AB27" s="96">
        <f>CEILING(AB24*0.28+5,0.5)</f>
        <v>64</v>
      </c>
      <c r="AC27" s="96"/>
      <c r="AD27" s="96"/>
      <c r="AE27" s="96"/>
      <c r="AG27" s="93"/>
      <c r="AH27" s="93"/>
      <c r="AI27" s="93"/>
      <c r="AJ27" s="93"/>
      <c r="AK27" s="93"/>
      <c r="AL27" s="94"/>
      <c r="AM27" s="94"/>
      <c r="AN27" s="94"/>
      <c r="AO27" s="97"/>
      <c r="AP27" s="97"/>
      <c r="AQ27" s="97"/>
      <c r="AR27" s="97"/>
      <c r="AS27" s="97"/>
      <c r="AT27" s="98" t="s">
        <v>12</v>
      </c>
      <c r="AU27" s="98"/>
      <c r="AV27" s="96">
        <f>CEILING(AV24*0.35+5,0.5)</f>
        <v>65.5</v>
      </c>
      <c r="AW27" s="96"/>
      <c r="AX27" s="96"/>
      <c r="AY27" s="96"/>
      <c r="AZ27" s="96">
        <f>CEILING(AZ24*0.35+5,0.5)</f>
        <v>71</v>
      </c>
      <c r="BA27" s="96"/>
      <c r="BB27" s="96"/>
      <c r="BC27" s="96"/>
      <c r="BD27" s="96">
        <f>CEILING(BD24*0.35+5,0.5)</f>
        <v>76</v>
      </c>
      <c r="BE27" s="96"/>
      <c r="BF27" s="96"/>
      <c r="BG27" s="96"/>
      <c r="BH27" s="96">
        <f>CEILING(BH24*0.35+5,0.5)</f>
        <v>81.5</v>
      </c>
      <c r="BI27" s="96"/>
      <c r="BJ27" s="96"/>
      <c r="BK27" s="96"/>
    </row>
    <row r="28" spans="1:67" ht="16.5" customHeight="1">
      <c r="A28" s="93"/>
      <c r="B28" s="93"/>
      <c r="C28" s="93"/>
      <c r="D28" s="93"/>
      <c r="E28" s="93"/>
      <c r="F28" s="94"/>
      <c r="G28" s="94"/>
      <c r="H28" s="94"/>
      <c r="I28" s="95" t="s">
        <v>18</v>
      </c>
      <c r="J28" s="95"/>
      <c r="K28" s="95"/>
      <c r="L28" s="95"/>
      <c r="M28" s="95"/>
      <c r="N28" s="100" t="s">
        <v>10</v>
      </c>
      <c r="O28" s="100"/>
      <c r="P28" s="101">
        <f>CEILING(126*1.3,0.5)</f>
        <v>164</v>
      </c>
      <c r="Q28" s="101"/>
      <c r="R28" s="101"/>
      <c r="S28" s="101"/>
      <c r="T28" s="99">
        <f>P28+10</f>
        <v>174</v>
      </c>
      <c r="U28" s="99"/>
      <c r="V28" s="99"/>
      <c r="W28" s="99"/>
      <c r="X28" s="99">
        <f>T28+10</f>
        <v>184</v>
      </c>
      <c r="Y28" s="99"/>
      <c r="Z28" s="99"/>
      <c r="AA28" s="99"/>
      <c r="AB28" s="99">
        <f>X28+10</f>
        <v>194</v>
      </c>
      <c r="AC28" s="99"/>
      <c r="AD28" s="99"/>
      <c r="AE28" s="99"/>
      <c r="AG28" s="93"/>
      <c r="AH28" s="93"/>
      <c r="AI28" s="93"/>
      <c r="AJ28" s="93"/>
      <c r="AK28" s="93"/>
      <c r="AL28" s="94"/>
      <c r="AM28" s="94"/>
      <c r="AN28" s="94"/>
      <c r="AO28" s="156" t="s">
        <v>18</v>
      </c>
      <c r="AP28" s="156"/>
      <c r="AQ28" s="156"/>
      <c r="AR28" s="156"/>
      <c r="AS28" s="156"/>
      <c r="AT28" s="100" t="s">
        <v>10</v>
      </c>
      <c r="AU28" s="100"/>
      <c r="AV28" s="101">
        <f>CEILING(133.5*1.3,0.5)</f>
        <v>174</v>
      </c>
      <c r="AW28" s="101"/>
      <c r="AX28" s="101"/>
      <c r="AY28" s="101"/>
      <c r="AZ28" s="99">
        <f>AV28+10</f>
        <v>184</v>
      </c>
      <c r="BA28" s="99"/>
      <c r="BB28" s="99"/>
      <c r="BC28" s="99"/>
      <c r="BD28" s="99">
        <f>AZ28+10</f>
        <v>194</v>
      </c>
      <c r="BE28" s="99"/>
      <c r="BF28" s="99"/>
      <c r="BG28" s="99"/>
      <c r="BH28" s="99">
        <f>BD28+10</f>
        <v>204</v>
      </c>
      <c r="BI28" s="99"/>
      <c r="BJ28" s="99"/>
      <c r="BK28" s="99"/>
    </row>
    <row r="29" spans="1:67" ht="16.5" customHeight="1">
      <c r="A29" s="93"/>
      <c r="B29" s="93"/>
      <c r="C29" s="93"/>
      <c r="D29" s="93"/>
      <c r="E29" s="93"/>
      <c r="F29" s="94"/>
      <c r="G29" s="94"/>
      <c r="H29" s="94"/>
      <c r="I29" s="95"/>
      <c r="J29" s="95"/>
      <c r="K29" s="95"/>
      <c r="L29" s="95"/>
      <c r="M29" s="95"/>
      <c r="N29" s="100" t="s">
        <v>11</v>
      </c>
      <c r="O29" s="100"/>
      <c r="P29" s="99">
        <f>CEILING(P28*0.95,0.5)</f>
        <v>156</v>
      </c>
      <c r="Q29" s="99"/>
      <c r="R29" s="99"/>
      <c r="S29" s="99"/>
      <c r="T29" s="99">
        <f>CEILING(T28*0.95,0.5)</f>
        <v>165.5</v>
      </c>
      <c r="U29" s="99"/>
      <c r="V29" s="99"/>
      <c r="W29" s="99"/>
      <c r="X29" s="99">
        <f>CEILING(X28*0.95,0.5)</f>
        <v>175</v>
      </c>
      <c r="Y29" s="99"/>
      <c r="Z29" s="99"/>
      <c r="AA29" s="99"/>
      <c r="AB29" s="99">
        <f>CEILING(AB28*0.95,0.5)</f>
        <v>184.5</v>
      </c>
      <c r="AC29" s="99"/>
      <c r="AD29" s="99"/>
      <c r="AE29" s="99"/>
      <c r="AG29" s="93"/>
      <c r="AH29" s="93"/>
      <c r="AI29" s="93"/>
      <c r="AJ29" s="93"/>
      <c r="AK29" s="93"/>
      <c r="AL29" s="94"/>
      <c r="AM29" s="94"/>
      <c r="AN29" s="94"/>
      <c r="AO29" s="156"/>
      <c r="AP29" s="156"/>
      <c r="AQ29" s="156"/>
      <c r="AR29" s="156"/>
      <c r="AS29" s="156"/>
      <c r="AT29" s="100" t="s">
        <v>11</v>
      </c>
      <c r="AU29" s="100"/>
      <c r="AV29" s="99">
        <f>CEILING(AV28*0.95,0.5)</f>
        <v>165.5</v>
      </c>
      <c r="AW29" s="99"/>
      <c r="AX29" s="99"/>
      <c r="AY29" s="99"/>
      <c r="AZ29" s="99">
        <f>CEILING(AZ28*0.95,0.5)</f>
        <v>175</v>
      </c>
      <c r="BA29" s="99"/>
      <c r="BB29" s="99"/>
      <c r="BC29" s="99"/>
      <c r="BD29" s="99">
        <f>CEILING(BD28*0.95,0.5)</f>
        <v>184.5</v>
      </c>
      <c r="BE29" s="99"/>
      <c r="BF29" s="99"/>
      <c r="BG29" s="99"/>
      <c r="BH29" s="99">
        <f>CEILING(BH28*0.95,0.5)</f>
        <v>194</v>
      </c>
      <c r="BI29" s="99"/>
      <c r="BJ29" s="99"/>
      <c r="BK29" s="99"/>
    </row>
    <row r="30" spans="1:67" ht="16.5" customHeight="1">
      <c r="A30" s="93"/>
      <c r="B30" s="93"/>
      <c r="C30" s="93"/>
      <c r="D30" s="93"/>
      <c r="E30" s="93"/>
      <c r="F30" s="94"/>
      <c r="G30" s="94"/>
      <c r="H30" s="94"/>
      <c r="I30" s="95"/>
      <c r="J30" s="95"/>
      <c r="K30" s="95"/>
      <c r="L30" s="95"/>
      <c r="M30" s="95"/>
      <c r="N30" s="100" t="s">
        <v>12</v>
      </c>
      <c r="O30" s="100"/>
      <c r="P30" s="101">
        <f>CEILING(114.5*1.3,0.5)</f>
        <v>149</v>
      </c>
      <c r="Q30" s="101"/>
      <c r="R30" s="101"/>
      <c r="S30" s="101"/>
      <c r="T30" s="99">
        <f>P30+10</f>
        <v>159</v>
      </c>
      <c r="U30" s="99"/>
      <c r="V30" s="99"/>
      <c r="W30" s="99"/>
      <c r="X30" s="99">
        <f>T30+10</f>
        <v>169</v>
      </c>
      <c r="Y30" s="99"/>
      <c r="Z30" s="99"/>
      <c r="AA30" s="99"/>
      <c r="AB30" s="99">
        <f>X30+10</f>
        <v>179</v>
      </c>
      <c r="AC30" s="99"/>
      <c r="AD30" s="99"/>
      <c r="AE30" s="99"/>
      <c r="AG30" s="93"/>
      <c r="AH30" s="93"/>
      <c r="AI30" s="93"/>
      <c r="AJ30" s="93"/>
      <c r="AK30" s="93"/>
      <c r="AL30" s="94"/>
      <c r="AM30" s="94"/>
      <c r="AN30" s="94"/>
      <c r="AO30" s="156"/>
      <c r="AP30" s="156"/>
      <c r="AQ30" s="156"/>
      <c r="AR30" s="156"/>
      <c r="AS30" s="156"/>
      <c r="AT30" s="100" t="s">
        <v>12</v>
      </c>
      <c r="AU30" s="100"/>
      <c r="AV30" s="101">
        <f>CEILING(121*1.3,0.5)</f>
        <v>157.5</v>
      </c>
      <c r="AW30" s="101"/>
      <c r="AX30" s="101"/>
      <c r="AY30" s="101"/>
      <c r="AZ30" s="99">
        <f>AV30+10</f>
        <v>167.5</v>
      </c>
      <c r="BA30" s="99"/>
      <c r="BB30" s="99"/>
      <c r="BC30" s="99"/>
      <c r="BD30" s="99">
        <f>AZ30+10</f>
        <v>177.5</v>
      </c>
      <c r="BE30" s="99"/>
      <c r="BF30" s="99"/>
      <c r="BG30" s="99"/>
      <c r="BH30" s="99">
        <f>BD30+10</f>
        <v>187.5</v>
      </c>
      <c r="BI30" s="99"/>
      <c r="BJ30" s="99"/>
      <c r="BK30" s="99"/>
    </row>
    <row r="31" spans="1:67" ht="16.5" customHeight="1">
      <c r="A31" s="93"/>
      <c r="B31" s="93"/>
      <c r="C31" s="93"/>
      <c r="D31" s="93"/>
      <c r="E31" s="93"/>
      <c r="F31" s="94"/>
      <c r="G31" s="94"/>
      <c r="H31" s="94"/>
      <c r="I31" s="97" t="s">
        <v>57</v>
      </c>
      <c r="J31" s="97"/>
      <c r="K31" s="97"/>
      <c r="L31" s="97"/>
      <c r="M31" s="97"/>
      <c r="N31" s="98" t="s">
        <v>58</v>
      </c>
      <c r="O31" s="98"/>
      <c r="P31" s="96">
        <f>CEILING(P28*0.28+5,0.5)</f>
        <v>51</v>
      </c>
      <c r="Q31" s="96"/>
      <c r="R31" s="96"/>
      <c r="S31" s="96"/>
      <c r="T31" s="96">
        <f>CEILING(T28*0.28+5,0.5)</f>
        <v>54</v>
      </c>
      <c r="U31" s="96"/>
      <c r="V31" s="96"/>
      <c r="W31" s="96"/>
      <c r="X31" s="96">
        <f>CEILING(X28*0.28+5,0.5)</f>
        <v>57</v>
      </c>
      <c r="Y31" s="96"/>
      <c r="Z31" s="96"/>
      <c r="AA31" s="96"/>
      <c r="AB31" s="96">
        <f>CEILING(AB28*0.28+5,0.5)</f>
        <v>59.5</v>
      </c>
      <c r="AC31" s="96"/>
      <c r="AD31" s="96"/>
      <c r="AE31" s="96"/>
      <c r="AG31" s="93"/>
      <c r="AH31" s="93"/>
      <c r="AI31" s="93"/>
      <c r="AJ31" s="93"/>
      <c r="AK31" s="93"/>
      <c r="AL31" s="94"/>
      <c r="AM31" s="94"/>
      <c r="AN31" s="94"/>
      <c r="AO31" s="97" t="s">
        <v>19</v>
      </c>
      <c r="AP31" s="97"/>
      <c r="AQ31" s="97"/>
      <c r="AR31" s="97"/>
      <c r="AS31" s="97"/>
      <c r="AT31" s="98" t="s">
        <v>58</v>
      </c>
      <c r="AU31" s="98"/>
      <c r="AV31" s="96">
        <f>CEILING(AV28*0.35+5,0.5)</f>
        <v>66</v>
      </c>
      <c r="AW31" s="96"/>
      <c r="AX31" s="96"/>
      <c r="AY31" s="96"/>
      <c r="AZ31" s="96">
        <f>CEILING(AZ28*0.35+5,0.5)</f>
        <v>69.5</v>
      </c>
      <c r="BA31" s="96"/>
      <c r="BB31" s="96"/>
      <c r="BC31" s="96"/>
      <c r="BD31" s="96">
        <f>CEILING(BD28*0.35+5,0.5)</f>
        <v>73</v>
      </c>
      <c r="BE31" s="96"/>
      <c r="BF31" s="96"/>
      <c r="BG31" s="96"/>
      <c r="BH31" s="96">
        <f>CEILING(BH28*0.35+5,0.5)</f>
        <v>76.5</v>
      </c>
      <c r="BI31" s="96"/>
      <c r="BJ31" s="96"/>
      <c r="BK31" s="96"/>
    </row>
    <row r="32" spans="1:67" ht="16.5" customHeight="1">
      <c r="A32" s="93"/>
      <c r="B32" s="93"/>
      <c r="C32" s="93"/>
      <c r="D32" s="93"/>
      <c r="E32" s="93"/>
      <c r="F32" s="94"/>
      <c r="G32" s="94"/>
      <c r="H32" s="94"/>
      <c r="I32" s="97"/>
      <c r="J32" s="97"/>
      <c r="K32" s="97"/>
      <c r="L32" s="97"/>
      <c r="M32" s="97"/>
      <c r="N32" s="98" t="s">
        <v>11</v>
      </c>
      <c r="O32" s="98"/>
      <c r="P32" s="96">
        <f>CEILING(P31*0.95,0.5)</f>
        <v>48.5</v>
      </c>
      <c r="Q32" s="96"/>
      <c r="R32" s="96"/>
      <c r="S32" s="96"/>
      <c r="T32" s="96">
        <f>CEILING(T31*0.95,0.5)</f>
        <v>51.5</v>
      </c>
      <c r="U32" s="96"/>
      <c r="V32" s="96"/>
      <c r="W32" s="96"/>
      <c r="X32" s="96">
        <f>CEILING(X31*0.95,0.5)</f>
        <v>54.5</v>
      </c>
      <c r="Y32" s="96"/>
      <c r="Z32" s="96"/>
      <c r="AA32" s="96"/>
      <c r="AB32" s="96">
        <f>CEILING(AB31*0.95,0.5)</f>
        <v>57</v>
      </c>
      <c r="AC32" s="96"/>
      <c r="AD32" s="96"/>
      <c r="AE32" s="96"/>
      <c r="AG32" s="93"/>
      <c r="AH32" s="93"/>
      <c r="AI32" s="93"/>
      <c r="AJ32" s="93"/>
      <c r="AK32" s="93"/>
      <c r="AL32" s="94"/>
      <c r="AM32" s="94"/>
      <c r="AN32" s="94"/>
      <c r="AO32" s="97"/>
      <c r="AP32" s="97"/>
      <c r="AQ32" s="97"/>
      <c r="AR32" s="97"/>
      <c r="AS32" s="97"/>
      <c r="AT32" s="98" t="s">
        <v>11</v>
      </c>
      <c r="AU32" s="98"/>
      <c r="AV32" s="96">
        <f>CEILING(AV31*0.95,0.5)</f>
        <v>63</v>
      </c>
      <c r="AW32" s="96"/>
      <c r="AX32" s="96"/>
      <c r="AY32" s="96"/>
      <c r="AZ32" s="96">
        <f>CEILING(AZ31*0.95,0.5)</f>
        <v>66.5</v>
      </c>
      <c r="BA32" s="96"/>
      <c r="BB32" s="96"/>
      <c r="BC32" s="96"/>
      <c r="BD32" s="96">
        <f>CEILING(BD31*0.95,0.5)</f>
        <v>69.5</v>
      </c>
      <c r="BE32" s="96"/>
      <c r="BF32" s="96"/>
      <c r="BG32" s="96"/>
      <c r="BH32" s="96">
        <f>CEILING(BH31*0.95,0.5)</f>
        <v>73</v>
      </c>
      <c r="BI32" s="96"/>
      <c r="BJ32" s="96"/>
      <c r="BK32" s="96"/>
    </row>
    <row r="33" spans="1:63" ht="16.5" customHeight="1">
      <c r="A33" s="93"/>
      <c r="B33" s="93"/>
      <c r="C33" s="93"/>
      <c r="D33" s="93"/>
      <c r="E33" s="93"/>
      <c r="F33" s="94"/>
      <c r="G33" s="94"/>
      <c r="H33" s="94"/>
      <c r="I33" s="97"/>
      <c r="J33" s="97"/>
      <c r="K33" s="97"/>
      <c r="L33" s="97"/>
      <c r="M33" s="97"/>
      <c r="N33" s="98" t="s">
        <v>12</v>
      </c>
      <c r="O33" s="98"/>
      <c r="P33" s="96">
        <f>CEILING(P30*0.28+5,0.5)</f>
        <v>47</v>
      </c>
      <c r="Q33" s="96"/>
      <c r="R33" s="96"/>
      <c r="S33" s="96"/>
      <c r="T33" s="96">
        <f>CEILING(T30*0.28+5,0.5)</f>
        <v>50</v>
      </c>
      <c r="U33" s="96"/>
      <c r="V33" s="96"/>
      <c r="W33" s="96"/>
      <c r="X33" s="96">
        <f>CEILING(X30*0.28+5,0.5)</f>
        <v>52.5</v>
      </c>
      <c r="Y33" s="96"/>
      <c r="Z33" s="96"/>
      <c r="AA33" s="96"/>
      <c r="AB33" s="96">
        <f>CEILING(AB30*0.28+5,0.5)</f>
        <v>55.5</v>
      </c>
      <c r="AC33" s="96"/>
      <c r="AD33" s="96"/>
      <c r="AE33" s="96"/>
      <c r="AG33" s="93"/>
      <c r="AH33" s="93"/>
      <c r="AI33" s="93"/>
      <c r="AJ33" s="93"/>
      <c r="AK33" s="93"/>
      <c r="AL33" s="94"/>
      <c r="AM33" s="94"/>
      <c r="AN33" s="94"/>
      <c r="AO33" s="97"/>
      <c r="AP33" s="97"/>
      <c r="AQ33" s="97"/>
      <c r="AR33" s="97"/>
      <c r="AS33" s="97"/>
      <c r="AT33" s="98" t="s">
        <v>12</v>
      </c>
      <c r="AU33" s="98"/>
      <c r="AV33" s="96">
        <f>CEILING(AV30*0.35+5,0.5)</f>
        <v>60.5</v>
      </c>
      <c r="AW33" s="96"/>
      <c r="AX33" s="96"/>
      <c r="AY33" s="96"/>
      <c r="AZ33" s="96">
        <f>CEILING(AZ30*0.35+5,0.5)</f>
        <v>64</v>
      </c>
      <c r="BA33" s="96"/>
      <c r="BB33" s="96"/>
      <c r="BC33" s="96"/>
      <c r="BD33" s="96">
        <f>CEILING(BD30*0.35+5,0.5)</f>
        <v>67.5</v>
      </c>
      <c r="BE33" s="96"/>
      <c r="BF33" s="96"/>
      <c r="BG33" s="96"/>
      <c r="BH33" s="96">
        <f>CEILING(BH30*0.35+5,0.5)</f>
        <v>71</v>
      </c>
      <c r="BI33" s="96"/>
      <c r="BJ33" s="96"/>
      <c r="BK33" s="96"/>
    </row>
    <row r="34" spans="1:63" ht="16.5" customHeight="1">
      <c r="A34" s="93"/>
      <c r="B34" s="93"/>
      <c r="C34" s="93"/>
      <c r="D34" s="93"/>
      <c r="E34" s="93"/>
      <c r="F34" s="94"/>
      <c r="G34" s="94"/>
      <c r="H34" s="94"/>
      <c r="I34" s="82" t="s">
        <v>21</v>
      </c>
      <c r="J34" s="82"/>
      <c r="K34" s="82"/>
      <c r="L34" s="82"/>
      <c r="M34" s="82"/>
      <c r="N34" s="84" t="s">
        <v>10</v>
      </c>
      <c r="O34" s="84"/>
      <c r="P34" s="83">
        <f>P28-4</f>
        <v>160</v>
      </c>
      <c r="Q34" s="83"/>
      <c r="R34" s="83"/>
      <c r="S34" s="83"/>
      <c r="T34" s="83">
        <f>P34+8</f>
        <v>168</v>
      </c>
      <c r="U34" s="83"/>
      <c r="V34" s="83"/>
      <c r="W34" s="83"/>
      <c r="X34" s="83">
        <f>T34+8</f>
        <v>176</v>
      </c>
      <c r="Y34" s="83"/>
      <c r="Z34" s="83"/>
      <c r="AA34" s="83"/>
      <c r="AB34" s="83">
        <f>X34+8</f>
        <v>184</v>
      </c>
      <c r="AC34" s="83"/>
      <c r="AD34" s="83"/>
      <c r="AE34" s="83"/>
      <c r="AG34" s="93"/>
      <c r="AH34" s="93"/>
      <c r="AI34" s="93"/>
      <c r="AJ34" s="93"/>
      <c r="AK34" s="93"/>
      <c r="AL34" s="94"/>
      <c r="AM34" s="94"/>
      <c r="AN34" s="94"/>
      <c r="AO34" s="158" t="s">
        <v>21</v>
      </c>
      <c r="AP34" s="158"/>
      <c r="AQ34" s="158"/>
      <c r="AR34" s="158"/>
      <c r="AS34" s="158"/>
      <c r="AT34" s="84" t="s">
        <v>10</v>
      </c>
      <c r="AU34" s="84"/>
      <c r="AV34" s="83">
        <f>AV28-4</f>
        <v>170</v>
      </c>
      <c r="AW34" s="83"/>
      <c r="AX34" s="83"/>
      <c r="AY34" s="83"/>
      <c r="AZ34" s="83">
        <f>AV34+8</f>
        <v>178</v>
      </c>
      <c r="BA34" s="83"/>
      <c r="BB34" s="83"/>
      <c r="BC34" s="83"/>
      <c r="BD34" s="83">
        <f>AZ34+8</f>
        <v>186</v>
      </c>
      <c r="BE34" s="83"/>
      <c r="BF34" s="83"/>
      <c r="BG34" s="83"/>
      <c r="BH34" s="83">
        <f>BD34+8</f>
        <v>194</v>
      </c>
      <c r="BI34" s="83"/>
      <c r="BJ34" s="83"/>
      <c r="BK34" s="83"/>
    </row>
    <row r="35" spans="1:63" ht="16.5" customHeight="1">
      <c r="A35" s="93"/>
      <c r="B35" s="93"/>
      <c r="C35" s="93"/>
      <c r="D35" s="93"/>
      <c r="E35" s="93"/>
      <c r="F35" s="94"/>
      <c r="G35" s="94"/>
      <c r="H35" s="94"/>
      <c r="I35" s="82"/>
      <c r="J35" s="82"/>
      <c r="K35" s="82"/>
      <c r="L35" s="82"/>
      <c r="M35" s="82"/>
      <c r="N35" s="84" t="s">
        <v>11</v>
      </c>
      <c r="O35" s="84"/>
      <c r="P35" s="83">
        <f>CEILING(P34*0.95,0.5)</f>
        <v>152</v>
      </c>
      <c r="Q35" s="83"/>
      <c r="R35" s="83"/>
      <c r="S35" s="83"/>
      <c r="T35" s="83">
        <f>CEILING(T34*0.95,0.5)</f>
        <v>160</v>
      </c>
      <c r="U35" s="83"/>
      <c r="V35" s="83"/>
      <c r="W35" s="83"/>
      <c r="X35" s="83">
        <f>CEILING(X34*0.95,0.5)</f>
        <v>167.5</v>
      </c>
      <c r="Y35" s="83"/>
      <c r="Z35" s="83"/>
      <c r="AA35" s="83"/>
      <c r="AB35" s="83">
        <f>CEILING(AB34*0.95,0.5)</f>
        <v>175</v>
      </c>
      <c r="AC35" s="83"/>
      <c r="AD35" s="83"/>
      <c r="AE35" s="83"/>
      <c r="AG35" s="93"/>
      <c r="AH35" s="93"/>
      <c r="AI35" s="93"/>
      <c r="AJ35" s="93"/>
      <c r="AK35" s="93"/>
      <c r="AL35" s="94"/>
      <c r="AM35" s="94"/>
      <c r="AN35" s="94"/>
      <c r="AO35" s="158"/>
      <c r="AP35" s="158"/>
      <c r="AQ35" s="158"/>
      <c r="AR35" s="158"/>
      <c r="AS35" s="158"/>
      <c r="AT35" s="84" t="s">
        <v>11</v>
      </c>
      <c r="AU35" s="84"/>
      <c r="AV35" s="83">
        <f>CEILING(AV34*0.95,0.5)</f>
        <v>161.5</v>
      </c>
      <c r="AW35" s="83"/>
      <c r="AX35" s="83"/>
      <c r="AY35" s="83"/>
      <c r="AZ35" s="83">
        <f>CEILING(AZ34*0.95,0.5)</f>
        <v>169.5</v>
      </c>
      <c r="BA35" s="83"/>
      <c r="BB35" s="83"/>
      <c r="BC35" s="83"/>
      <c r="BD35" s="83">
        <f>CEILING(BD34*0.95,0.5)</f>
        <v>177</v>
      </c>
      <c r="BE35" s="83"/>
      <c r="BF35" s="83"/>
      <c r="BG35" s="83"/>
      <c r="BH35" s="83">
        <f>CEILING(BH34*0.95,0.5)</f>
        <v>184.5</v>
      </c>
      <c r="BI35" s="83"/>
      <c r="BJ35" s="83"/>
      <c r="BK35" s="83"/>
    </row>
    <row r="36" spans="1:63" ht="16.5" customHeight="1">
      <c r="A36" s="93"/>
      <c r="B36" s="93"/>
      <c r="C36" s="93"/>
      <c r="D36" s="93"/>
      <c r="E36" s="93"/>
      <c r="F36" s="94"/>
      <c r="G36" s="94"/>
      <c r="H36" s="94"/>
      <c r="I36" s="82"/>
      <c r="J36" s="82"/>
      <c r="K36" s="82"/>
      <c r="L36" s="82"/>
      <c r="M36" s="82"/>
      <c r="N36" s="84" t="s">
        <v>12</v>
      </c>
      <c r="O36" s="84"/>
      <c r="P36" s="83">
        <f>P30-4</f>
        <v>145</v>
      </c>
      <c r="Q36" s="83"/>
      <c r="R36" s="83"/>
      <c r="S36" s="83"/>
      <c r="T36" s="83">
        <f>P36+8</f>
        <v>153</v>
      </c>
      <c r="U36" s="83"/>
      <c r="V36" s="83"/>
      <c r="W36" s="83"/>
      <c r="X36" s="83">
        <f>T36+8</f>
        <v>161</v>
      </c>
      <c r="Y36" s="83"/>
      <c r="Z36" s="83"/>
      <c r="AA36" s="83"/>
      <c r="AB36" s="83">
        <f>X36+8</f>
        <v>169</v>
      </c>
      <c r="AC36" s="83"/>
      <c r="AD36" s="83"/>
      <c r="AE36" s="83"/>
      <c r="AG36" s="93"/>
      <c r="AH36" s="93"/>
      <c r="AI36" s="93"/>
      <c r="AJ36" s="93"/>
      <c r="AK36" s="93"/>
      <c r="AL36" s="94"/>
      <c r="AM36" s="94"/>
      <c r="AN36" s="94"/>
      <c r="AO36" s="158"/>
      <c r="AP36" s="158"/>
      <c r="AQ36" s="158"/>
      <c r="AR36" s="158"/>
      <c r="AS36" s="158"/>
      <c r="AT36" s="84" t="s">
        <v>12</v>
      </c>
      <c r="AU36" s="84"/>
      <c r="AV36" s="83">
        <f>AV30-4</f>
        <v>153.5</v>
      </c>
      <c r="AW36" s="83"/>
      <c r="AX36" s="83"/>
      <c r="AY36" s="83"/>
      <c r="AZ36" s="83">
        <f>AV36+8</f>
        <v>161.5</v>
      </c>
      <c r="BA36" s="83"/>
      <c r="BB36" s="83"/>
      <c r="BC36" s="83"/>
      <c r="BD36" s="83">
        <f>AZ36+8</f>
        <v>169.5</v>
      </c>
      <c r="BE36" s="83"/>
      <c r="BF36" s="83"/>
      <c r="BG36" s="83"/>
      <c r="BH36" s="83">
        <f>BD36+8</f>
        <v>177.5</v>
      </c>
      <c r="BI36" s="83"/>
      <c r="BJ36" s="83"/>
      <c r="BK36" s="83"/>
    </row>
    <row r="37" spans="1:63" ht="16.5" customHeight="1">
      <c r="A37" s="93"/>
      <c r="B37" s="93"/>
      <c r="C37" s="93"/>
      <c r="D37" s="93"/>
      <c r="E37" s="93"/>
      <c r="F37" s="94"/>
      <c r="G37" s="94"/>
      <c r="H37" s="94"/>
      <c r="I37" s="80" t="s">
        <v>59</v>
      </c>
      <c r="J37" s="80"/>
      <c r="K37" s="80"/>
      <c r="L37" s="80"/>
      <c r="M37" s="80"/>
      <c r="N37" s="81" t="s">
        <v>58</v>
      </c>
      <c r="O37" s="81"/>
      <c r="P37" s="89">
        <f>CEILING(P34*0.28+5,0.5)</f>
        <v>50</v>
      </c>
      <c r="Q37" s="89"/>
      <c r="R37" s="89"/>
      <c r="S37" s="89"/>
      <c r="T37" s="89">
        <f>CEILING(T34*0.28+5,0.5)</f>
        <v>52.5</v>
      </c>
      <c r="U37" s="89"/>
      <c r="V37" s="89"/>
      <c r="W37" s="89"/>
      <c r="X37" s="89">
        <f>CEILING(X34*0.28+5,0.5)</f>
        <v>54.5</v>
      </c>
      <c r="Y37" s="89"/>
      <c r="Z37" s="89"/>
      <c r="AA37" s="89"/>
      <c r="AB37" s="89">
        <f>CEILING(AB34*0.28+5,0.5)</f>
        <v>57</v>
      </c>
      <c r="AC37" s="89"/>
      <c r="AD37" s="89"/>
      <c r="AE37" s="89"/>
      <c r="AG37" s="93"/>
      <c r="AH37" s="93"/>
      <c r="AI37" s="93"/>
      <c r="AJ37" s="93"/>
      <c r="AK37" s="93"/>
      <c r="AL37" s="94"/>
      <c r="AM37" s="94"/>
      <c r="AN37" s="94"/>
      <c r="AO37" s="80" t="s">
        <v>22</v>
      </c>
      <c r="AP37" s="80"/>
      <c r="AQ37" s="80"/>
      <c r="AR37" s="80"/>
      <c r="AS37" s="80"/>
      <c r="AT37" s="81" t="s">
        <v>58</v>
      </c>
      <c r="AU37" s="81"/>
      <c r="AV37" s="89">
        <f>CEILING(AV34*0.35+5,0.5)</f>
        <v>64.5</v>
      </c>
      <c r="AW37" s="89"/>
      <c r="AX37" s="89"/>
      <c r="AY37" s="89"/>
      <c r="AZ37" s="89">
        <f>CEILING(AZ34*0.35+5,0.5)</f>
        <v>67.5</v>
      </c>
      <c r="BA37" s="89"/>
      <c r="BB37" s="89"/>
      <c r="BC37" s="89"/>
      <c r="BD37" s="89">
        <f>CEILING(BD34*0.35+5,0.5)</f>
        <v>70.5</v>
      </c>
      <c r="BE37" s="89"/>
      <c r="BF37" s="89"/>
      <c r="BG37" s="89"/>
      <c r="BH37" s="89">
        <f>CEILING(BH34*0.35+5,0.5)</f>
        <v>73</v>
      </c>
      <c r="BI37" s="89"/>
      <c r="BJ37" s="89"/>
      <c r="BK37" s="89"/>
    </row>
    <row r="38" spans="1:63" ht="16.5" customHeight="1">
      <c r="A38" s="93"/>
      <c r="B38" s="93"/>
      <c r="C38" s="93"/>
      <c r="D38" s="93"/>
      <c r="E38" s="93"/>
      <c r="F38" s="94"/>
      <c r="G38" s="94"/>
      <c r="H38" s="94"/>
      <c r="I38" s="80"/>
      <c r="J38" s="80"/>
      <c r="K38" s="80"/>
      <c r="L38" s="80"/>
      <c r="M38" s="80"/>
      <c r="N38" s="81" t="s">
        <v>11</v>
      </c>
      <c r="O38" s="81"/>
      <c r="P38" s="89">
        <f>CEILING(P37*0.95,0.5)</f>
        <v>47.5</v>
      </c>
      <c r="Q38" s="89"/>
      <c r="R38" s="89"/>
      <c r="S38" s="89"/>
      <c r="T38" s="89">
        <f>CEILING(T37*0.95,0.5)</f>
        <v>50</v>
      </c>
      <c r="U38" s="89"/>
      <c r="V38" s="89"/>
      <c r="W38" s="89"/>
      <c r="X38" s="89">
        <f>CEILING(X37*0.95,0.5)</f>
        <v>52</v>
      </c>
      <c r="Y38" s="89"/>
      <c r="Z38" s="89"/>
      <c r="AA38" s="89"/>
      <c r="AB38" s="89">
        <f>CEILING(AB37*0.95,0.5)</f>
        <v>54.5</v>
      </c>
      <c r="AC38" s="89"/>
      <c r="AD38" s="89"/>
      <c r="AE38" s="89"/>
      <c r="AG38" s="93"/>
      <c r="AH38" s="93"/>
      <c r="AI38" s="93"/>
      <c r="AJ38" s="93"/>
      <c r="AK38" s="93"/>
      <c r="AL38" s="94"/>
      <c r="AM38" s="94"/>
      <c r="AN38" s="94"/>
      <c r="AO38" s="80"/>
      <c r="AP38" s="80"/>
      <c r="AQ38" s="80"/>
      <c r="AR38" s="80"/>
      <c r="AS38" s="80"/>
      <c r="AT38" s="81" t="s">
        <v>11</v>
      </c>
      <c r="AU38" s="81"/>
      <c r="AV38" s="89">
        <f>CEILING(AV37*0.95,0.5)</f>
        <v>61.5</v>
      </c>
      <c r="AW38" s="89"/>
      <c r="AX38" s="89"/>
      <c r="AY38" s="89"/>
      <c r="AZ38" s="89">
        <f>CEILING(AZ37*0.95,0.5)</f>
        <v>64.5</v>
      </c>
      <c r="BA38" s="89"/>
      <c r="BB38" s="89"/>
      <c r="BC38" s="89"/>
      <c r="BD38" s="89">
        <f>CEILING(BD37*0.95,0.5)</f>
        <v>67</v>
      </c>
      <c r="BE38" s="89"/>
      <c r="BF38" s="89"/>
      <c r="BG38" s="89"/>
      <c r="BH38" s="89">
        <f>CEILING(BH37*0.95,0.5)</f>
        <v>69.5</v>
      </c>
      <c r="BI38" s="89"/>
      <c r="BJ38" s="89"/>
      <c r="BK38" s="89"/>
    </row>
    <row r="39" spans="1:63" ht="16.5" customHeight="1">
      <c r="A39" s="93"/>
      <c r="B39" s="93"/>
      <c r="C39" s="93"/>
      <c r="D39" s="93"/>
      <c r="E39" s="93"/>
      <c r="F39" s="94"/>
      <c r="G39" s="94"/>
      <c r="H39" s="94"/>
      <c r="I39" s="80"/>
      <c r="J39" s="80"/>
      <c r="K39" s="80"/>
      <c r="L39" s="80"/>
      <c r="M39" s="80"/>
      <c r="N39" s="81" t="s">
        <v>12</v>
      </c>
      <c r="O39" s="81"/>
      <c r="P39" s="89">
        <f>CEILING(P36*0.28+5,0.5)</f>
        <v>46</v>
      </c>
      <c r="Q39" s="89"/>
      <c r="R39" s="89"/>
      <c r="S39" s="89"/>
      <c r="T39" s="89">
        <f>CEILING(T36*0.28+5,0.5)</f>
        <v>48</v>
      </c>
      <c r="U39" s="89"/>
      <c r="V39" s="89"/>
      <c r="W39" s="89"/>
      <c r="X39" s="89">
        <f>CEILING(X36*0.28+5,0.5)</f>
        <v>50.5</v>
      </c>
      <c r="Y39" s="89"/>
      <c r="Z39" s="89"/>
      <c r="AA39" s="89"/>
      <c r="AB39" s="89">
        <f>CEILING(AB36*0.28+5,0.5)</f>
        <v>52.5</v>
      </c>
      <c r="AC39" s="89"/>
      <c r="AD39" s="89"/>
      <c r="AE39" s="89"/>
      <c r="AG39" s="93"/>
      <c r="AH39" s="93"/>
      <c r="AI39" s="93"/>
      <c r="AJ39" s="93"/>
      <c r="AK39" s="93"/>
      <c r="AL39" s="94"/>
      <c r="AM39" s="94"/>
      <c r="AN39" s="94"/>
      <c r="AO39" s="80"/>
      <c r="AP39" s="80"/>
      <c r="AQ39" s="80"/>
      <c r="AR39" s="80"/>
      <c r="AS39" s="80"/>
      <c r="AT39" s="81" t="s">
        <v>12</v>
      </c>
      <c r="AU39" s="81"/>
      <c r="AV39" s="89">
        <f>CEILING(AV36*0.35+5,0.5)</f>
        <v>59</v>
      </c>
      <c r="AW39" s="89"/>
      <c r="AX39" s="89"/>
      <c r="AY39" s="89"/>
      <c r="AZ39" s="89">
        <f>CEILING(AZ36*0.35+5,0.5)</f>
        <v>62</v>
      </c>
      <c r="BA39" s="89"/>
      <c r="BB39" s="89"/>
      <c r="BC39" s="89"/>
      <c r="BD39" s="89">
        <f>CEILING(BD36*0.35+5,0.5)</f>
        <v>64.5</v>
      </c>
      <c r="BE39" s="89"/>
      <c r="BF39" s="89"/>
      <c r="BG39" s="89"/>
      <c r="BH39" s="89">
        <f>CEILING(BH36*0.35+5,0.5)</f>
        <v>67.5</v>
      </c>
      <c r="BI39" s="89"/>
      <c r="BJ39" s="89"/>
      <c r="BK39" s="89"/>
    </row>
    <row r="40" spans="1:63" ht="16.5" customHeight="1" thickBot="1">
      <c r="A40" s="9" t="s">
        <v>60</v>
      </c>
      <c r="B40" s="26"/>
      <c r="C40" s="26"/>
      <c r="D40" s="26"/>
      <c r="E40" s="26"/>
      <c r="F40" s="27"/>
      <c r="G40" s="27"/>
      <c r="H40" s="27"/>
      <c r="I40" s="28"/>
      <c r="J40" s="28"/>
      <c r="K40" s="28"/>
      <c r="L40" s="28"/>
      <c r="M40" s="28"/>
      <c r="N40" s="22"/>
      <c r="O40" s="22"/>
      <c r="P40" s="29"/>
      <c r="Q40" s="29"/>
      <c r="R40" s="29"/>
      <c r="S40" s="29"/>
      <c r="T40" s="29"/>
      <c r="U40" s="29"/>
      <c r="V40" s="29"/>
      <c r="W40" s="29"/>
      <c r="X40" s="29"/>
      <c r="Y40" s="29"/>
      <c r="Z40" s="29"/>
      <c r="AA40" s="29"/>
      <c r="AB40" s="29"/>
      <c r="AC40" s="29"/>
      <c r="AD40" s="29"/>
      <c r="AE40" s="29"/>
      <c r="AG40" s="26"/>
      <c r="AH40" s="3"/>
      <c r="AI40" s="3"/>
      <c r="AJ40" s="26"/>
      <c r="AK40" s="26"/>
      <c r="AL40" s="27"/>
      <c r="AM40" s="27"/>
      <c r="AN40" s="27"/>
      <c r="AO40" s="28"/>
      <c r="AP40" s="28"/>
      <c r="AQ40" s="28"/>
      <c r="AR40" s="28"/>
      <c r="AS40" s="28"/>
      <c r="AT40" s="22"/>
      <c r="AU40" s="22"/>
      <c r="AV40" s="29"/>
      <c r="AW40" s="29"/>
      <c r="AX40" s="29"/>
      <c r="AY40" s="29"/>
      <c r="AZ40" s="29"/>
      <c r="BA40" s="29"/>
      <c r="BB40" s="29"/>
      <c r="BC40" s="29"/>
      <c r="BD40" s="29"/>
      <c r="BE40" s="29"/>
      <c r="BF40" s="29"/>
      <c r="BG40" s="29"/>
      <c r="BH40" s="29"/>
      <c r="BI40" s="29"/>
      <c r="BJ40" s="29"/>
      <c r="BK40" s="29"/>
    </row>
    <row r="41" spans="1:63" ht="16.5" customHeight="1" thickTop="1">
      <c r="A41" s="9" t="s">
        <v>25</v>
      </c>
      <c r="B41" s="26"/>
      <c r="C41" s="26"/>
      <c r="D41" s="26"/>
      <c r="E41" s="26"/>
      <c r="F41" s="27"/>
      <c r="G41" s="27"/>
      <c r="H41" s="27"/>
      <c r="I41" s="28"/>
      <c r="J41" s="28"/>
      <c r="K41" s="28"/>
      <c r="L41" s="28"/>
      <c r="M41" s="28"/>
      <c r="N41" s="22"/>
      <c r="O41" s="22"/>
      <c r="P41" s="29"/>
      <c r="Q41" s="29"/>
      <c r="R41" s="29"/>
      <c r="S41" s="29"/>
      <c r="T41" s="29"/>
      <c r="U41" s="29"/>
      <c r="V41" s="29"/>
      <c r="W41" s="29"/>
      <c r="X41" s="29"/>
      <c r="Y41" s="29"/>
      <c r="Z41" s="29"/>
      <c r="AA41" s="29"/>
      <c r="AB41" s="29"/>
      <c r="AC41" s="29"/>
      <c r="AD41" s="29"/>
      <c r="AE41" s="29"/>
      <c r="AG41" s="26"/>
      <c r="AH41" s="3"/>
      <c r="AI41" s="3"/>
      <c r="AJ41" s="26"/>
      <c r="AK41" s="26"/>
      <c r="AL41" s="27"/>
      <c r="AM41" s="27"/>
      <c r="AN41" s="27"/>
      <c r="AO41" s="28"/>
      <c r="AP41" s="90" t="s">
        <v>27</v>
      </c>
      <c r="AQ41" s="91"/>
      <c r="AR41" s="91"/>
      <c r="AS41" s="91"/>
      <c r="AT41" s="91"/>
      <c r="AU41" s="91"/>
      <c r="AV41" s="91"/>
      <c r="AW41" s="91"/>
      <c r="AX41" s="91"/>
      <c r="AY41" s="91"/>
      <c r="AZ41" s="91"/>
      <c r="BA41" s="91"/>
      <c r="BB41" s="91"/>
      <c r="BC41" s="91"/>
      <c r="BD41" s="91"/>
      <c r="BE41" s="91"/>
      <c r="BF41" s="91"/>
      <c r="BG41" s="91"/>
      <c r="BH41" s="91"/>
      <c r="BI41" s="92"/>
      <c r="BJ41" s="29"/>
      <c r="BK41" s="29"/>
    </row>
    <row r="42" spans="1:63" ht="16.5" customHeight="1" thickBot="1">
      <c r="A42" s="9" t="s">
        <v>26</v>
      </c>
      <c r="B42" s="26"/>
      <c r="C42" s="26"/>
      <c r="D42" s="26"/>
      <c r="E42" s="26"/>
      <c r="F42" s="27"/>
      <c r="G42" s="27"/>
      <c r="H42" s="27"/>
      <c r="I42" s="28"/>
      <c r="J42" s="28"/>
      <c r="K42" s="28"/>
      <c r="L42" s="28"/>
      <c r="M42" s="28"/>
      <c r="N42" s="22"/>
      <c r="O42" s="22"/>
      <c r="P42" s="29"/>
      <c r="Q42" s="29"/>
      <c r="R42" s="29"/>
      <c r="S42" s="29"/>
      <c r="T42" s="29"/>
      <c r="U42" s="29"/>
      <c r="V42" s="29"/>
      <c r="W42" s="29"/>
      <c r="X42" s="29"/>
      <c r="Y42" s="29"/>
      <c r="Z42" s="29"/>
      <c r="AA42" s="29"/>
      <c r="AB42" s="29"/>
      <c r="AC42" s="29"/>
      <c r="AD42" s="29"/>
      <c r="AE42" s="29"/>
      <c r="AG42" s="26"/>
      <c r="AH42" s="3"/>
      <c r="AI42" s="3"/>
      <c r="AJ42" s="26"/>
      <c r="AK42" s="26"/>
      <c r="AL42" s="27"/>
      <c r="AM42" s="27"/>
      <c r="AN42" s="27"/>
      <c r="AO42" s="28"/>
      <c r="AP42" s="159" t="s">
        <v>61</v>
      </c>
      <c r="AQ42" s="160"/>
      <c r="AR42" s="160"/>
      <c r="AS42" s="160"/>
      <c r="AT42" s="160"/>
      <c r="AU42" s="160"/>
      <c r="AV42" s="160"/>
      <c r="AW42" s="161"/>
      <c r="AX42" s="160" t="s">
        <v>29</v>
      </c>
      <c r="AY42" s="160"/>
      <c r="AZ42" s="160"/>
      <c r="BA42" s="160"/>
      <c r="BB42" s="160"/>
      <c r="BC42" s="160"/>
      <c r="BD42" s="160"/>
      <c r="BE42" s="160"/>
      <c r="BF42" s="160"/>
      <c r="BG42" s="160"/>
      <c r="BH42" s="160"/>
      <c r="BI42" s="162"/>
      <c r="BJ42" s="29"/>
      <c r="BK42" s="29"/>
    </row>
    <row r="43" spans="1:63" ht="16.5" customHeight="1" thickTop="1">
      <c r="A43" s="9"/>
      <c r="B43" s="26"/>
      <c r="C43" s="26"/>
      <c r="D43" s="26"/>
      <c r="E43" s="26"/>
      <c r="F43" s="27"/>
      <c r="G43" s="27"/>
      <c r="H43" s="27"/>
      <c r="I43" s="28"/>
      <c r="J43" s="28"/>
      <c r="K43" s="28"/>
      <c r="L43" s="28"/>
      <c r="M43" s="28"/>
      <c r="N43" s="22"/>
      <c r="O43" s="22"/>
      <c r="P43" s="29"/>
      <c r="Q43" s="29"/>
      <c r="R43" s="29"/>
      <c r="S43" s="29"/>
      <c r="T43" s="29"/>
      <c r="U43" s="29"/>
      <c r="V43" s="29"/>
      <c r="W43" s="29"/>
      <c r="X43" s="29"/>
      <c r="Y43" s="29"/>
      <c r="Z43" s="29"/>
      <c r="AA43" s="29"/>
      <c r="AB43" s="29"/>
      <c r="AC43" s="29"/>
      <c r="AD43" s="29"/>
      <c r="AE43" s="29"/>
      <c r="AG43" s="26"/>
      <c r="AH43" s="3"/>
      <c r="AI43" s="3"/>
      <c r="AJ43" s="26"/>
      <c r="AK43" s="26"/>
      <c r="AL43" s="27"/>
      <c r="AM43" s="27"/>
      <c r="AN43" s="27"/>
      <c r="AO43" s="28"/>
      <c r="AP43" s="30"/>
      <c r="AQ43" s="30"/>
      <c r="AR43" s="30"/>
      <c r="AS43" s="30"/>
      <c r="AT43" s="30"/>
      <c r="AU43" s="30"/>
      <c r="AV43" s="30"/>
      <c r="AW43" s="30"/>
      <c r="AX43" s="30"/>
      <c r="AY43" s="30"/>
      <c r="AZ43" s="30"/>
      <c r="BA43" s="30"/>
      <c r="BB43" s="30"/>
      <c r="BC43" s="30"/>
      <c r="BD43" s="30"/>
      <c r="BE43" s="30"/>
      <c r="BF43" s="30"/>
      <c r="BG43" s="30"/>
      <c r="BH43" s="30"/>
      <c r="BI43" s="30"/>
      <c r="BJ43" s="29"/>
      <c r="BK43" s="29"/>
    </row>
    <row r="44" spans="1:63" ht="16.5" customHeight="1">
      <c r="A44" s="26"/>
      <c r="B44" s="26"/>
      <c r="C44" s="26"/>
      <c r="D44" s="26"/>
      <c r="E44" s="26"/>
      <c r="F44" s="27"/>
      <c r="G44" s="27"/>
      <c r="H44" s="27"/>
      <c r="I44" s="28"/>
      <c r="J44" s="28"/>
      <c r="K44" s="28"/>
      <c r="L44" s="28"/>
      <c r="M44" s="28"/>
      <c r="N44" s="22"/>
      <c r="O44" s="22"/>
      <c r="P44" s="29"/>
      <c r="Q44" s="29"/>
      <c r="R44" s="29"/>
      <c r="S44" s="29"/>
      <c r="T44" s="29"/>
      <c r="U44" s="29"/>
      <c r="V44" s="29"/>
      <c r="W44" s="29"/>
      <c r="X44" s="29"/>
      <c r="Y44" s="29"/>
      <c r="Z44" s="29"/>
      <c r="AA44" s="29"/>
      <c r="AB44" s="29"/>
      <c r="AC44" s="29"/>
      <c r="AD44" s="29"/>
      <c r="AE44" s="29"/>
      <c r="AG44" s="26"/>
      <c r="AH44" s="3"/>
      <c r="AI44" s="3"/>
      <c r="AJ44" s="26"/>
      <c r="AK44" s="26"/>
      <c r="AL44" s="27"/>
      <c r="AM44" s="27"/>
      <c r="AN44" s="27"/>
      <c r="AO44" s="28"/>
      <c r="AP44" s="14"/>
      <c r="AQ44" s="14"/>
      <c r="AR44" s="14"/>
      <c r="AS44" s="14"/>
      <c r="AT44" s="14"/>
      <c r="AU44" s="14"/>
      <c r="AV44" s="14"/>
      <c r="AW44" s="14"/>
      <c r="AX44" s="14"/>
      <c r="AY44" s="14"/>
      <c r="AZ44" s="14"/>
      <c r="BA44" s="14"/>
      <c r="BB44" s="14"/>
      <c r="BC44" s="14"/>
      <c r="BD44" s="14"/>
      <c r="BE44" s="14"/>
      <c r="BF44" s="14"/>
      <c r="BG44" s="14"/>
      <c r="BH44" s="14"/>
      <c r="BI44" s="14"/>
      <c r="BJ44" s="29"/>
      <c r="BK44" s="29"/>
    </row>
    <row r="45" spans="1:63" ht="16.5" customHeight="1">
      <c r="A45" s="26"/>
      <c r="B45" s="26"/>
      <c r="C45" s="26"/>
      <c r="D45" s="26"/>
      <c r="E45" s="26"/>
      <c r="F45" s="27"/>
      <c r="G45" s="27"/>
      <c r="H45" s="27"/>
      <c r="I45" s="28"/>
      <c r="J45" s="28"/>
      <c r="K45" s="28"/>
      <c r="L45" s="28"/>
      <c r="M45" s="28"/>
      <c r="N45" s="22"/>
      <c r="O45" s="22"/>
      <c r="P45" s="29"/>
      <c r="Q45" s="29"/>
      <c r="R45" s="29"/>
      <c r="S45" s="29"/>
      <c r="T45" s="29"/>
      <c r="U45" s="29"/>
      <c r="V45" s="29"/>
      <c r="W45" s="29"/>
      <c r="X45" s="29"/>
      <c r="Y45" s="29"/>
      <c r="Z45" s="29"/>
      <c r="AA45" s="29"/>
      <c r="AB45" s="29"/>
      <c r="AC45" s="29"/>
      <c r="AD45" s="29"/>
      <c r="AE45" s="29"/>
      <c r="AG45" s="26"/>
      <c r="AH45" s="3"/>
      <c r="AI45" s="3"/>
      <c r="AJ45" s="26"/>
      <c r="AK45" s="26"/>
      <c r="AL45" s="27"/>
      <c r="AM45" s="27"/>
      <c r="AN45" s="27"/>
      <c r="AO45" s="28"/>
      <c r="AP45" s="14"/>
      <c r="AQ45" s="14"/>
      <c r="AR45" s="14"/>
      <c r="AS45" s="14"/>
      <c r="AT45" s="14"/>
      <c r="AU45" s="14"/>
      <c r="AV45" s="14"/>
      <c r="AW45" s="14"/>
      <c r="AX45" s="14"/>
      <c r="AY45" s="14"/>
      <c r="AZ45" s="14"/>
      <c r="BA45" s="14"/>
      <c r="BB45" s="14"/>
      <c r="BC45" s="14"/>
      <c r="BD45" s="14"/>
      <c r="BE45" s="14"/>
      <c r="BF45" s="14"/>
      <c r="BG45" s="14"/>
      <c r="BH45" s="14"/>
      <c r="BI45" s="14"/>
      <c r="BJ45" s="29"/>
      <c r="BK45" s="29"/>
    </row>
    <row r="46" spans="1:63" ht="16.5" customHeight="1">
      <c r="A46" s="26"/>
      <c r="B46" s="26"/>
      <c r="C46" s="26"/>
      <c r="D46" s="26"/>
      <c r="E46" s="26"/>
      <c r="F46" s="27"/>
      <c r="G46" s="27"/>
      <c r="H46" s="27"/>
      <c r="I46" s="28"/>
      <c r="J46" s="28"/>
      <c r="K46" s="28"/>
      <c r="L46" s="28"/>
      <c r="M46" s="28"/>
      <c r="N46" s="22"/>
      <c r="O46" s="22"/>
      <c r="P46" s="29"/>
      <c r="Q46" s="29"/>
      <c r="R46" s="29"/>
      <c r="S46" s="29"/>
      <c r="T46" s="29"/>
      <c r="U46" s="29"/>
      <c r="V46" s="29"/>
      <c r="W46" s="29"/>
      <c r="X46" s="29"/>
      <c r="Y46" s="29"/>
      <c r="Z46" s="29"/>
      <c r="AA46" s="29"/>
      <c r="AB46" s="29"/>
      <c r="AC46" s="29"/>
      <c r="AD46" s="29"/>
      <c r="AE46" s="29"/>
      <c r="AG46" s="26"/>
      <c r="AH46" s="3"/>
      <c r="AI46" s="3"/>
      <c r="AJ46" s="26"/>
      <c r="AK46" s="26"/>
      <c r="AL46" s="27"/>
      <c r="AM46" s="27"/>
      <c r="AN46" s="27"/>
      <c r="AO46" s="28"/>
      <c r="AP46" s="28"/>
      <c r="AQ46" s="28"/>
      <c r="AR46" s="28"/>
      <c r="AS46" s="28"/>
      <c r="AT46" s="22"/>
      <c r="AU46" s="22"/>
      <c r="AV46" s="29"/>
      <c r="AW46" s="29"/>
      <c r="AX46" s="29"/>
      <c r="AY46" s="29"/>
      <c r="AZ46" s="29"/>
      <c r="BA46" s="29"/>
      <c r="BB46" s="29"/>
      <c r="BC46" s="29"/>
      <c r="BD46" s="29"/>
      <c r="BE46" s="29"/>
      <c r="BF46" s="29"/>
      <c r="BG46" s="29"/>
      <c r="BH46" s="29"/>
      <c r="BI46" s="29"/>
      <c r="BJ46" s="29"/>
      <c r="BK46" s="29"/>
    </row>
    <row r="47" spans="1:63" ht="16.5" customHeight="1">
      <c r="A47" s="26"/>
      <c r="B47" s="26"/>
      <c r="C47" s="26"/>
      <c r="D47" s="26"/>
      <c r="E47" s="26"/>
      <c r="F47" s="27"/>
      <c r="G47" s="27"/>
      <c r="H47" s="27"/>
      <c r="I47" s="28"/>
      <c r="J47" s="28"/>
      <c r="K47" s="28"/>
      <c r="L47" s="28"/>
      <c r="M47" s="28"/>
      <c r="N47" s="22"/>
      <c r="O47" s="22"/>
      <c r="P47" s="29"/>
      <c r="Q47" s="29"/>
      <c r="R47" s="29"/>
      <c r="S47" s="29"/>
      <c r="T47" s="29"/>
      <c r="U47" s="29"/>
      <c r="V47" s="29"/>
      <c r="W47" s="29"/>
      <c r="X47" s="29"/>
      <c r="Y47" s="29"/>
      <c r="Z47" s="29"/>
      <c r="AA47" s="29"/>
      <c r="AB47" s="29"/>
      <c r="AC47" s="29"/>
      <c r="AD47" s="29"/>
      <c r="AE47" s="29"/>
      <c r="AG47" s="26"/>
      <c r="AH47" s="3"/>
      <c r="AI47" s="3"/>
      <c r="AJ47" s="26"/>
      <c r="AK47" s="26"/>
      <c r="AL47" s="27"/>
      <c r="AM47" s="27"/>
      <c r="AN47" s="27"/>
      <c r="AO47" s="28"/>
      <c r="AP47" s="28"/>
      <c r="AQ47" s="28"/>
      <c r="AR47" s="28"/>
      <c r="AS47" s="28"/>
      <c r="AT47" s="22"/>
      <c r="AU47" s="22"/>
      <c r="AV47" s="29"/>
      <c r="AW47" s="29"/>
      <c r="AX47" s="29"/>
      <c r="AY47" s="29"/>
      <c r="AZ47" s="29"/>
      <c r="BA47" s="29"/>
      <c r="BB47" s="29"/>
      <c r="BC47" s="29"/>
      <c r="BD47" s="29"/>
      <c r="BE47" s="29"/>
      <c r="BF47" s="29"/>
      <c r="BG47" s="29"/>
      <c r="BH47" s="29"/>
      <c r="BI47" s="29"/>
      <c r="BJ47" s="29"/>
      <c r="BK47" s="29"/>
    </row>
    <row r="48" spans="1:63" ht="16.5" customHeight="1">
      <c r="A48" s="26"/>
      <c r="B48" s="26"/>
      <c r="C48" s="26"/>
      <c r="D48" s="26"/>
      <c r="E48" s="26"/>
      <c r="F48" s="27"/>
      <c r="G48" s="27"/>
      <c r="H48" s="27"/>
      <c r="I48" s="28"/>
      <c r="J48" s="28"/>
      <c r="K48" s="28"/>
      <c r="L48" s="28"/>
      <c r="M48" s="28"/>
      <c r="N48" s="22"/>
      <c r="O48" s="22"/>
      <c r="P48" s="29"/>
      <c r="Q48" s="29"/>
      <c r="R48" s="29"/>
      <c r="S48" s="29"/>
      <c r="T48" s="29"/>
      <c r="U48" s="29"/>
      <c r="V48" s="29"/>
      <c r="W48" s="29"/>
      <c r="X48" s="29"/>
      <c r="Y48" s="29"/>
      <c r="Z48" s="29"/>
      <c r="AA48" s="29"/>
      <c r="AB48" s="29"/>
      <c r="AC48" s="29"/>
      <c r="AD48" s="29"/>
      <c r="AE48" s="29"/>
      <c r="AG48" s="26"/>
      <c r="AH48" s="3"/>
      <c r="AI48" s="3"/>
      <c r="AJ48" s="26"/>
      <c r="AK48" s="26"/>
      <c r="AL48" s="27"/>
      <c r="AM48" s="27"/>
      <c r="AN48" s="27"/>
      <c r="AO48" s="28"/>
      <c r="AP48" s="28"/>
      <c r="AQ48" s="28"/>
      <c r="AR48" s="28"/>
      <c r="AS48" s="28"/>
      <c r="AT48" s="22"/>
      <c r="AU48" s="22"/>
      <c r="AV48" s="29"/>
      <c r="AW48" s="29"/>
      <c r="AX48" s="29"/>
      <c r="AY48" s="29"/>
      <c r="AZ48" s="29"/>
      <c r="BA48" s="29"/>
      <c r="BB48" s="29"/>
      <c r="BC48" s="29"/>
      <c r="BD48" s="29"/>
      <c r="BE48" s="29"/>
      <c r="BF48" s="29"/>
      <c r="BG48" s="29"/>
      <c r="BH48" s="29"/>
      <c r="BI48" s="29"/>
      <c r="BJ48" s="29"/>
      <c r="BK48" s="29"/>
    </row>
    <row r="49" spans="1:63" ht="16.5" customHeight="1">
      <c r="A49" s="26"/>
      <c r="B49" s="26"/>
      <c r="C49" s="26"/>
      <c r="D49" s="26"/>
      <c r="E49" s="26"/>
      <c r="F49" s="27"/>
      <c r="G49" s="27"/>
      <c r="H49" s="27"/>
      <c r="I49" s="28"/>
      <c r="J49" s="28"/>
      <c r="K49" s="28"/>
      <c r="L49" s="28"/>
      <c r="M49" s="28"/>
      <c r="N49" s="22"/>
      <c r="O49" s="22"/>
      <c r="P49" s="29"/>
      <c r="Q49" s="29"/>
      <c r="R49" s="29"/>
      <c r="S49" s="29"/>
      <c r="T49" s="29"/>
      <c r="U49" s="29"/>
      <c r="V49" s="29"/>
      <c r="W49" s="29"/>
      <c r="X49" s="29"/>
      <c r="Y49" s="29"/>
      <c r="Z49" s="29"/>
      <c r="AA49" s="29"/>
      <c r="AB49" s="29"/>
      <c r="AC49" s="29"/>
      <c r="AD49" s="29"/>
      <c r="AE49" s="29"/>
      <c r="AG49" s="26"/>
      <c r="AH49" s="3"/>
      <c r="AI49" s="3"/>
      <c r="AJ49" s="26"/>
      <c r="AK49" s="26"/>
      <c r="AL49" s="27"/>
      <c r="AM49" s="27"/>
      <c r="AN49" s="27"/>
      <c r="AO49" s="28"/>
      <c r="AP49" s="28"/>
      <c r="AQ49" s="28"/>
      <c r="AR49" s="28"/>
      <c r="AS49" s="28"/>
      <c r="AT49" s="22"/>
      <c r="AU49" s="22"/>
      <c r="AV49" s="29"/>
      <c r="AW49" s="29"/>
      <c r="AX49" s="29"/>
      <c r="AY49" s="29"/>
      <c r="AZ49" s="29"/>
      <c r="BA49" s="29"/>
      <c r="BB49" s="29"/>
      <c r="BC49" s="29"/>
      <c r="BD49" s="29"/>
      <c r="BE49" s="29"/>
      <c r="BF49" s="29"/>
      <c r="BG49" s="29"/>
      <c r="BH49" s="29"/>
      <c r="BI49" s="29"/>
      <c r="BJ49" s="29"/>
      <c r="BK49" s="29"/>
    </row>
    <row r="50" spans="1:63" ht="16.5" customHeight="1">
      <c r="A50" s="26"/>
      <c r="B50" s="26"/>
      <c r="C50" s="26"/>
      <c r="D50" s="26"/>
      <c r="E50" s="26"/>
      <c r="F50" s="27"/>
      <c r="G50" s="27"/>
      <c r="H50" s="27"/>
      <c r="I50" s="28"/>
      <c r="J50" s="28"/>
      <c r="K50" s="28"/>
      <c r="L50" s="28"/>
      <c r="M50" s="28"/>
      <c r="N50" s="22"/>
      <c r="O50" s="22"/>
      <c r="P50" s="29"/>
      <c r="Q50" s="29"/>
      <c r="R50" s="29"/>
      <c r="S50" s="29"/>
      <c r="T50" s="29"/>
      <c r="U50" s="29"/>
      <c r="V50" s="29"/>
      <c r="W50" s="29"/>
      <c r="X50" s="29"/>
      <c r="Y50" s="29"/>
      <c r="Z50" s="29"/>
      <c r="AA50" s="29"/>
      <c r="AB50" s="29"/>
      <c r="AC50" s="29"/>
      <c r="AD50" s="29"/>
      <c r="AE50" s="29"/>
      <c r="AG50" s="26"/>
      <c r="AH50" s="3"/>
      <c r="AI50" s="3"/>
      <c r="AJ50" s="26"/>
      <c r="AK50" s="26"/>
      <c r="AL50" s="27"/>
      <c r="AM50" s="27"/>
      <c r="AN50" s="27"/>
      <c r="AO50" s="28"/>
      <c r="AP50" s="28"/>
      <c r="AQ50" s="28"/>
      <c r="AR50" s="28"/>
      <c r="AS50" s="28"/>
      <c r="AT50" s="22"/>
      <c r="AU50" s="22"/>
      <c r="AV50" s="29"/>
      <c r="AW50" s="29"/>
      <c r="AX50" s="29"/>
      <c r="AY50" s="29"/>
      <c r="AZ50" s="29"/>
      <c r="BA50" s="29"/>
      <c r="BB50" s="29"/>
      <c r="BC50" s="29"/>
      <c r="BD50" s="29"/>
      <c r="BE50" s="29"/>
      <c r="BF50" s="29"/>
      <c r="BG50" s="29"/>
      <c r="BH50" s="29"/>
      <c r="BI50" s="29"/>
      <c r="BJ50" s="29"/>
      <c r="BK50" s="29"/>
    </row>
    <row r="51" spans="1:63" ht="16.5" customHeight="1">
      <c r="A51" s="26"/>
      <c r="B51" s="26"/>
      <c r="C51" s="26"/>
      <c r="D51" s="26"/>
      <c r="E51" s="26"/>
      <c r="F51" s="27"/>
      <c r="G51" s="27"/>
      <c r="H51" s="27"/>
      <c r="I51" s="28"/>
      <c r="J51" s="28"/>
      <c r="K51" s="28"/>
      <c r="L51" s="28"/>
      <c r="M51" s="28"/>
      <c r="N51" s="22"/>
      <c r="O51" s="22"/>
      <c r="P51" s="29"/>
      <c r="Q51" s="29"/>
      <c r="R51" s="29"/>
      <c r="S51" s="29"/>
      <c r="T51" s="29"/>
      <c r="U51" s="29"/>
      <c r="V51" s="29"/>
      <c r="W51" s="29"/>
      <c r="X51" s="29"/>
      <c r="Y51" s="29"/>
      <c r="Z51" s="29"/>
      <c r="AA51" s="29"/>
      <c r="AB51" s="29"/>
      <c r="AC51" s="29"/>
      <c r="AD51" s="29"/>
      <c r="AE51" s="29"/>
      <c r="AG51" s="26"/>
      <c r="AH51" s="3"/>
      <c r="AI51" s="3"/>
      <c r="AJ51" s="26"/>
      <c r="AK51" s="26"/>
      <c r="AL51" s="27"/>
      <c r="AM51" s="27"/>
      <c r="AN51" s="27"/>
      <c r="AO51" s="28"/>
      <c r="AP51" s="28"/>
      <c r="AQ51" s="28"/>
      <c r="AR51" s="28"/>
      <c r="AS51" s="28"/>
      <c r="AT51" s="22"/>
      <c r="AU51" s="22"/>
      <c r="AV51" s="29"/>
      <c r="AW51" s="29"/>
      <c r="AX51" s="29"/>
      <c r="AY51" s="29"/>
      <c r="AZ51" s="29"/>
      <c r="BA51" s="29"/>
      <c r="BB51" s="29"/>
      <c r="BC51" s="29"/>
      <c r="BD51" s="29"/>
      <c r="BE51" s="29"/>
      <c r="BF51" s="29"/>
      <c r="BG51" s="29"/>
      <c r="BH51" s="29"/>
      <c r="BI51" s="29"/>
      <c r="BJ51" s="29"/>
      <c r="BK51" s="29"/>
    </row>
    <row r="52" spans="1:63" ht="16.5" customHeight="1">
      <c r="A52" s="26"/>
      <c r="B52" s="26"/>
      <c r="C52" s="26"/>
      <c r="D52" s="26"/>
      <c r="E52" s="26"/>
      <c r="F52" s="27"/>
      <c r="G52" s="27"/>
      <c r="H52" s="27"/>
      <c r="I52" s="28"/>
      <c r="J52" s="28"/>
      <c r="K52" s="28"/>
      <c r="L52" s="28"/>
      <c r="M52" s="28"/>
      <c r="N52" s="22"/>
      <c r="O52" s="22"/>
      <c r="P52" s="29"/>
      <c r="Q52" s="29"/>
      <c r="R52" s="29"/>
      <c r="S52" s="29"/>
      <c r="T52" s="29"/>
      <c r="U52" s="29"/>
      <c r="V52" s="29"/>
      <c r="W52" s="29"/>
      <c r="X52" s="29"/>
      <c r="Y52" s="29"/>
      <c r="Z52" s="29"/>
      <c r="AA52" s="29"/>
      <c r="AB52" s="29"/>
      <c r="AC52" s="29"/>
      <c r="AD52" s="29"/>
      <c r="AE52" s="29"/>
      <c r="AG52" s="26"/>
      <c r="AH52" s="3"/>
      <c r="AI52" s="3"/>
      <c r="AJ52" s="26"/>
      <c r="AK52" s="26"/>
      <c r="AL52" s="27"/>
      <c r="AM52" s="27"/>
      <c r="AN52" s="27"/>
      <c r="AO52" s="28"/>
      <c r="AP52" s="28"/>
      <c r="AQ52" s="28"/>
      <c r="AR52" s="28"/>
      <c r="AS52" s="28"/>
      <c r="AT52" s="22"/>
      <c r="AU52" s="22"/>
      <c r="AV52" s="29"/>
      <c r="AW52" s="29"/>
      <c r="AX52" s="29"/>
      <c r="AY52" s="29"/>
      <c r="AZ52" s="29"/>
      <c r="BA52" s="29"/>
      <c r="BB52" s="29"/>
      <c r="BC52" s="29"/>
      <c r="BD52" s="29"/>
      <c r="BE52" s="29"/>
      <c r="BF52" s="29"/>
      <c r="BG52" s="29"/>
      <c r="BH52" s="29"/>
      <c r="BI52" s="29"/>
      <c r="BJ52" s="29"/>
      <c r="BK52" s="29"/>
    </row>
    <row r="53" spans="1:63" ht="16.5" customHeight="1">
      <c r="A53" s="26"/>
      <c r="B53" s="26"/>
      <c r="C53" s="26"/>
      <c r="D53" s="26"/>
      <c r="E53" s="26"/>
      <c r="F53" s="27"/>
      <c r="G53" s="27"/>
      <c r="H53" s="27"/>
      <c r="I53" s="28"/>
      <c r="J53" s="28"/>
      <c r="K53" s="28"/>
      <c r="L53" s="28"/>
      <c r="M53" s="28"/>
      <c r="N53" s="22"/>
      <c r="O53" s="22"/>
      <c r="P53" s="29"/>
      <c r="Q53" s="29"/>
      <c r="R53" s="29"/>
      <c r="S53" s="29"/>
      <c r="T53" s="29"/>
      <c r="U53" s="29"/>
      <c r="V53" s="29"/>
      <c r="W53" s="29"/>
      <c r="X53" s="29"/>
      <c r="Y53" s="29"/>
      <c r="Z53" s="29"/>
      <c r="AA53" s="29"/>
      <c r="AB53" s="29"/>
      <c r="AC53" s="29"/>
      <c r="AD53" s="29"/>
      <c r="AE53" s="29"/>
      <c r="AG53" s="26"/>
      <c r="AH53" s="3"/>
      <c r="AI53" s="3"/>
      <c r="AJ53" s="26"/>
      <c r="AK53" s="26"/>
      <c r="AL53" s="27"/>
      <c r="AM53" s="27"/>
      <c r="AN53" s="27"/>
      <c r="AO53" s="28"/>
      <c r="AP53" s="28"/>
      <c r="AQ53" s="28"/>
      <c r="AR53" s="28"/>
      <c r="AS53" s="28"/>
      <c r="AT53" s="22"/>
      <c r="AU53" s="22"/>
      <c r="AV53" s="29"/>
      <c r="AW53" s="29"/>
      <c r="AX53" s="29"/>
      <c r="AY53" s="29"/>
      <c r="AZ53" s="29"/>
      <c r="BA53" s="29"/>
      <c r="BB53" s="29"/>
      <c r="BC53" s="29"/>
      <c r="BD53" s="29"/>
      <c r="BE53" s="29"/>
      <c r="BF53" s="29"/>
      <c r="BG53" s="29"/>
      <c r="BH53" s="29"/>
      <c r="BI53" s="29"/>
      <c r="BJ53" s="29"/>
      <c r="BK53" s="29"/>
    </row>
    <row r="54" spans="1:63" ht="16.5" customHeight="1">
      <c r="A54" s="26"/>
      <c r="B54" s="26"/>
      <c r="C54" s="26"/>
      <c r="D54" s="26"/>
      <c r="E54" s="26"/>
      <c r="F54" s="27"/>
      <c r="G54" s="27"/>
      <c r="H54" s="27"/>
      <c r="I54" s="28"/>
      <c r="J54" s="28"/>
      <c r="K54" s="28"/>
      <c r="L54" s="28"/>
      <c r="M54" s="28"/>
      <c r="N54" s="22"/>
      <c r="O54" s="22"/>
      <c r="P54" s="29"/>
      <c r="Q54" s="29"/>
      <c r="R54" s="29"/>
      <c r="S54" s="29"/>
      <c r="T54" s="29"/>
      <c r="U54" s="29"/>
      <c r="V54" s="29"/>
      <c r="W54" s="29"/>
      <c r="X54" s="29"/>
      <c r="Y54" s="29"/>
      <c r="Z54" s="29"/>
      <c r="AA54" s="29"/>
      <c r="AB54" s="29"/>
      <c r="AC54" s="29"/>
      <c r="AD54" s="29"/>
      <c r="AE54" s="29"/>
      <c r="AG54" s="26"/>
      <c r="AH54" s="3"/>
      <c r="AI54" s="3"/>
      <c r="AJ54" s="26"/>
      <c r="AK54" s="26"/>
      <c r="AL54" s="27"/>
      <c r="AM54" s="27"/>
      <c r="AN54" s="27"/>
      <c r="AO54" s="28"/>
      <c r="AP54" s="28"/>
      <c r="AQ54" s="28"/>
      <c r="AR54" s="28"/>
      <c r="AS54" s="28"/>
      <c r="AT54" s="22"/>
      <c r="AU54" s="22"/>
      <c r="AV54" s="29"/>
      <c r="AW54" s="29"/>
      <c r="AX54" s="29"/>
      <c r="AY54" s="29"/>
      <c r="AZ54" s="29"/>
      <c r="BA54" s="29"/>
      <c r="BB54" s="29"/>
      <c r="BC54" s="29"/>
      <c r="BD54" s="29"/>
      <c r="BE54" s="29"/>
      <c r="BF54" s="29"/>
      <c r="BG54" s="29"/>
      <c r="BH54" s="29"/>
      <c r="BI54" s="29"/>
      <c r="BJ54" s="29"/>
      <c r="BK54" s="29"/>
    </row>
    <row r="55" spans="1:63" ht="16.5" customHeight="1">
      <c r="A55" s="26"/>
      <c r="B55" s="26"/>
      <c r="C55" s="26"/>
      <c r="D55" s="26"/>
      <c r="E55" s="26"/>
      <c r="F55" s="27"/>
      <c r="G55" s="27"/>
      <c r="H55" s="27"/>
      <c r="I55" s="28"/>
      <c r="J55" s="28"/>
      <c r="K55" s="28"/>
      <c r="L55" s="28"/>
      <c r="M55" s="28"/>
      <c r="N55" s="22"/>
      <c r="O55" s="22"/>
      <c r="P55" s="29"/>
      <c r="Q55" s="29"/>
      <c r="R55" s="29"/>
      <c r="S55" s="29"/>
      <c r="T55" s="29"/>
      <c r="U55" s="29"/>
      <c r="V55" s="29"/>
      <c r="W55" s="29"/>
      <c r="X55" s="29"/>
      <c r="Y55" s="29"/>
      <c r="Z55" s="29"/>
      <c r="AA55" s="29"/>
      <c r="AB55" s="29"/>
      <c r="AC55" s="29"/>
      <c r="AD55" s="29"/>
      <c r="AE55" s="29"/>
      <c r="AG55" s="26"/>
      <c r="AH55" s="3"/>
      <c r="AI55" s="3"/>
      <c r="AJ55" s="26"/>
      <c r="AK55" s="26"/>
      <c r="AL55" s="27"/>
      <c r="AM55" s="27"/>
      <c r="AN55" s="27"/>
      <c r="AO55" s="28"/>
      <c r="AP55" s="28"/>
      <c r="AQ55" s="28"/>
      <c r="AR55" s="28"/>
      <c r="AS55" s="28"/>
      <c r="AT55" s="22"/>
      <c r="AU55" s="22"/>
      <c r="AV55" s="29"/>
      <c r="AW55" s="29"/>
      <c r="AX55" s="29"/>
      <c r="AY55" s="29"/>
      <c r="AZ55" s="29"/>
      <c r="BA55" s="29"/>
      <c r="BB55" s="29"/>
      <c r="BC55" s="29"/>
      <c r="BD55" s="29"/>
      <c r="BE55" s="29"/>
      <c r="BF55" s="29"/>
      <c r="BG55" s="29"/>
      <c r="BH55" s="29"/>
      <c r="BI55" s="29"/>
      <c r="BJ55" s="29"/>
      <c r="BK55" s="29"/>
    </row>
    <row r="56" spans="1:63" ht="16.5" customHeight="1">
      <c r="A56" s="26"/>
      <c r="B56" s="26"/>
      <c r="C56" s="26"/>
      <c r="D56" s="26"/>
      <c r="E56" s="26"/>
      <c r="F56" s="27"/>
      <c r="G56" s="27"/>
      <c r="H56" s="27"/>
      <c r="I56" s="28"/>
      <c r="J56" s="28"/>
      <c r="K56" s="28"/>
      <c r="L56" s="28"/>
      <c r="M56" s="28"/>
      <c r="N56" s="22"/>
      <c r="O56" s="22"/>
      <c r="P56" s="29"/>
      <c r="Q56" s="29"/>
      <c r="R56" s="29"/>
      <c r="S56" s="29"/>
      <c r="T56" s="29"/>
      <c r="U56" s="29"/>
      <c r="V56" s="29"/>
      <c r="W56" s="29"/>
      <c r="X56" s="29"/>
      <c r="Y56" s="29"/>
      <c r="Z56" s="29"/>
      <c r="AA56" s="29"/>
      <c r="AB56" s="29"/>
      <c r="AC56" s="29"/>
      <c r="AD56" s="29"/>
      <c r="AE56" s="29"/>
      <c r="AG56" s="26"/>
      <c r="AH56" s="3"/>
      <c r="AI56" s="3"/>
      <c r="AJ56" s="26"/>
      <c r="AK56" s="26"/>
      <c r="AL56" s="27"/>
      <c r="AM56" s="27"/>
      <c r="AN56" s="27"/>
      <c r="AO56" s="28"/>
      <c r="AP56" s="28"/>
      <c r="AQ56" s="28"/>
      <c r="AR56" s="28"/>
      <c r="AS56" s="28"/>
      <c r="AT56" s="22"/>
      <c r="AU56" s="22"/>
      <c r="AV56" s="29"/>
      <c r="AW56" s="29"/>
      <c r="AX56" s="29"/>
      <c r="AY56" s="29"/>
      <c r="AZ56" s="29"/>
      <c r="BA56" s="29"/>
      <c r="BB56" s="29"/>
      <c r="BC56" s="29"/>
      <c r="BD56" s="29"/>
      <c r="BE56" s="29"/>
      <c r="BF56" s="29"/>
      <c r="BG56" s="29"/>
      <c r="BH56" s="29"/>
      <c r="BI56" s="29"/>
      <c r="BJ56" s="29"/>
      <c r="BK56" s="29"/>
    </row>
    <row r="57" spans="1:63" ht="16.5" customHeight="1">
      <c r="A57" s="26"/>
      <c r="B57" s="26"/>
      <c r="C57" s="26"/>
      <c r="D57" s="26"/>
      <c r="E57" s="26"/>
      <c r="F57" s="27"/>
      <c r="G57" s="27"/>
      <c r="H57" s="27"/>
      <c r="I57" s="28"/>
      <c r="J57" s="28"/>
      <c r="K57" s="28"/>
      <c r="L57" s="28"/>
      <c r="M57" s="28"/>
      <c r="N57" s="22"/>
      <c r="O57" s="22"/>
      <c r="P57" s="29"/>
      <c r="Q57" s="29"/>
      <c r="R57" s="29"/>
      <c r="S57" s="29"/>
      <c r="T57" s="29"/>
      <c r="U57" s="29"/>
      <c r="V57" s="29"/>
      <c r="W57" s="29"/>
      <c r="X57" s="29"/>
      <c r="Y57" s="29"/>
      <c r="Z57" s="29"/>
      <c r="AA57" s="29"/>
      <c r="AB57" s="29"/>
      <c r="AC57" s="29"/>
      <c r="AD57" s="29"/>
      <c r="AE57" s="29"/>
      <c r="AG57" s="26"/>
      <c r="AH57" s="3"/>
      <c r="AI57" s="3"/>
      <c r="AJ57" s="26"/>
      <c r="AK57" s="26"/>
      <c r="AL57" s="27"/>
      <c r="AM57" s="27"/>
      <c r="AN57" s="27"/>
      <c r="AO57" s="28"/>
      <c r="AP57" s="28"/>
      <c r="AQ57" s="28"/>
      <c r="AR57" s="28"/>
      <c r="AS57" s="28"/>
      <c r="AT57" s="22"/>
      <c r="AU57" s="22"/>
      <c r="AV57" s="29"/>
      <c r="AW57" s="29"/>
      <c r="AX57" s="29"/>
      <c r="AY57" s="29"/>
      <c r="AZ57" s="29"/>
      <c r="BA57" s="29"/>
      <c r="BB57" s="29"/>
      <c r="BC57" s="29"/>
      <c r="BD57" s="29"/>
      <c r="BE57" s="29"/>
      <c r="BF57" s="29"/>
      <c r="BG57" s="29"/>
      <c r="BH57" s="29"/>
      <c r="BI57" s="29"/>
      <c r="BJ57" s="29"/>
      <c r="BK57" s="29"/>
    </row>
    <row r="58" spans="1:63" ht="16.5" customHeight="1">
      <c r="A58" s="98" t="s">
        <v>3</v>
      </c>
      <c r="B58" s="98"/>
      <c r="C58" s="98"/>
      <c r="D58" s="98"/>
      <c r="E58" s="98"/>
      <c r="F58" s="155" t="s">
        <v>4</v>
      </c>
      <c r="G58" s="155"/>
      <c r="H58" s="155"/>
      <c r="I58" s="98" t="s">
        <v>5</v>
      </c>
      <c r="J58" s="98"/>
      <c r="K58" s="98"/>
      <c r="L58" s="98"/>
      <c r="M58" s="98"/>
      <c r="N58" s="98"/>
      <c r="O58" s="98"/>
      <c r="P58" s="98" t="s">
        <v>6</v>
      </c>
      <c r="Q58" s="98"/>
      <c r="R58" s="98"/>
      <c r="S58" s="98"/>
      <c r="T58" s="98" t="s">
        <v>7</v>
      </c>
      <c r="U58" s="98"/>
      <c r="V58" s="98"/>
      <c r="W58" s="98"/>
      <c r="X58" s="98" t="s">
        <v>8</v>
      </c>
      <c r="Y58" s="98"/>
      <c r="Z58" s="98"/>
      <c r="AA58" s="98"/>
      <c r="AB58" s="98" t="s">
        <v>52</v>
      </c>
      <c r="AC58" s="98"/>
      <c r="AD58" s="98"/>
      <c r="AE58" s="98"/>
      <c r="AF58" s="3"/>
      <c r="AG58" s="98" t="s">
        <v>3</v>
      </c>
      <c r="AH58" s="98"/>
      <c r="AI58" s="98"/>
      <c r="AJ58" s="98"/>
      <c r="AK58" s="98"/>
      <c r="AL58" s="155" t="s">
        <v>4</v>
      </c>
      <c r="AM58" s="155"/>
      <c r="AN58" s="155"/>
      <c r="AO58" s="98" t="s">
        <v>5</v>
      </c>
      <c r="AP58" s="98"/>
      <c r="AQ58" s="98"/>
      <c r="AR58" s="98"/>
      <c r="AS58" s="98"/>
      <c r="AT58" s="98"/>
      <c r="AU58" s="98"/>
      <c r="AV58" s="98" t="s">
        <v>6</v>
      </c>
      <c r="AW58" s="98"/>
      <c r="AX58" s="98"/>
      <c r="AY58" s="98"/>
      <c r="AZ58" s="98" t="s">
        <v>7</v>
      </c>
      <c r="BA58" s="98"/>
      <c r="BB58" s="98"/>
      <c r="BC58" s="98"/>
      <c r="BD58" s="98" t="s">
        <v>8</v>
      </c>
      <c r="BE58" s="98"/>
      <c r="BF58" s="98"/>
      <c r="BG58" s="98"/>
      <c r="BH58" s="98" t="s">
        <v>52</v>
      </c>
      <c r="BI58" s="98"/>
      <c r="BJ58" s="98"/>
      <c r="BK58" s="98"/>
    </row>
    <row r="59" spans="1:63" ht="16.5" customHeight="1">
      <c r="A59" s="163">
        <v>919</v>
      </c>
      <c r="B59" s="163"/>
      <c r="C59" s="163"/>
      <c r="D59" s="163"/>
      <c r="E59" s="163"/>
      <c r="F59" s="164">
        <v>3</v>
      </c>
      <c r="G59" s="164"/>
      <c r="H59" s="164"/>
      <c r="I59" s="156" t="s">
        <v>9</v>
      </c>
      <c r="J59" s="156"/>
      <c r="K59" s="156"/>
      <c r="L59" s="156"/>
      <c r="M59" s="156"/>
      <c r="N59" s="100" t="s">
        <v>10</v>
      </c>
      <c r="O59" s="100"/>
      <c r="P59" s="99">
        <f>P71+25</f>
        <v>206</v>
      </c>
      <c r="Q59" s="99"/>
      <c r="R59" s="99"/>
      <c r="S59" s="99"/>
      <c r="T59" s="99">
        <f>P59+30</f>
        <v>236</v>
      </c>
      <c r="U59" s="99"/>
      <c r="V59" s="99"/>
      <c r="W59" s="99"/>
      <c r="X59" s="99">
        <f>T59+30</f>
        <v>266</v>
      </c>
      <c r="Y59" s="99"/>
      <c r="Z59" s="99"/>
      <c r="AA59" s="99"/>
      <c r="AB59" s="99">
        <f>X59+30</f>
        <v>296</v>
      </c>
      <c r="AC59" s="99"/>
      <c r="AD59" s="99"/>
      <c r="AE59" s="99"/>
      <c r="AG59" s="166" t="s">
        <v>62</v>
      </c>
      <c r="AH59" s="166"/>
      <c r="AI59" s="166"/>
      <c r="AJ59" s="166"/>
      <c r="AK59" s="166"/>
      <c r="AL59" s="94">
        <v>5</v>
      </c>
      <c r="AM59" s="94"/>
      <c r="AN59" s="94"/>
      <c r="AO59" s="95" t="s">
        <v>9</v>
      </c>
      <c r="AP59" s="95"/>
      <c r="AQ59" s="95"/>
      <c r="AR59" s="95"/>
      <c r="AS59" s="95"/>
      <c r="AT59" s="100" t="s">
        <v>10</v>
      </c>
      <c r="AU59" s="100"/>
      <c r="AV59" s="99">
        <f>AV71+25</f>
        <v>210</v>
      </c>
      <c r="AW59" s="99"/>
      <c r="AX59" s="99"/>
      <c r="AY59" s="99"/>
      <c r="AZ59" s="99">
        <f>AV59+30</f>
        <v>240</v>
      </c>
      <c r="BA59" s="99"/>
      <c r="BB59" s="99"/>
      <c r="BC59" s="99"/>
      <c r="BD59" s="99">
        <f>AZ59+30</f>
        <v>270</v>
      </c>
      <c r="BE59" s="99"/>
      <c r="BF59" s="99"/>
      <c r="BG59" s="99"/>
      <c r="BH59" s="99">
        <f>BD59+30</f>
        <v>300</v>
      </c>
      <c r="BI59" s="99"/>
      <c r="BJ59" s="99"/>
      <c r="BK59" s="99"/>
    </row>
    <row r="60" spans="1:63" ht="16.5" customHeight="1">
      <c r="A60" s="163"/>
      <c r="B60" s="163"/>
      <c r="C60" s="163"/>
      <c r="D60" s="163"/>
      <c r="E60" s="163"/>
      <c r="F60" s="165"/>
      <c r="G60" s="165"/>
      <c r="H60" s="165"/>
      <c r="I60" s="156"/>
      <c r="J60" s="156"/>
      <c r="K60" s="156"/>
      <c r="L60" s="156"/>
      <c r="M60" s="156"/>
      <c r="N60" s="100" t="s">
        <v>11</v>
      </c>
      <c r="O60" s="100"/>
      <c r="P60" s="99">
        <f>CEILING(P59*0.95,0.5)</f>
        <v>196</v>
      </c>
      <c r="Q60" s="99"/>
      <c r="R60" s="99"/>
      <c r="S60" s="99"/>
      <c r="T60" s="99">
        <f>CEILING(T59*0.95,0.5)</f>
        <v>224.5</v>
      </c>
      <c r="U60" s="99"/>
      <c r="V60" s="99"/>
      <c r="W60" s="99"/>
      <c r="X60" s="99">
        <f>CEILING(X59*0.95,0.5)</f>
        <v>253</v>
      </c>
      <c r="Y60" s="99"/>
      <c r="Z60" s="99"/>
      <c r="AA60" s="99"/>
      <c r="AB60" s="99">
        <f>CEILING(AB59*0.95,0.5)</f>
        <v>281.5</v>
      </c>
      <c r="AC60" s="99"/>
      <c r="AD60" s="99"/>
      <c r="AE60" s="99"/>
      <c r="AG60" s="166"/>
      <c r="AH60" s="166"/>
      <c r="AI60" s="166"/>
      <c r="AJ60" s="166"/>
      <c r="AK60" s="166"/>
      <c r="AL60" s="94"/>
      <c r="AM60" s="94"/>
      <c r="AN60" s="94"/>
      <c r="AO60" s="95"/>
      <c r="AP60" s="95"/>
      <c r="AQ60" s="95"/>
      <c r="AR60" s="95"/>
      <c r="AS60" s="95"/>
      <c r="AT60" s="100" t="s">
        <v>11</v>
      </c>
      <c r="AU60" s="100"/>
      <c r="AV60" s="99">
        <f>CEILING(AV59*0.95,0.5)</f>
        <v>199.5</v>
      </c>
      <c r="AW60" s="99"/>
      <c r="AX60" s="99"/>
      <c r="AY60" s="99"/>
      <c r="AZ60" s="99">
        <f>CEILING(AZ59*0.95,0.5)</f>
        <v>228</v>
      </c>
      <c r="BA60" s="99"/>
      <c r="BB60" s="99"/>
      <c r="BC60" s="99"/>
      <c r="BD60" s="99">
        <f>CEILING(BD59*0.95,0.5)</f>
        <v>256.5</v>
      </c>
      <c r="BE60" s="99"/>
      <c r="BF60" s="99"/>
      <c r="BG60" s="99"/>
      <c r="BH60" s="99">
        <f>CEILING(BH59*0.95,0.5)</f>
        <v>285</v>
      </c>
      <c r="BI60" s="99"/>
      <c r="BJ60" s="99"/>
      <c r="BK60" s="99"/>
    </row>
    <row r="61" spans="1:63" ht="16.5" customHeight="1">
      <c r="A61" s="163"/>
      <c r="B61" s="163"/>
      <c r="C61" s="163"/>
      <c r="D61" s="163"/>
      <c r="E61" s="163"/>
      <c r="F61" s="165"/>
      <c r="G61" s="165"/>
      <c r="H61" s="165"/>
      <c r="I61" s="156"/>
      <c r="J61" s="156"/>
      <c r="K61" s="156"/>
      <c r="L61" s="156"/>
      <c r="M61" s="156"/>
      <c r="N61" s="100" t="s">
        <v>12</v>
      </c>
      <c r="O61" s="100"/>
      <c r="P61" s="99">
        <f>P73+25</f>
        <v>184</v>
      </c>
      <c r="Q61" s="99"/>
      <c r="R61" s="99"/>
      <c r="S61" s="99"/>
      <c r="T61" s="99">
        <f>P61+30</f>
        <v>214</v>
      </c>
      <c r="U61" s="99"/>
      <c r="V61" s="99"/>
      <c r="W61" s="99"/>
      <c r="X61" s="99">
        <f>T61+30</f>
        <v>244</v>
      </c>
      <c r="Y61" s="99"/>
      <c r="Z61" s="99"/>
      <c r="AA61" s="99"/>
      <c r="AB61" s="99">
        <f>X61+30</f>
        <v>274</v>
      </c>
      <c r="AC61" s="99"/>
      <c r="AD61" s="99"/>
      <c r="AE61" s="99"/>
      <c r="AG61" s="166"/>
      <c r="AH61" s="166"/>
      <c r="AI61" s="166"/>
      <c r="AJ61" s="166"/>
      <c r="AK61" s="166"/>
      <c r="AL61" s="94"/>
      <c r="AM61" s="94"/>
      <c r="AN61" s="94"/>
      <c r="AO61" s="95"/>
      <c r="AP61" s="95"/>
      <c r="AQ61" s="95"/>
      <c r="AR61" s="95"/>
      <c r="AS61" s="95"/>
      <c r="AT61" s="100" t="s">
        <v>12</v>
      </c>
      <c r="AU61" s="100"/>
      <c r="AV61" s="99">
        <f>AV73+25</f>
        <v>187.5</v>
      </c>
      <c r="AW61" s="99"/>
      <c r="AX61" s="99"/>
      <c r="AY61" s="99"/>
      <c r="AZ61" s="99">
        <f>AV61+30</f>
        <v>217.5</v>
      </c>
      <c r="BA61" s="99"/>
      <c r="BB61" s="99"/>
      <c r="BC61" s="99"/>
      <c r="BD61" s="99">
        <f>AZ61+30</f>
        <v>247.5</v>
      </c>
      <c r="BE61" s="99"/>
      <c r="BF61" s="99"/>
      <c r="BG61" s="99"/>
      <c r="BH61" s="99">
        <f>BD61+30</f>
        <v>277.5</v>
      </c>
      <c r="BI61" s="99"/>
      <c r="BJ61" s="99"/>
      <c r="BK61" s="99"/>
    </row>
    <row r="62" spans="1:63" ht="16.5" customHeight="1">
      <c r="A62" s="163"/>
      <c r="B62" s="163"/>
      <c r="C62" s="163"/>
      <c r="D62" s="163"/>
      <c r="E62" s="163"/>
      <c r="F62" s="165"/>
      <c r="G62" s="165"/>
      <c r="H62" s="165"/>
      <c r="I62" s="97" t="s">
        <v>63</v>
      </c>
      <c r="J62" s="97"/>
      <c r="K62" s="97"/>
      <c r="L62" s="97"/>
      <c r="M62" s="97"/>
      <c r="N62" s="98" t="s">
        <v>10</v>
      </c>
      <c r="O62" s="98"/>
      <c r="P62" s="96">
        <f>CEILING(P59*0.4+5,0.5)</f>
        <v>87.5</v>
      </c>
      <c r="Q62" s="96"/>
      <c r="R62" s="96"/>
      <c r="S62" s="96"/>
      <c r="T62" s="96">
        <f>CEILING(T59*0.4+5,0.5)</f>
        <v>99.5</v>
      </c>
      <c r="U62" s="96"/>
      <c r="V62" s="96"/>
      <c r="W62" s="96"/>
      <c r="X62" s="96">
        <f>CEILING(X59*0.4+5,0.5)</f>
        <v>111.5</v>
      </c>
      <c r="Y62" s="96"/>
      <c r="Z62" s="96"/>
      <c r="AA62" s="96"/>
      <c r="AB62" s="96">
        <f>CEILING(AB59*0.4+5,0.5)</f>
        <v>123.5</v>
      </c>
      <c r="AC62" s="96"/>
      <c r="AD62" s="96"/>
      <c r="AE62" s="96"/>
      <c r="AG62" s="166"/>
      <c r="AH62" s="166"/>
      <c r="AI62" s="166"/>
      <c r="AJ62" s="166"/>
      <c r="AK62" s="166"/>
      <c r="AL62" s="94"/>
      <c r="AM62" s="94"/>
      <c r="AN62" s="94"/>
      <c r="AO62" s="97" t="s">
        <v>14</v>
      </c>
      <c r="AP62" s="97"/>
      <c r="AQ62" s="97"/>
      <c r="AR62" s="97"/>
      <c r="AS62" s="97"/>
      <c r="AT62" s="98" t="s">
        <v>10</v>
      </c>
      <c r="AU62" s="98"/>
      <c r="AV62" s="96">
        <f>CEILING(AV59*0.47+5,0.5)</f>
        <v>104</v>
      </c>
      <c r="AW62" s="96"/>
      <c r="AX62" s="96"/>
      <c r="AY62" s="96"/>
      <c r="AZ62" s="96">
        <f>CEILING(AZ59*0.47+5,0.5)</f>
        <v>118</v>
      </c>
      <c r="BA62" s="96"/>
      <c r="BB62" s="96"/>
      <c r="BC62" s="96"/>
      <c r="BD62" s="96">
        <f>CEILING(BD59*0.47+5,0.5)</f>
        <v>132</v>
      </c>
      <c r="BE62" s="96"/>
      <c r="BF62" s="96"/>
      <c r="BG62" s="96"/>
      <c r="BH62" s="96">
        <f>CEILING(BH59*0.47+5,0.5)</f>
        <v>146</v>
      </c>
      <c r="BI62" s="96"/>
      <c r="BJ62" s="96"/>
      <c r="BK62" s="96"/>
    </row>
    <row r="63" spans="1:63" ht="16.5" customHeight="1">
      <c r="A63" s="163"/>
      <c r="B63" s="163"/>
      <c r="C63" s="163"/>
      <c r="D63" s="163"/>
      <c r="E63" s="163"/>
      <c r="F63" s="165"/>
      <c r="G63" s="165"/>
      <c r="H63" s="165"/>
      <c r="I63" s="97"/>
      <c r="J63" s="97"/>
      <c r="K63" s="97"/>
      <c r="L63" s="97"/>
      <c r="M63" s="97"/>
      <c r="N63" s="98" t="s">
        <v>11</v>
      </c>
      <c r="O63" s="98"/>
      <c r="P63" s="96">
        <f>CEILING(P62*0.95,0.5)</f>
        <v>83.5</v>
      </c>
      <c r="Q63" s="96"/>
      <c r="R63" s="96"/>
      <c r="S63" s="96"/>
      <c r="T63" s="96">
        <f>CEILING(T62*0.95,0.5)</f>
        <v>95</v>
      </c>
      <c r="U63" s="96"/>
      <c r="V63" s="96"/>
      <c r="W63" s="96"/>
      <c r="X63" s="96">
        <f>CEILING(X62*0.95,0.5)</f>
        <v>106</v>
      </c>
      <c r="Y63" s="96"/>
      <c r="Z63" s="96"/>
      <c r="AA63" s="96"/>
      <c r="AB63" s="96">
        <f>CEILING(AB62*0.95,0.5)</f>
        <v>117.5</v>
      </c>
      <c r="AC63" s="96"/>
      <c r="AD63" s="96"/>
      <c r="AE63" s="96"/>
      <c r="AG63" s="166"/>
      <c r="AH63" s="166"/>
      <c r="AI63" s="166"/>
      <c r="AJ63" s="166"/>
      <c r="AK63" s="166"/>
      <c r="AL63" s="94"/>
      <c r="AM63" s="94"/>
      <c r="AN63" s="94"/>
      <c r="AO63" s="97"/>
      <c r="AP63" s="97"/>
      <c r="AQ63" s="97"/>
      <c r="AR63" s="97"/>
      <c r="AS63" s="97"/>
      <c r="AT63" s="98" t="s">
        <v>11</v>
      </c>
      <c r="AU63" s="98"/>
      <c r="AV63" s="96">
        <f>CEILING(AV62*0.95,0.5)</f>
        <v>99</v>
      </c>
      <c r="AW63" s="96"/>
      <c r="AX63" s="96"/>
      <c r="AY63" s="96"/>
      <c r="AZ63" s="96">
        <f>CEILING(AZ62*0.95,0.5)</f>
        <v>112.5</v>
      </c>
      <c r="BA63" s="96"/>
      <c r="BB63" s="96"/>
      <c r="BC63" s="96"/>
      <c r="BD63" s="96">
        <f>CEILING(BD62*0.95,0.5)</f>
        <v>125.5</v>
      </c>
      <c r="BE63" s="96"/>
      <c r="BF63" s="96"/>
      <c r="BG63" s="96"/>
      <c r="BH63" s="96">
        <f>CEILING(BH62*0.95,0.5)</f>
        <v>139</v>
      </c>
      <c r="BI63" s="96"/>
      <c r="BJ63" s="96"/>
      <c r="BK63" s="96"/>
    </row>
    <row r="64" spans="1:63" ht="16.5" customHeight="1">
      <c r="A64" s="163"/>
      <c r="B64" s="163"/>
      <c r="C64" s="163"/>
      <c r="D64" s="163"/>
      <c r="E64" s="163"/>
      <c r="F64" s="165"/>
      <c r="G64" s="165"/>
      <c r="H64" s="165"/>
      <c r="I64" s="97"/>
      <c r="J64" s="97"/>
      <c r="K64" s="97"/>
      <c r="L64" s="97"/>
      <c r="M64" s="97"/>
      <c r="N64" s="98" t="s">
        <v>12</v>
      </c>
      <c r="O64" s="98"/>
      <c r="P64" s="96">
        <f>CEILING(P61*0.4+5,0.5)</f>
        <v>79</v>
      </c>
      <c r="Q64" s="96"/>
      <c r="R64" s="96"/>
      <c r="S64" s="96"/>
      <c r="T64" s="96">
        <f>CEILING(T61*0.4+5,0.5)</f>
        <v>91</v>
      </c>
      <c r="U64" s="96"/>
      <c r="V64" s="96"/>
      <c r="W64" s="96"/>
      <c r="X64" s="96">
        <f>CEILING(X61*0.4+5,0.5)</f>
        <v>103</v>
      </c>
      <c r="Y64" s="96"/>
      <c r="Z64" s="96"/>
      <c r="AA64" s="96"/>
      <c r="AB64" s="96">
        <f>CEILING(AB61*0.4+5,0.5)</f>
        <v>115</v>
      </c>
      <c r="AC64" s="96"/>
      <c r="AD64" s="96"/>
      <c r="AE64" s="96"/>
      <c r="AG64" s="166"/>
      <c r="AH64" s="166"/>
      <c r="AI64" s="166"/>
      <c r="AJ64" s="166"/>
      <c r="AK64" s="166"/>
      <c r="AL64" s="94"/>
      <c r="AM64" s="94"/>
      <c r="AN64" s="94"/>
      <c r="AO64" s="97"/>
      <c r="AP64" s="97"/>
      <c r="AQ64" s="97"/>
      <c r="AR64" s="97"/>
      <c r="AS64" s="97"/>
      <c r="AT64" s="98" t="s">
        <v>12</v>
      </c>
      <c r="AU64" s="98"/>
      <c r="AV64" s="96">
        <f>CEILING(AV61*0.47+5,0.5)</f>
        <v>93.5</v>
      </c>
      <c r="AW64" s="96"/>
      <c r="AX64" s="96"/>
      <c r="AY64" s="96"/>
      <c r="AZ64" s="96">
        <f>CEILING(AZ61*0.47+5,0.5)</f>
        <v>107.5</v>
      </c>
      <c r="BA64" s="96"/>
      <c r="BB64" s="96"/>
      <c r="BC64" s="96"/>
      <c r="BD64" s="96">
        <f>CEILING(BD61*0.47+5,0.5)</f>
        <v>121.5</v>
      </c>
      <c r="BE64" s="96"/>
      <c r="BF64" s="96"/>
      <c r="BG64" s="96"/>
      <c r="BH64" s="96">
        <f>CEILING(BH61*0.47+5,0.5)</f>
        <v>135.5</v>
      </c>
      <c r="BI64" s="96"/>
      <c r="BJ64" s="96"/>
      <c r="BK64" s="96"/>
    </row>
    <row r="65" spans="1:63" ht="16.5" customHeight="1">
      <c r="A65" s="163"/>
      <c r="B65" s="163"/>
      <c r="C65" s="163"/>
      <c r="D65" s="163"/>
      <c r="E65" s="163"/>
      <c r="F65" s="165"/>
      <c r="G65" s="165"/>
      <c r="H65" s="165"/>
      <c r="I65" s="156" t="s">
        <v>15</v>
      </c>
      <c r="J65" s="156"/>
      <c r="K65" s="156"/>
      <c r="L65" s="156"/>
      <c r="M65" s="156"/>
      <c r="N65" s="100" t="s">
        <v>10</v>
      </c>
      <c r="O65" s="100"/>
      <c r="P65" s="99">
        <f>P71+15</f>
        <v>196</v>
      </c>
      <c r="Q65" s="99"/>
      <c r="R65" s="99"/>
      <c r="S65" s="99"/>
      <c r="T65" s="99">
        <f>P65+15</f>
        <v>211</v>
      </c>
      <c r="U65" s="99"/>
      <c r="V65" s="99"/>
      <c r="W65" s="99"/>
      <c r="X65" s="99">
        <f>T65+15</f>
        <v>226</v>
      </c>
      <c r="Y65" s="99"/>
      <c r="Z65" s="99"/>
      <c r="AA65" s="99"/>
      <c r="AB65" s="99">
        <f>X65+15</f>
        <v>241</v>
      </c>
      <c r="AC65" s="99"/>
      <c r="AD65" s="99"/>
      <c r="AE65" s="99"/>
      <c r="AG65" s="166"/>
      <c r="AH65" s="166"/>
      <c r="AI65" s="166"/>
      <c r="AJ65" s="166"/>
      <c r="AK65" s="166"/>
      <c r="AL65" s="94"/>
      <c r="AM65" s="94"/>
      <c r="AN65" s="94"/>
      <c r="AO65" s="95" t="s">
        <v>15</v>
      </c>
      <c r="AP65" s="95"/>
      <c r="AQ65" s="95"/>
      <c r="AR65" s="95"/>
      <c r="AS65" s="95"/>
      <c r="AT65" s="100" t="s">
        <v>10</v>
      </c>
      <c r="AU65" s="100"/>
      <c r="AV65" s="99">
        <f>AV71+15</f>
        <v>200</v>
      </c>
      <c r="AW65" s="99"/>
      <c r="AX65" s="99"/>
      <c r="AY65" s="99"/>
      <c r="AZ65" s="99">
        <f>AV65+15</f>
        <v>215</v>
      </c>
      <c r="BA65" s="99"/>
      <c r="BB65" s="99"/>
      <c r="BC65" s="99"/>
      <c r="BD65" s="99">
        <f>AZ65+15</f>
        <v>230</v>
      </c>
      <c r="BE65" s="99"/>
      <c r="BF65" s="99"/>
      <c r="BG65" s="99"/>
      <c r="BH65" s="99">
        <f>BD65+15</f>
        <v>245</v>
      </c>
      <c r="BI65" s="99"/>
      <c r="BJ65" s="99"/>
      <c r="BK65" s="99"/>
    </row>
    <row r="66" spans="1:63" ht="16.5" customHeight="1">
      <c r="A66" s="163"/>
      <c r="B66" s="163"/>
      <c r="C66" s="163"/>
      <c r="D66" s="163"/>
      <c r="E66" s="163"/>
      <c r="F66" s="165"/>
      <c r="G66" s="165"/>
      <c r="H66" s="165"/>
      <c r="I66" s="156"/>
      <c r="J66" s="156"/>
      <c r="K66" s="156"/>
      <c r="L66" s="156"/>
      <c r="M66" s="156"/>
      <c r="N66" s="100" t="s">
        <v>11</v>
      </c>
      <c r="O66" s="100"/>
      <c r="P66" s="99">
        <f>CEILING(P65*0.95,0.5)</f>
        <v>186.5</v>
      </c>
      <c r="Q66" s="99"/>
      <c r="R66" s="99"/>
      <c r="S66" s="99"/>
      <c r="T66" s="99">
        <f>CEILING(T65*0.95,0.5)</f>
        <v>200.5</v>
      </c>
      <c r="U66" s="99"/>
      <c r="V66" s="99"/>
      <c r="W66" s="99"/>
      <c r="X66" s="99">
        <f>CEILING(X65*0.95,0.5)</f>
        <v>215</v>
      </c>
      <c r="Y66" s="99"/>
      <c r="Z66" s="99"/>
      <c r="AA66" s="99"/>
      <c r="AB66" s="99">
        <f>CEILING(AB65*0.95,0.5)</f>
        <v>229</v>
      </c>
      <c r="AC66" s="99"/>
      <c r="AD66" s="99"/>
      <c r="AE66" s="99"/>
      <c r="AG66" s="166"/>
      <c r="AH66" s="166"/>
      <c r="AI66" s="166"/>
      <c r="AJ66" s="166"/>
      <c r="AK66" s="166"/>
      <c r="AL66" s="94"/>
      <c r="AM66" s="94"/>
      <c r="AN66" s="94"/>
      <c r="AO66" s="95"/>
      <c r="AP66" s="95"/>
      <c r="AQ66" s="95"/>
      <c r="AR66" s="95"/>
      <c r="AS66" s="95"/>
      <c r="AT66" s="100" t="s">
        <v>11</v>
      </c>
      <c r="AU66" s="100"/>
      <c r="AV66" s="99">
        <f>CEILING(AV65*0.95,0.5)</f>
        <v>190</v>
      </c>
      <c r="AW66" s="99"/>
      <c r="AX66" s="99"/>
      <c r="AY66" s="99"/>
      <c r="AZ66" s="99">
        <f>CEILING(AZ65*0.95,0.5)</f>
        <v>204.5</v>
      </c>
      <c r="BA66" s="99"/>
      <c r="BB66" s="99"/>
      <c r="BC66" s="99"/>
      <c r="BD66" s="99">
        <f>CEILING(BD65*0.95,0.5)</f>
        <v>218.5</v>
      </c>
      <c r="BE66" s="99"/>
      <c r="BF66" s="99"/>
      <c r="BG66" s="99"/>
      <c r="BH66" s="99">
        <f>CEILING(BH65*0.95,0.5)</f>
        <v>233</v>
      </c>
      <c r="BI66" s="99"/>
      <c r="BJ66" s="99"/>
      <c r="BK66" s="99"/>
    </row>
    <row r="67" spans="1:63" ht="16.5" customHeight="1">
      <c r="A67" s="163"/>
      <c r="B67" s="163"/>
      <c r="C67" s="163"/>
      <c r="D67" s="163"/>
      <c r="E67" s="163"/>
      <c r="F67" s="165"/>
      <c r="G67" s="165"/>
      <c r="H67" s="165"/>
      <c r="I67" s="156"/>
      <c r="J67" s="156"/>
      <c r="K67" s="156"/>
      <c r="L67" s="156"/>
      <c r="M67" s="156"/>
      <c r="N67" s="100" t="s">
        <v>12</v>
      </c>
      <c r="O67" s="100"/>
      <c r="P67" s="99">
        <f>P73+15</f>
        <v>174</v>
      </c>
      <c r="Q67" s="99"/>
      <c r="R67" s="99"/>
      <c r="S67" s="99"/>
      <c r="T67" s="99">
        <f>P67+15</f>
        <v>189</v>
      </c>
      <c r="U67" s="99"/>
      <c r="V67" s="99"/>
      <c r="W67" s="99"/>
      <c r="X67" s="99">
        <f>T67+15</f>
        <v>204</v>
      </c>
      <c r="Y67" s="99"/>
      <c r="Z67" s="99"/>
      <c r="AA67" s="99"/>
      <c r="AB67" s="99">
        <f>X67+15</f>
        <v>219</v>
      </c>
      <c r="AC67" s="99"/>
      <c r="AD67" s="99"/>
      <c r="AE67" s="99"/>
      <c r="AG67" s="166"/>
      <c r="AH67" s="166"/>
      <c r="AI67" s="166"/>
      <c r="AJ67" s="166"/>
      <c r="AK67" s="166"/>
      <c r="AL67" s="94"/>
      <c r="AM67" s="94"/>
      <c r="AN67" s="94"/>
      <c r="AO67" s="95"/>
      <c r="AP67" s="95"/>
      <c r="AQ67" s="95"/>
      <c r="AR67" s="95"/>
      <c r="AS67" s="95"/>
      <c r="AT67" s="100" t="s">
        <v>12</v>
      </c>
      <c r="AU67" s="100"/>
      <c r="AV67" s="99">
        <f>AV73+15</f>
        <v>177.5</v>
      </c>
      <c r="AW67" s="99"/>
      <c r="AX67" s="99"/>
      <c r="AY67" s="99"/>
      <c r="AZ67" s="99">
        <f>AV67+15</f>
        <v>192.5</v>
      </c>
      <c r="BA67" s="99"/>
      <c r="BB67" s="99"/>
      <c r="BC67" s="99"/>
      <c r="BD67" s="99">
        <f>AZ67+15</f>
        <v>207.5</v>
      </c>
      <c r="BE67" s="99"/>
      <c r="BF67" s="99"/>
      <c r="BG67" s="99"/>
      <c r="BH67" s="99">
        <f>BD67+15</f>
        <v>222.5</v>
      </c>
      <c r="BI67" s="99"/>
      <c r="BJ67" s="99"/>
      <c r="BK67" s="99"/>
    </row>
    <row r="68" spans="1:63" ht="16.5" customHeight="1">
      <c r="A68" s="163"/>
      <c r="B68" s="163"/>
      <c r="C68" s="163"/>
      <c r="D68" s="163"/>
      <c r="E68" s="163"/>
      <c r="F68" s="165"/>
      <c r="G68" s="165"/>
      <c r="H68" s="165"/>
      <c r="I68" s="97" t="s">
        <v>64</v>
      </c>
      <c r="J68" s="97"/>
      <c r="K68" s="97"/>
      <c r="L68" s="97"/>
      <c r="M68" s="97"/>
      <c r="N68" s="98" t="s">
        <v>10</v>
      </c>
      <c r="O68" s="98"/>
      <c r="P68" s="96">
        <f>CEILING(P65*0.4+5,0.5)</f>
        <v>83.5</v>
      </c>
      <c r="Q68" s="96"/>
      <c r="R68" s="96"/>
      <c r="S68" s="96"/>
      <c r="T68" s="96">
        <f>CEILING(T65*0.4+5,0.5)</f>
        <v>89.5</v>
      </c>
      <c r="U68" s="96"/>
      <c r="V68" s="96"/>
      <c r="W68" s="96"/>
      <c r="X68" s="96">
        <f>CEILING(X65*0.4+5,0.5)</f>
        <v>95.5</v>
      </c>
      <c r="Y68" s="96"/>
      <c r="Z68" s="96"/>
      <c r="AA68" s="96"/>
      <c r="AB68" s="96">
        <f>CEILING(AB65*0.4+5,0.5)</f>
        <v>101.5</v>
      </c>
      <c r="AC68" s="96"/>
      <c r="AD68" s="96"/>
      <c r="AE68" s="96"/>
      <c r="AG68" s="166"/>
      <c r="AH68" s="166"/>
      <c r="AI68" s="166"/>
      <c r="AJ68" s="166"/>
      <c r="AK68" s="166"/>
      <c r="AL68" s="94"/>
      <c r="AM68" s="94"/>
      <c r="AN68" s="94"/>
      <c r="AO68" s="97" t="s">
        <v>17</v>
      </c>
      <c r="AP68" s="97"/>
      <c r="AQ68" s="97"/>
      <c r="AR68" s="97"/>
      <c r="AS68" s="97"/>
      <c r="AT68" s="98" t="s">
        <v>10</v>
      </c>
      <c r="AU68" s="98"/>
      <c r="AV68" s="96">
        <f>CEILING(AV65*0.47+5,0.5)</f>
        <v>99</v>
      </c>
      <c r="AW68" s="96"/>
      <c r="AX68" s="96"/>
      <c r="AY68" s="96"/>
      <c r="AZ68" s="96">
        <f>CEILING(AZ65*0.47+5,0.5)</f>
        <v>106.5</v>
      </c>
      <c r="BA68" s="96"/>
      <c r="BB68" s="96"/>
      <c r="BC68" s="96"/>
      <c r="BD68" s="96">
        <f>CEILING(BD65*0.47+5,0.5)</f>
        <v>113.5</v>
      </c>
      <c r="BE68" s="96"/>
      <c r="BF68" s="96"/>
      <c r="BG68" s="96"/>
      <c r="BH68" s="96">
        <f>CEILING(BH65*0.47+5,0.5)</f>
        <v>120.5</v>
      </c>
      <c r="BI68" s="96"/>
      <c r="BJ68" s="96"/>
      <c r="BK68" s="96"/>
    </row>
    <row r="69" spans="1:63" ht="16.5" customHeight="1">
      <c r="A69" s="163"/>
      <c r="B69" s="163"/>
      <c r="C69" s="163"/>
      <c r="D69" s="163"/>
      <c r="E69" s="163"/>
      <c r="F69" s="165"/>
      <c r="G69" s="165"/>
      <c r="H69" s="165"/>
      <c r="I69" s="97"/>
      <c r="J69" s="97"/>
      <c r="K69" s="97"/>
      <c r="L69" s="97"/>
      <c r="M69" s="97"/>
      <c r="N69" s="98" t="s">
        <v>11</v>
      </c>
      <c r="O69" s="98"/>
      <c r="P69" s="96">
        <f>CEILING(P68*0.95,0.5)</f>
        <v>79.5</v>
      </c>
      <c r="Q69" s="96"/>
      <c r="R69" s="96"/>
      <c r="S69" s="96"/>
      <c r="T69" s="96">
        <f>CEILING(T68*0.95,0.5)</f>
        <v>85.5</v>
      </c>
      <c r="U69" s="96"/>
      <c r="V69" s="96"/>
      <c r="W69" s="96"/>
      <c r="X69" s="96">
        <f>CEILING(X68*0.95,0.5)</f>
        <v>91</v>
      </c>
      <c r="Y69" s="96"/>
      <c r="Z69" s="96"/>
      <c r="AA69" s="96"/>
      <c r="AB69" s="96">
        <f>CEILING(AB68*0.95,0.5)</f>
        <v>96.5</v>
      </c>
      <c r="AC69" s="96"/>
      <c r="AD69" s="96"/>
      <c r="AE69" s="96"/>
      <c r="AG69" s="166"/>
      <c r="AH69" s="166"/>
      <c r="AI69" s="166"/>
      <c r="AJ69" s="166"/>
      <c r="AK69" s="166"/>
      <c r="AL69" s="94"/>
      <c r="AM69" s="94"/>
      <c r="AN69" s="94"/>
      <c r="AO69" s="97"/>
      <c r="AP69" s="97"/>
      <c r="AQ69" s="97"/>
      <c r="AR69" s="97"/>
      <c r="AS69" s="97"/>
      <c r="AT69" s="98" t="s">
        <v>11</v>
      </c>
      <c r="AU69" s="98"/>
      <c r="AV69" s="96">
        <f>CEILING(AV68*0.95,0.5)</f>
        <v>94.5</v>
      </c>
      <c r="AW69" s="96"/>
      <c r="AX69" s="96"/>
      <c r="AY69" s="96"/>
      <c r="AZ69" s="96">
        <f>CEILING(AZ68*0.95,0.5)</f>
        <v>101.5</v>
      </c>
      <c r="BA69" s="96"/>
      <c r="BB69" s="96"/>
      <c r="BC69" s="96"/>
      <c r="BD69" s="96">
        <f>CEILING(BD68*0.95,0.5)</f>
        <v>108</v>
      </c>
      <c r="BE69" s="96"/>
      <c r="BF69" s="96"/>
      <c r="BG69" s="96"/>
      <c r="BH69" s="96">
        <f>CEILING(BH68*0.95,0.5)</f>
        <v>114.5</v>
      </c>
      <c r="BI69" s="96"/>
      <c r="BJ69" s="96"/>
      <c r="BK69" s="96"/>
    </row>
    <row r="70" spans="1:63" ht="16.5" customHeight="1">
      <c r="A70" s="163"/>
      <c r="B70" s="163"/>
      <c r="C70" s="163"/>
      <c r="D70" s="163"/>
      <c r="E70" s="163"/>
      <c r="F70" s="165"/>
      <c r="G70" s="165"/>
      <c r="H70" s="165"/>
      <c r="I70" s="97"/>
      <c r="J70" s="97"/>
      <c r="K70" s="97"/>
      <c r="L70" s="97"/>
      <c r="M70" s="97"/>
      <c r="N70" s="98" t="s">
        <v>12</v>
      </c>
      <c r="O70" s="98"/>
      <c r="P70" s="96">
        <f>CEILING(P67*0.4+5,0.5)</f>
        <v>75</v>
      </c>
      <c r="Q70" s="96"/>
      <c r="R70" s="96"/>
      <c r="S70" s="96"/>
      <c r="T70" s="96">
        <f>CEILING(T67*0.4+5,0.5)</f>
        <v>81</v>
      </c>
      <c r="U70" s="96"/>
      <c r="V70" s="96"/>
      <c r="W70" s="96"/>
      <c r="X70" s="96">
        <f>CEILING(X67*0.4+5,0.5)</f>
        <v>87</v>
      </c>
      <c r="Y70" s="96"/>
      <c r="Z70" s="96"/>
      <c r="AA70" s="96"/>
      <c r="AB70" s="96">
        <f>CEILING(AB67*0.4+5,0.5)</f>
        <v>93</v>
      </c>
      <c r="AC70" s="96"/>
      <c r="AD70" s="96"/>
      <c r="AE70" s="96"/>
      <c r="AG70" s="166"/>
      <c r="AH70" s="166"/>
      <c r="AI70" s="166"/>
      <c r="AJ70" s="166"/>
      <c r="AK70" s="166"/>
      <c r="AL70" s="94"/>
      <c r="AM70" s="94"/>
      <c r="AN70" s="94"/>
      <c r="AO70" s="97"/>
      <c r="AP70" s="97"/>
      <c r="AQ70" s="97"/>
      <c r="AR70" s="97"/>
      <c r="AS70" s="97"/>
      <c r="AT70" s="98" t="s">
        <v>12</v>
      </c>
      <c r="AU70" s="98"/>
      <c r="AV70" s="96">
        <f>CEILING(AV67*0.47+5,0.5)</f>
        <v>88.5</v>
      </c>
      <c r="AW70" s="96"/>
      <c r="AX70" s="96"/>
      <c r="AY70" s="96"/>
      <c r="AZ70" s="96">
        <f>CEILING(AZ67*0.47+5,0.5)</f>
        <v>95.5</v>
      </c>
      <c r="BA70" s="96"/>
      <c r="BB70" s="96"/>
      <c r="BC70" s="96"/>
      <c r="BD70" s="96">
        <f>CEILING(BD67*0.47+5,0.5)</f>
        <v>103</v>
      </c>
      <c r="BE70" s="96"/>
      <c r="BF70" s="96"/>
      <c r="BG70" s="96"/>
      <c r="BH70" s="96">
        <f>CEILING(BH67*0.47+5,0.5)</f>
        <v>110</v>
      </c>
      <c r="BI70" s="96"/>
      <c r="BJ70" s="96"/>
      <c r="BK70" s="96"/>
    </row>
    <row r="71" spans="1:63" ht="16.5" customHeight="1">
      <c r="A71" s="163"/>
      <c r="B71" s="163"/>
      <c r="C71" s="163"/>
      <c r="D71" s="163"/>
      <c r="E71" s="163"/>
      <c r="F71" s="165"/>
      <c r="G71" s="165"/>
      <c r="H71" s="165"/>
      <c r="I71" s="156" t="s">
        <v>18</v>
      </c>
      <c r="J71" s="156"/>
      <c r="K71" s="156"/>
      <c r="L71" s="156"/>
      <c r="M71" s="156"/>
      <c r="N71" s="100" t="s">
        <v>10</v>
      </c>
      <c r="O71" s="100"/>
      <c r="P71" s="101">
        <f>CEILING(139*1.3,0.5)</f>
        <v>181</v>
      </c>
      <c r="Q71" s="101"/>
      <c r="R71" s="101"/>
      <c r="S71" s="101"/>
      <c r="T71" s="99">
        <f>P71+10</f>
        <v>191</v>
      </c>
      <c r="U71" s="99"/>
      <c r="V71" s="99"/>
      <c r="W71" s="99"/>
      <c r="X71" s="99">
        <f>T71+10</f>
        <v>201</v>
      </c>
      <c r="Y71" s="99"/>
      <c r="Z71" s="99"/>
      <c r="AA71" s="99"/>
      <c r="AB71" s="99">
        <f>X71+10</f>
        <v>211</v>
      </c>
      <c r="AC71" s="99"/>
      <c r="AD71" s="99"/>
      <c r="AE71" s="99"/>
      <c r="AG71" s="166"/>
      <c r="AH71" s="166"/>
      <c r="AI71" s="166"/>
      <c r="AJ71" s="166"/>
      <c r="AK71" s="166"/>
      <c r="AL71" s="94"/>
      <c r="AM71" s="94"/>
      <c r="AN71" s="94"/>
      <c r="AO71" s="95" t="s">
        <v>18</v>
      </c>
      <c r="AP71" s="95"/>
      <c r="AQ71" s="95"/>
      <c r="AR71" s="95"/>
      <c r="AS71" s="95"/>
      <c r="AT71" s="100" t="s">
        <v>10</v>
      </c>
      <c r="AU71" s="100"/>
      <c r="AV71" s="101">
        <f>CEILING(142*1.3,0.5)</f>
        <v>185</v>
      </c>
      <c r="AW71" s="101"/>
      <c r="AX71" s="101"/>
      <c r="AY71" s="101"/>
      <c r="AZ71" s="99">
        <f>AV71+10</f>
        <v>195</v>
      </c>
      <c r="BA71" s="99"/>
      <c r="BB71" s="99"/>
      <c r="BC71" s="99"/>
      <c r="BD71" s="99">
        <f>AZ71+10</f>
        <v>205</v>
      </c>
      <c r="BE71" s="99"/>
      <c r="BF71" s="99"/>
      <c r="BG71" s="99"/>
      <c r="BH71" s="99">
        <f>BD71+10</f>
        <v>215</v>
      </c>
      <c r="BI71" s="99"/>
      <c r="BJ71" s="99"/>
      <c r="BK71" s="99"/>
    </row>
    <row r="72" spans="1:63" ht="16.5" customHeight="1">
      <c r="A72" s="163"/>
      <c r="B72" s="163"/>
      <c r="C72" s="163"/>
      <c r="D72" s="163"/>
      <c r="E72" s="163"/>
      <c r="F72" s="165"/>
      <c r="G72" s="165"/>
      <c r="H72" s="165"/>
      <c r="I72" s="156"/>
      <c r="J72" s="156"/>
      <c r="K72" s="156"/>
      <c r="L72" s="156"/>
      <c r="M72" s="156"/>
      <c r="N72" s="100" t="s">
        <v>11</v>
      </c>
      <c r="O72" s="100"/>
      <c r="P72" s="99">
        <f>CEILING(P71*0.95,0.5)</f>
        <v>172</v>
      </c>
      <c r="Q72" s="99"/>
      <c r="R72" s="99"/>
      <c r="S72" s="99"/>
      <c r="T72" s="99">
        <f>CEILING(T71*0.95,0.5)</f>
        <v>181.5</v>
      </c>
      <c r="U72" s="99"/>
      <c r="V72" s="99"/>
      <c r="W72" s="99"/>
      <c r="X72" s="99">
        <f>CEILING(X71*0.95,0.5)</f>
        <v>191</v>
      </c>
      <c r="Y72" s="99"/>
      <c r="Z72" s="99"/>
      <c r="AA72" s="99"/>
      <c r="AB72" s="99">
        <f>CEILING(AB71*0.95,0.5)</f>
        <v>200.5</v>
      </c>
      <c r="AC72" s="99"/>
      <c r="AD72" s="99"/>
      <c r="AE72" s="99"/>
      <c r="AG72" s="166"/>
      <c r="AH72" s="166"/>
      <c r="AI72" s="166"/>
      <c r="AJ72" s="166"/>
      <c r="AK72" s="166"/>
      <c r="AL72" s="94"/>
      <c r="AM72" s="94"/>
      <c r="AN72" s="94"/>
      <c r="AO72" s="95"/>
      <c r="AP72" s="95"/>
      <c r="AQ72" s="95"/>
      <c r="AR72" s="95"/>
      <c r="AS72" s="95"/>
      <c r="AT72" s="100" t="s">
        <v>11</v>
      </c>
      <c r="AU72" s="100"/>
      <c r="AV72" s="99">
        <f>CEILING(AV71*0.95,0.5)</f>
        <v>176</v>
      </c>
      <c r="AW72" s="99"/>
      <c r="AX72" s="99"/>
      <c r="AY72" s="99"/>
      <c r="AZ72" s="99">
        <f>CEILING(AZ71*0.95,0.5)</f>
        <v>185.5</v>
      </c>
      <c r="BA72" s="99"/>
      <c r="BB72" s="99"/>
      <c r="BC72" s="99"/>
      <c r="BD72" s="99">
        <f>CEILING(BD71*0.95,0.5)</f>
        <v>195</v>
      </c>
      <c r="BE72" s="99"/>
      <c r="BF72" s="99"/>
      <c r="BG72" s="99"/>
      <c r="BH72" s="99">
        <f>CEILING(BH71*0.95,0.5)</f>
        <v>204.5</v>
      </c>
      <c r="BI72" s="99"/>
      <c r="BJ72" s="99"/>
      <c r="BK72" s="99"/>
    </row>
    <row r="73" spans="1:63" ht="16.5" customHeight="1">
      <c r="A73" s="163"/>
      <c r="B73" s="163"/>
      <c r="C73" s="163"/>
      <c r="D73" s="163"/>
      <c r="E73" s="163"/>
      <c r="F73" s="165"/>
      <c r="G73" s="165"/>
      <c r="H73" s="165"/>
      <c r="I73" s="156"/>
      <c r="J73" s="156"/>
      <c r="K73" s="156"/>
      <c r="L73" s="156"/>
      <c r="M73" s="156"/>
      <c r="N73" s="100" t="s">
        <v>12</v>
      </c>
      <c r="O73" s="100"/>
      <c r="P73" s="101">
        <f>CEILING(122*1.3,0.5)</f>
        <v>159</v>
      </c>
      <c r="Q73" s="101"/>
      <c r="R73" s="101"/>
      <c r="S73" s="101"/>
      <c r="T73" s="99">
        <f>P73+10</f>
        <v>169</v>
      </c>
      <c r="U73" s="99"/>
      <c r="V73" s="99"/>
      <c r="W73" s="99"/>
      <c r="X73" s="99">
        <f>T73+10</f>
        <v>179</v>
      </c>
      <c r="Y73" s="99"/>
      <c r="Z73" s="99"/>
      <c r="AA73" s="99"/>
      <c r="AB73" s="99">
        <f>X73+10</f>
        <v>189</v>
      </c>
      <c r="AC73" s="99"/>
      <c r="AD73" s="99"/>
      <c r="AE73" s="99"/>
      <c r="AG73" s="166"/>
      <c r="AH73" s="166"/>
      <c r="AI73" s="166"/>
      <c r="AJ73" s="166"/>
      <c r="AK73" s="166"/>
      <c r="AL73" s="94"/>
      <c r="AM73" s="94"/>
      <c r="AN73" s="94"/>
      <c r="AO73" s="95"/>
      <c r="AP73" s="95"/>
      <c r="AQ73" s="95"/>
      <c r="AR73" s="95"/>
      <c r="AS73" s="95"/>
      <c r="AT73" s="100" t="s">
        <v>12</v>
      </c>
      <c r="AU73" s="100"/>
      <c r="AV73" s="101">
        <f>CEILING(125*1.3,0.5)</f>
        <v>162.5</v>
      </c>
      <c r="AW73" s="101"/>
      <c r="AX73" s="101"/>
      <c r="AY73" s="101"/>
      <c r="AZ73" s="99">
        <f>AV73+10</f>
        <v>172.5</v>
      </c>
      <c r="BA73" s="99"/>
      <c r="BB73" s="99"/>
      <c r="BC73" s="99"/>
      <c r="BD73" s="99">
        <f>AZ73+10</f>
        <v>182.5</v>
      </c>
      <c r="BE73" s="99"/>
      <c r="BF73" s="99"/>
      <c r="BG73" s="99"/>
      <c r="BH73" s="99">
        <f>BD73+10</f>
        <v>192.5</v>
      </c>
      <c r="BI73" s="99"/>
      <c r="BJ73" s="99"/>
      <c r="BK73" s="99"/>
    </row>
    <row r="74" spans="1:63" ht="16.5" customHeight="1">
      <c r="A74" s="163"/>
      <c r="B74" s="163"/>
      <c r="C74" s="163"/>
      <c r="D74" s="163"/>
      <c r="E74" s="163"/>
      <c r="F74" s="165"/>
      <c r="G74" s="165"/>
      <c r="H74" s="165"/>
      <c r="I74" s="97" t="s">
        <v>65</v>
      </c>
      <c r="J74" s="97"/>
      <c r="K74" s="97"/>
      <c r="L74" s="97"/>
      <c r="M74" s="97"/>
      <c r="N74" s="98" t="s">
        <v>58</v>
      </c>
      <c r="O74" s="98"/>
      <c r="P74" s="96">
        <f>CEILING(P71*0.4+5,0.5)</f>
        <v>77.5</v>
      </c>
      <c r="Q74" s="96"/>
      <c r="R74" s="96"/>
      <c r="S74" s="96"/>
      <c r="T74" s="96">
        <f>CEILING(T71*0.4+5,0.5)</f>
        <v>81.5</v>
      </c>
      <c r="U74" s="96"/>
      <c r="V74" s="96"/>
      <c r="W74" s="96"/>
      <c r="X74" s="96">
        <f>CEILING(X71*0.4+5,0.5)</f>
        <v>85.5</v>
      </c>
      <c r="Y74" s="96"/>
      <c r="Z74" s="96"/>
      <c r="AA74" s="96"/>
      <c r="AB74" s="96">
        <f>CEILING(AB71*0.4+5,0.5)</f>
        <v>89.5</v>
      </c>
      <c r="AC74" s="96"/>
      <c r="AD74" s="96"/>
      <c r="AE74" s="96"/>
      <c r="AG74" s="166"/>
      <c r="AH74" s="166"/>
      <c r="AI74" s="166"/>
      <c r="AJ74" s="166"/>
      <c r="AK74" s="166"/>
      <c r="AL74" s="94"/>
      <c r="AM74" s="94"/>
      <c r="AN74" s="94"/>
      <c r="AO74" s="97" t="s">
        <v>20</v>
      </c>
      <c r="AP74" s="97"/>
      <c r="AQ74" s="97"/>
      <c r="AR74" s="97"/>
      <c r="AS74" s="97"/>
      <c r="AT74" s="98" t="s">
        <v>58</v>
      </c>
      <c r="AU74" s="98"/>
      <c r="AV74" s="96">
        <f>CEILING(AV71*0.47+5,0.5)</f>
        <v>92</v>
      </c>
      <c r="AW74" s="96"/>
      <c r="AX74" s="96"/>
      <c r="AY74" s="96"/>
      <c r="AZ74" s="96">
        <f>CEILING(AZ71*0.47+5,0.5)</f>
        <v>97</v>
      </c>
      <c r="BA74" s="96"/>
      <c r="BB74" s="96"/>
      <c r="BC74" s="96"/>
      <c r="BD74" s="96">
        <f>CEILING(BD71*0.47+5,0.5)</f>
        <v>101.5</v>
      </c>
      <c r="BE74" s="96"/>
      <c r="BF74" s="96"/>
      <c r="BG74" s="96"/>
      <c r="BH74" s="96">
        <f>CEILING(BH71*0.47+5,0.5)</f>
        <v>106.5</v>
      </c>
      <c r="BI74" s="96"/>
      <c r="BJ74" s="96"/>
      <c r="BK74" s="96"/>
    </row>
    <row r="75" spans="1:63" ht="16.5" customHeight="1">
      <c r="A75" s="163"/>
      <c r="B75" s="163"/>
      <c r="C75" s="163"/>
      <c r="D75" s="163"/>
      <c r="E75" s="163"/>
      <c r="F75" s="165"/>
      <c r="G75" s="165"/>
      <c r="H75" s="165"/>
      <c r="I75" s="97"/>
      <c r="J75" s="97"/>
      <c r="K75" s="97"/>
      <c r="L75" s="97"/>
      <c r="M75" s="97"/>
      <c r="N75" s="98" t="s">
        <v>11</v>
      </c>
      <c r="O75" s="98"/>
      <c r="P75" s="96">
        <f>CEILING(P74*0.95,0.5)</f>
        <v>74</v>
      </c>
      <c r="Q75" s="96"/>
      <c r="R75" s="96"/>
      <c r="S75" s="96"/>
      <c r="T75" s="96">
        <f>CEILING(T74*0.95,0.5)</f>
        <v>77.5</v>
      </c>
      <c r="U75" s="96"/>
      <c r="V75" s="96"/>
      <c r="W75" s="96"/>
      <c r="X75" s="96">
        <f>CEILING(X74*0.95,0.5)</f>
        <v>81.5</v>
      </c>
      <c r="Y75" s="96"/>
      <c r="Z75" s="96"/>
      <c r="AA75" s="96"/>
      <c r="AB75" s="96">
        <f>CEILING(AB74*0.95,0.5)</f>
        <v>85.5</v>
      </c>
      <c r="AC75" s="96"/>
      <c r="AD75" s="96"/>
      <c r="AE75" s="96"/>
      <c r="AG75" s="166"/>
      <c r="AH75" s="166"/>
      <c r="AI75" s="166"/>
      <c r="AJ75" s="166"/>
      <c r="AK75" s="166"/>
      <c r="AL75" s="94"/>
      <c r="AM75" s="94"/>
      <c r="AN75" s="94"/>
      <c r="AO75" s="97"/>
      <c r="AP75" s="97"/>
      <c r="AQ75" s="97"/>
      <c r="AR75" s="97"/>
      <c r="AS75" s="97"/>
      <c r="AT75" s="98" t="s">
        <v>11</v>
      </c>
      <c r="AU75" s="98"/>
      <c r="AV75" s="96">
        <f>CEILING(AV74*0.95,0.5)</f>
        <v>87.5</v>
      </c>
      <c r="AW75" s="96"/>
      <c r="AX75" s="96"/>
      <c r="AY75" s="96"/>
      <c r="AZ75" s="96">
        <f>CEILING(AZ74*0.95,0.5)</f>
        <v>92.5</v>
      </c>
      <c r="BA75" s="96"/>
      <c r="BB75" s="96"/>
      <c r="BC75" s="96"/>
      <c r="BD75" s="96">
        <f>CEILING(BD74*0.95,0.5)</f>
        <v>96.5</v>
      </c>
      <c r="BE75" s="96"/>
      <c r="BF75" s="96"/>
      <c r="BG75" s="96"/>
      <c r="BH75" s="96">
        <f>CEILING(BH74*0.95,0.5)</f>
        <v>101.5</v>
      </c>
      <c r="BI75" s="96"/>
      <c r="BJ75" s="96"/>
      <c r="BK75" s="96"/>
    </row>
    <row r="76" spans="1:63" ht="16.5" customHeight="1">
      <c r="A76" s="163"/>
      <c r="B76" s="163"/>
      <c r="C76" s="163"/>
      <c r="D76" s="163"/>
      <c r="E76" s="163"/>
      <c r="F76" s="165"/>
      <c r="G76" s="165"/>
      <c r="H76" s="165"/>
      <c r="I76" s="97"/>
      <c r="J76" s="97"/>
      <c r="K76" s="97"/>
      <c r="L76" s="97"/>
      <c r="M76" s="97"/>
      <c r="N76" s="98" t="s">
        <v>12</v>
      </c>
      <c r="O76" s="98"/>
      <c r="P76" s="96">
        <f>CEILING(P73*0.4+5,0.5)</f>
        <v>69</v>
      </c>
      <c r="Q76" s="96"/>
      <c r="R76" s="96"/>
      <c r="S76" s="96"/>
      <c r="T76" s="96">
        <f>CEILING(T73*0.4+5,0.5)</f>
        <v>73</v>
      </c>
      <c r="U76" s="96"/>
      <c r="V76" s="96"/>
      <c r="W76" s="96"/>
      <c r="X76" s="96">
        <f>CEILING(X73*0.4+5,0.5)</f>
        <v>77</v>
      </c>
      <c r="Y76" s="96"/>
      <c r="Z76" s="96"/>
      <c r="AA76" s="96"/>
      <c r="AB76" s="96">
        <f>CEILING(AB73*0.4+5,0.5)</f>
        <v>81</v>
      </c>
      <c r="AC76" s="96"/>
      <c r="AD76" s="96"/>
      <c r="AE76" s="96"/>
      <c r="AG76" s="166"/>
      <c r="AH76" s="166"/>
      <c r="AI76" s="166"/>
      <c r="AJ76" s="166"/>
      <c r="AK76" s="166"/>
      <c r="AL76" s="94"/>
      <c r="AM76" s="94"/>
      <c r="AN76" s="94"/>
      <c r="AO76" s="97"/>
      <c r="AP76" s="97"/>
      <c r="AQ76" s="97"/>
      <c r="AR76" s="97"/>
      <c r="AS76" s="97"/>
      <c r="AT76" s="98" t="s">
        <v>12</v>
      </c>
      <c r="AU76" s="98"/>
      <c r="AV76" s="96">
        <f>CEILING(AV73*0.47+5,0.5)</f>
        <v>81.5</v>
      </c>
      <c r="AW76" s="96"/>
      <c r="AX76" s="96"/>
      <c r="AY76" s="96"/>
      <c r="AZ76" s="96">
        <f>CEILING(AZ73*0.47+5,0.5)</f>
        <v>86.5</v>
      </c>
      <c r="BA76" s="96"/>
      <c r="BB76" s="96"/>
      <c r="BC76" s="96"/>
      <c r="BD76" s="96">
        <f>CEILING(BD73*0.47+5,0.5)</f>
        <v>91</v>
      </c>
      <c r="BE76" s="96"/>
      <c r="BF76" s="96"/>
      <c r="BG76" s="96"/>
      <c r="BH76" s="96">
        <f>CEILING(BH73*0.47+5,0.5)</f>
        <v>95.5</v>
      </c>
      <c r="BI76" s="96"/>
      <c r="BJ76" s="96"/>
      <c r="BK76" s="96"/>
    </row>
    <row r="77" spans="1:63" ht="16.5" customHeight="1">
      <c r="A77" s="163"/>
      <c r="B77" s="163"/>
      <c r="C77" s="163"/>
      <c r="D77" s="163"/>
      <c r="E77" s="163"/>
      <c r="F77" s="165"/>
      <c r="G77" s="165"/>
      <c r="H77" s="165"/>
      <c r="I77" s="158" t="s">
        <v>21</v>
      </c>
      <c r="J77" s="158"/>
      <c r="K77" s="158"/>
      <c r="L77" s="158"/>
      <c r="M77" s="158"/>
      <c r="N77" s="84" t="s">
        <v>10</v>
      </c>
      <c r="O77" s="84"/>
      <c r="P77" s="83">
        <f>P71-4</f>
        <v>177</v>
      </c>
      <c r="Q77" s="83"/>
      <c r="R77" s="83"/>
      <c r="S77" s="83"/>
      <c r="T77" s="83">
        <f>P77+8</f>
        <v>185</v>
      </c>
      <c r="U77" s="83"/>
      <c r="V77" s="83"/>
      <c r="W77" s="83"/>
      <c r="X77" s="83">
        <f>T77+8</f>
        <v>193</v>
      </c>
      <c r="Y77" s="83"/>
      <c r="Z77" s="83"/>
      <c r="AA77" s="83"/>
      <c r="AB77" s="83">
        <f>X77+8</f>
        <v>201</v>
      </c>
      <c r="AC77" s="83"/>
      <c r="AD77" s="83"/>
      <c r="AE77" s="83"/>
      <c r="AG77" s="166"/>
      <c r="AH77" s="166"/>
      <c r="AI77" s="166"/>
      <c r="AJ77" s="166"/>
      <c r="AK77" s="166"/>
      <c r="AL77" s="94"/>
      <c r="AM77" s="94"/>
      <c r="AN77" s="94"/>
      <c r="AO77" s="82" t="s">
        <v>21</v>
      </c>
      <c r="AP77" s="82"/>
      <c r="AQ77" s="82"/>
      <c r="AR77" s="82"/>
      <c r="AS77" s="82"/>
      <c r="AT77" s="84" t="s">
        <v>10</v>
      </c>
      <c r="AU77" s="84"/>
      <c r="AV77" s="83">
        <f>AV71-4</f>
        <v>181</v>
      </c>
      <c r="AW77" s="83"/>
      <c r="AX77" s="83"/>
      <c r="AY77" s="83"/>
      <c r="AZ77" s="83">
        <f>AV77+8</f>
        <v>189</v>
      </c>
      <c r="BA77" s="83"/>
      <c r="BB77" s="83"/>
      <c r="BC77" s="83"/>
      <c r="BD77" s="83">
        <f>AZ77+8</f>
        <v>197</v>
      </c>
      <c r="BE77" s="83"/>
      <c r="BF77" s="83"/>
      <c r="BG77" s="83"/>
      <c r="BH77" s="83">
        <f>BD77+8</f>
        <v>205</v>
      </c>
      <c r="BI77" s="83"/>
      <c r="BJ77" s="83"/>
      <c r="BK77" s="83"/>
    </row>
    <row r="78" spans="1:63" ht="16.5" customHeight="1">
      <c r="A78" s="163"/>
      <c r="B78" s="163"/>
      <c r="C78" s="163"/>
      <c r="D78" s="163"/>
      <c r="E78" s="163"/>
      <c r="F78" s="165"/>
      <c r="G78" s="165"/>
      <c r="H78" s="165"/>
      <c r="I78" s="158"/>
      <c r="J78" s="158"/>
      <c r="K78" s="158"/>
      <c r="L78" s="158"/>
      <c r="M78" s="158"/>
      <c r="N78" s="84" t="s">
        <v>11</v>
      </c>
      <c r="O78" s="84"/>
      <c r="P78" s="83">
        <f>CEILING(P77*0.95,0.5)</f>
        <v>168.5</v>
      </c>
      <c r="Q78" s="83"/>
      <c r="R78" s="83"/>
      <c r="S78" s="83"/>
      <c r="T78" s="83">
        <f>CEILING(T77*0.95,0.5)</f>
        <v>176</v>
      </c>
      <c r="U78" s="83"/>
      <c r="V78" s="83"/>
      <c r="W78" s="83"/>
      <c r="X78" s="83">
        <f>CEILING(X77*0.95,0.5)</f>
        <v>183.5</v>
      </c>
      <c r="Y78" s="83"/>
      <c r="Z78" s="83"/>
      <c r="AA78" s="83"/>
      <c r="AB78" s="83">
        <f>CEILING(AB77*0.95,0.5)</f>
        <v>191</v>
      </c>
      <c r="AC78" s="83"/>
      <c r="AD78" s="83"/>
      <c r="AE78" s="83"/>
      <c r="AG78" s="166"/>
      <c r="AH78" s="166"/>
      <c r="AI78" s="166"/>
      <c r="AJ78" s="166"/>
      <c r="AK78" s="166"/>
      <c r="AL78" s="94"/>
      <c r="AM78" s="94"/>
      <c r="AN78" s="94"/>
      <c r="AO78" s="82"/>
      <c r="AP78" s="82"/>
      <c r="AQ78" s="82"/>
      <c r="AR78" s="82"/>
      <c r="AS78" s="82"/>
      <c r="AT78" s="84" t="s">
        <v>11</v>
      </c>
      <c r="AU78" s="84"/>
      <c r="AV78" s="83">
        <f>CEILING(AV77*0.95,0.5)</f>
        <v>172</v>
      </c>
      <c r="AW78" s="83"/>
      <c r="AX78" s="83"/>
      <c r="AY78" s="83"/>
      <c r="AZ78" s="83">
        <f>CEILING(AZ77*0.95,0.5)</f>
        <v>180</v>
      </c>
      <c r="BA78" s="83"/>
      <c r="BB78" s="83"/>
      <c r="BC78" s="83"/>
      <c r="BD78" s="83">
        <f>CEILING(BD77*0.95,0.5)</f>
        <v>187.5</v>
      </c>
      <c r="BE78" s="83"/>
      <c r="BF78" s="83"/>
      <c r="BG78" s="83"/>
      <c r="BH78" s="83">
        <f>CEILING(BH77*0.95,0.5)</f>
        <v>195</v>
      </c>
      <c r="BI78" s="83"/>
      <c r="BJ78" s="83"/>
      <c r="BK78" s="83"/>
    </row>
    <row r="79" spans="1:63" ht="16.5" customHeight="1">
      <c r="A79" s="163"/>
      <c r="B79" s="163"/>
      <c r="C79" s="163"/>
      <c r="D79" s="163"/>
      <c r="E79" s="163"/>
      <c r="F79" s="165"/>
      <c r="G79" s="165"/>
      <c r="H79" s="165"/>
      <c r="I79" s="158"/>
      <c r="J79" s="158"/>
      <c r="K79" s="158"/>
      <c r="L79" s="158"/>
      <c r="M79" s="158"/>
      <c r="N79" s="84" t="s">
        <v>12</v>
      </c>
      <c r="O79" s="84"/>
      <c r="P79" s="83">
        <f>P73-4</f>
        <v>155</v>
      </c>
      <c r="Q79" s="83"/>
      <c r="R79" s="83"/>
      <c r="S79" s="83"/>
      <c r="T79" s="83">
        <f>P79+8</f>
        <v>163</v>
      </c>
      <c r="U79" s="83"/>
      <c r="V79" s="83"/>
      <c r="W79" s="83"/>
      <c r="X79" s="83">
        <f>T79+8</f>
        <v>171</v>
      </c>
      <c r="Y79" s="83"/>
      <c r="Z79" s="83"/>
      <c r="AA79" s="83"/>
      <c r="AB79" s="83">
        <f>X79+8</f>
        <v>179</v>
      </c>
      <c r="AC79" s="83"/>
      <c r="AD79" s="83"/>
      <c r="AE79" s="83"/>
      <c r="AG79" s="166"/>
      <c r="AH79" s="166"/>
      <c r="AI79" s="166"/>
      <c r="AJ79" s="166"/>
      <c r="AK79" s="166"/>
      <c r="AL79" s="94"/>
      <c r="AM79" s="94"/>
      <c r="AN79" s="94"/>
      <c r="AO79" s="82"/>
      <c r="AP79" s="82"/>
      <c r="AQ79" s="82"/>
      <c r="AR79" s="82"/>
      <c r="AS79" s="82"/>
      <c r="AT79" s="84" t="s">
        <v>12</v>
      </c>
      <c r="AU79" s="84"/>
      <c r="AV79" s="83">
        <f>AV73-4</f>
        <v>158.5</v>
      </c>
      <c r="AW79" s="83"/>
      <c r="AX79" s="83"/>
      <c r="AY79" s="83"/>
      <c r="AZ79" s="83">
        <f>AV79+8</f>
        <v>166.5</v>
      </c>
      <c r="BA79" s="83"/>
      <c r="BB79" s="83"/>
      <c r="BC79" s="83"/>
      <c r="BD79" s="83">
        <f>AZ79+8</f>
        <v>174.5</v>
      </c>
      <c r="BE79" s="83"/>
      <c r="BF79" s="83"/>
      <c r="BG79" s="83"/>
      <c r="BH79" s="83">
        <f>BD79+8</f>
        <v>182.5</v>
      </c>
      <c r="BI79" s="83"/>
      <c r="BJ79" s="83"/>
      <c r="BK79" s="83"/>
    </row>
    <row r="80" spans="1:63" ht="16.5" customHeight="1">
      <c r="A80" s="163"/>
      <c r="B80" s="163"/>
      <c r="C80" s="163"/>
      <c r="D80" s="163"/>
      <c r="E80" s="163"/>
      <c r="F80" s="165"/>
      <c r="G80" s="165"/>
      <c r="H80" s="165"/>
      <c r="I80" s="80" t="s">
        <v>66</v>
      </c>
      <c r="J80" s="80"/>
      <c r="K80" s="80"/>
      <c r="L80" s="80"/>
      <c r="M80" s="80"/>
      <c r="N80" s="81" t="s">
        <v>58</v>
      </c>
      <c r="O80" s="81"/>
      <c r="P80" s="89">
        <f>CEILING(P77*0.4+5,0.5)</f>
        <v>76</v>
      </c>
      <c r="Q80" s="89"/>
      <c r="R80" s="89"/>
      <c r="S80" s="89"/>
      <c r="T80" s="89">
        <f>CEILING(T77*0.4+5,0.5)</f>
        <v>79</v>
      </c>
      <c r="U80" s="89"/>
      <c r="V80" s="89"/>
      <c r="W80" s="89"/>
      <c r="X80" s="89">
        <f>CEILING(X77*0.4+5,0.5)</f>
        <v>82.5</v>
      </c>
      <c r="Y80" s="89"/>
      <c r="Z80" s="89"/>
      <c r="AA80" s="89"/>
      <c r="AB80" s="89">
        <f>CEILING(AB77*0.4+5,0.5)</f>
        <v>85.5</v>
      </c>
      <c r="AC80" s="89"/>
      <c r="AD80" s="89"/>
      <c r="AE80" s="89"/>
      <c r="AG80" s="166"/>
      <c r="AH80" s="166"/>
      <c r="AI80" s="166"/>
      <c r="AJ80" s="166"/>
      <c r="AK80" s="166"/>
      <c r="AL80" s="94"/>
      <c r="AM80" s="94"/>
      <c r="AN80" s="94"/>
      <c r="AO80" s="80" t="s">
        <v>23</v>
      </c>
      <c r="AP80" s="80"/>
      <c r="AQ80" s="80"/>
      <c r="AR80" s="80"/>
      <c r="AS80" s="80"/>
      <c r="AT80" s="81" t="s">
        <v>58</v>
      </c>
      <c r="AU80" s="81"/>
      <c r="AV80" s="89">
        <f>CEILING(AV77*0.47+5,0.5)</f>
        <v>90.5</v>
      </c>
      <c r="AW80" s="89"/>
      <c r="AX80" s="89"/>
      <c r="AY80" s="89"/>
      <c r="AZ80" s="89">
        <f>CEILING(AZ77*0.47+5,0.5)</f>
        <v>94</v>
      </c>
      <c r="BA80" s="89"/>
      <c r="BB80" s="89"/>
      <c r="BC80" s="89"/>
      <c r="BD80" s="89">
        <f>CEILING(BD77*0.47+5,0.5)</f>
        <v>98</v>
      </c>
      <c r="BE80" s="89"/>
      <c r="BF80" s="89"/>
      <c r="BG80" s="89"/>
      <c r="BH80" s="89">
        <f>CEILING(BH77*0.47+5,0.5)</f>
        <v>101.5</v>
      </c>
      <c r="BI80" s="89"/>
      <c r="BJ80" s="89"/>
      <c r="BK80" s="89"/>
    </row>
    <row r="81" spans="1:63" ht="16.5" customHeight="1">
      <c r="A81" s="163"/>
      <c r="B81" s="163"/>
      <c r="C81" s="163"/>
      <c r="D81" s="163"/>
      <c r="E81" s="163"/>
      <c r="F81" s="165"/>
      <c r="G81" s="165"/>
      <c r="H81" s="165"/>
      <c r="I81" s="80"/>
      <c r="J81" s="80"/>
      <c r="K81" s="80"/>
      <c r="L81" s="80"/>
      <c r="M81" s="80"/>
      <c r="N81" s="81" t="s">
        <v>11</v>
      </c>
      <c r="O81" s="81"/>
      <c r="P81" s="89">
        <f>CEILING(P80*0.95,0.5)</f>
        <v>72.5</v>
      </c>
      <c r="Q81" s="89"/>
      <c r="R81" s="89"/>
      <c r="S81" s="89"/>
      <c r="T81" s="89">
        <f>CEILING(T80*0.95,0.5)</f>
        <v>75.5</v>
      </c>
      <c r="U81" s="89"/>
      <c r="V81" s="89"/>
      <c r="W81" s="89"/>
      <c r="X81" s="89">
        <f>CEILING(X80*0.95,0.5)</f>
        <v>78.5</v>
      </c>
      <c r="Y81" s="89"/>
      <c r="Z81" s="89"/>
      <c r="AA81" s="89"/>
      <c r="AB81" s="89">
        <f>CEILING(AB80*0.95,0.5)</f>
        <v>81.5</v>
      </c>
      <c r="AC81" s="89"/>
      <c r="AD81" s="89"/>
      <c r="AE81" s="89"/>
      <c r="AG81" s="166"/>
      <c r="AH81" s="166"/>
      <c r="AI81" s="166"/>
      <c r="AJ81" s="166"/>
      <c r="AK81" s="166"/>
      <c r="AL81" s="94"/>
      <c r="AM81" s="94"/>
      <c r="AN81" s="94"/>
      <c r="AO81" s="80"/>
      <c r="AP81" s="80"/>
      <c r="AQ81" s="80"/>
      <c r="AR81" s="80"/>
      <c r="AS81" s="80"/>
      <c r="AT81" s="81" t="s">
        <v>11</v>
      </c>
      <c r="AU81" s="81"/>
      <c r="AV81" s="89">
        <f>CEILING(AV80*0.95,0.5)</f>
        <v>86</v>
      </c>
      <c r="AW81" s="89"/>
      <c r="AX81" s="89"/>
      <c r="AY81" s="89"/>
      <c r="AZ81" s="89">
        <f>CEILING(AZ80*0.95,0.5)</f>
        <v>89.5</v>
      </c>
      <c r="BA81" s="89"/>
      <c r="BB81" s="89"/>
      <c r="BC81" s="89"/>
      <c r="BD81" s="89">
        <f>CEILING(BD80*0.95,0.5)</f>
        <v>93.5</v>
      </c>
      <c r="BE81" s="89"/>
      <c r="BF81" s="89"/>
      <c r="BG81" s="89"/>
      <c r="BH81" s="89">
        <f>CEILING(BH80*0.95,0.5)</f>
        <v>96.5</v>
      </c>
      <c r="BI81" s="89"/>
      <c r="BJ81" s="89"/>
      <c r="BK81" s="89"/>
    </row>
    <row r="82" spans="1:63" ht="16.5" customHeight="1">
      <c r="A82" s="163"/>
      <c r="B82" s="163"/>
      <c r="C82" s="163"/>
      <c r="D82" s="163"/>
      <c r="E82" s="163"/>
      <c r="F82" s="165"/>
      <c r="G82" s="165"/>
      <c r="H82" s="165"/>
      <c r="I82" s="80"/>
      <c r="J82" s="80"/>
      <c r="K82" s="80"/>
      <c r="L82" s="80"/>
      <c r="M82" s="80"/>
      <c r="N82" s="81" t="s">
        <v>12</v>
      </c>
      <c r="O82" s="81"/>
      <c r="P82" s="89">
        <f>CEILING(P79*0.4+5,0.5)</f>
        <v>67</v>
      </c>
      <c r="Q82" s="89"/>
      <c r="R82" s="89"/>
      <c r="S82" s="89"/>
      <c r="T82" s="89">
        <f>CEILING(T79*0.4+5,0.5)</f>
        <v>70.5</v>
      </c>
      <c r="U82" s="89"/>
      <c r="V82" s="89"/>
      <c r="W82" s="89"/>
      <c r="X82" s="89">
        <f>CEILING(X79*0.4+5,0.5)</f>
        <v>73.5</v>
      </c>
      <c r="Y82" s="89"/>
      <c r="Z82" s="89"/>
      <c r="AA82" s="89"/>
      <c r="AB82" s="89">
        <f>CEILING(AB79*0.4+5,0.5)</f>
        <v>77</v>
      </c>
      <c r="AC82" s="89"/>
      <c r="AD82" s="89"/>
      <c r="AE82" s="89"/>
      <c r="AG82" s="166"/>
      <c r="AH82" s="166"/>
      <c r="AI82" s="166"/>
      <c r="AJ82" s="166"/>
      <c r="AK82" s="166"/>
      <c r="AL82" s="94"/>
      <c r="AM82" s="94"/>
      <c r="AN82" s="94"/>
      <c r="AO82" s="80"/>
      <c r="AP82" s="80"/>
      <c r="AQ82" s="80"/>
      <c r="AR82" s="80"/>
      <c r="AS82" s="80"/>
      <c r="AT82" s="81" t="s">
        <v>12</v>
      </c>
      <c r="AU82" s="81"/>
      <c r="AV82" s="89">
        <f>CEILING(AV79*0.47+5,0.5)</f>
        <v>79.5</v>
      </c>
      <c r="AW82" s="89"/>
      <c r="AX82" s="89"/>
      <c r="AY82" s="89"/>
      <c r="AZ82" s="89">
        <f>CEILING(AZ79*0.47+5,0.5)</f>
        <v>83.5</v>
      </c>
      <c r="BA82" s="89"/>
      <c r="BB82" s="89"/>
      <c r="BC82" s="89"/>
      <c r="BD82" s="89">
        <f>CEILING(BD79*0.47+5,0.5)</f>
        <v>87.5</v>
      </c>
      <c r="BE82" s="89"/>
      <c r="BF82" s="89"/>
      <c r="BG82" s="89"/>
      <c r="BH82" s="89">
        <f>CEILING(BH79*0.47+5,0.5)</f>
        <v>91</v>
      </c>
      <c r="BI82" s="89"/>
      <c r="BJ82" s="89"/>
      <c r="BK82" s="89"/>
    </row>
    <row r="83" spans="1:63" ht="16.5" customHeight="1">
      <c r="A83" s="166" t="s">
        <v>67</v>
      </c>
      <c r="B83" s="166"/>
      <c r="C83" s="166"/>
      <c r="D83" s="166"/>
      <c r="E83" s="166"/>
      <c r="F83" s="165">
        <v>10</v>
      </c>
      <c r="G83" s="165"/>
      <c r="H83" s="165"/>
      <c r="I83" s="95" t="s">
        <v>9</v>
      </c>
      <c r="J83" s="95"/>
      <c r="K83" s="95"/>
      <c r="L83" s="95"/>
      <c r="M83" s="95"/>
      <c r="N83" s="100" t="s">
        <v>10</v>
      </c>
      <c r="O83" s="100"/>
      <c r="P83" s="99">
        <f>P95+25</f>
        <v>248</v>
      </c>
      <c r="Q83" s="99"/>
      <c r="R83" s="99"/>
      <c r="S83" s="99"/>
      <c r="T83" s="99">
        <f>P83+30</f>
        <v>278</v>
      </c>
      <c r="U83" s="99"/>
      <c r="V83" s="99"/>
      <c r="W83" s="99"/>
      <c r="X83" s="99">
        <f>T83+30</f>
        <v>308</v>
      </c>
      <c r="Y83" s="99"/>
      <c r="Z83" s="99"/>
      <c r="AA83" s="99"/>
      <c r="AB83" s="99">
        <f>X83+30</f>
        <v>338</v>
      </c>
      <c r="AC83" s="99"/>
      <c r="AD83" s="99"/>
      <c r="AE83" s="99"/>
      <c r="AG83" s="9" t="s">
        <v>60</v>
      </c>
      <c r="AH83" s="31"/>
      <c r="AI83" s="31"/>
      <c r="AJ83" s="26"/>
      <c r="AK83" s="26"/>
      <c r="AL83" s="26"/>
    </row>
    <row r="84" spans="1:63" ht="16.5" customHeight="1">
      <c r="A84" s="166"/>
      <c r="B84" s="166"/>
      <c r="C84" s="166"/>
      <c r="D84" s="166"/>
      <c r="E84" s="166"/>
      <c r="F84" s="165"/>
      <c r="G84" s="165"/>
      <c r="H84" s="165"/>
      <c r="I84" s="95"/>
      <c r="J84" s="95"/>
      <c r="K84" s="95"/>
      <c r="L84" s="95"/>
      <c r="M84" s="95"/>
      <c r="N84" s="100" t="s">
        <v>11</v>
      </c>
      <c r="O84" s="100"/>
      <c r="P84" s="99">
        <f>CEILING(P83*0.95,0.5)</f>
        <v>236</v>
      </c>
      <c r="Q84" s="99"/>
      <c r="R84" s="99"/>
      <c r="S84" s="99"/>
      <c r="T84" s="99">
        <f>CEILING(T83*0.95,0.5)</f>
        <v>264.5</v>
      </c>
      <c r="U84" s="99"/>
      <c r="V84" s="99"/>
      <c r="W84" s="99"/>
      <c r="X84" s="99">
        <f>CEILING(X83*0.95,0.5)</f>
        <v>293</v>
      </c>
      <c r="Y84" s="99"/>
      <c r="Z84" s="99"/>
      <c r="AA84" s="99"/>
      <c r="AB84" s="99">
        <f>CEILING(AB83*0.95,0.5)</f>
        <v>321.5</v>
      </c>
      <c r="AC84" s="99"/>
      <c r="AD84" s="99"/>
      <c r="AE84" s="99"/>
      <c r="AG84" s="9" t="s">
        <v>68</v>
      </c>
      <c r="AH84" s="31"/>
      <c r="AI84" s="31"/>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row>
    <row r="85" spans="1:63" ht="16.5" customHeight="1">
      <c r="A85" s="166"/>
      <c r="B85" s="166"/>
      <c r="C85" s="166"/>
      <c r="D85" s="166"/>
      <c r="E85" s="166"/>
      <c r="F85" s="165"/>
      <c r="G85" s="165"/>
      <c r="H85" s="165"/>
      <c r="I85" s="95"/>
      <c r="J85" s="95"/>
      <c r="K85" s="95"/>
      <c r="L85" s="95"/>
      <c r="M85" s="95"/>
      <c r="N85" s="100" t="s">
        <v>12</v>
      </c>
      <c r="O85" s="100"/>
      <c r="P85" s="99">
        <f>P97+25</f>
        <v>219.5</v>
      </c>
      <c r="Q85" s="99"/>
      <c r="R85" s="99"/>
      <c r="S85" s="99"/>
      <c r="T85" s="99">
        <f>P85+30</f>
        <v>249.5</v>
      </c>
      <c r="U85" s="99"/>
      <c r="V85" s="99"/>
      <c r="W85" s="99"/>
      <c r="X85" s="99">
        <f>T85+30</f>
        <v>279.5</v>
      </c>
      <c r="Y85" s="99"/>
      <c r="Z85" s="99"/>
      <c r="AA85" s="99"/>
      <c r="AB85" s="99">
        <f>X85+30</f>
        <v>309.5</v>
      </c>
      <c r="AC85" s="99"/>
      <c r="AD85" s="99"/>
      <c r="AE85" s="99"/>
      <c r="AG85" s="9" t="s">
        <v>69</v>
      </c>
      <c r="AH85" s="31"/>
      <c r="AI85" s="31"/>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row>
    <row r="86" spans="1:63" ht="16.5" customHeight="1">
      <c r="A86" s="166"/>
      <c r="B86" s="166"/>
      <c r="C86" s="166"/>
      <c r="D86" s="166"/>
      <c r="E86" s="166"/>
      <c r="F86" s="165"/>
      <c r="G86" s="165"/>
      <c r="H86" s="165"/>
      <c r="I86" s="97" t="s">
        <v>70</v>
      </c>
      <c r="J86" s="97"/>
      <c r="K86" s="97"/>
      <c r="L86" s="97"/>
      <c r="M86" s="97"/>
      <c r="N86" s="98" t="s">
        <v>10</v>
      </c>
      <c r="O86" s="98"/>
      <c r="P86" s="96">
        <f>CEILING(P83*0.57+5,0.5)</f>
        <v>146.5</v>
      </c>
      <c r="Q86" s="96"/>
      <c r="R86" s="96"/>
      <c r="S86" s="96"/>
      <c r="T86" s="96">
        <f>CEILING(T83*0.57+5,0.5)</f>
        <v>163.5</v>
      </c>
      <c r="U86" s="96"/>
      <c r="V86" s="96"/>
      <c r="W86" s="96"/>
      <c r="X86" s="96">
        <f>CEILING(X83*0.57+5,0.5)</f>
        <v>181</v>
      </c>
      <c r="Y86" s="96"/>
      <c r="Z86" s="96"/>
      <c r="AA86" s="96"/>
      <c r="AB86" s="96">
        <f>CEILING(AB83*0.57+5,0.5)</f>
        <v>198</v>
      </c>
      <c r="AC86" s="96"/>
      <c r="AD86" s="96"/>
      <c r="AE86" s="96"/>
      <c r="AG86" s="9" t="s">
        <v>26</v>
      </c>
      <c r="AH86" s="9"/>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row>
    <row r="87" spans="1:63" ht="16.5" customHeight="1">
      <c r="A87" s="166"/>
      <c r="B87" s="166"/>
      <c r="C87" s="166"/>
      <c r="D87" s="166"/>
      <c r="E87" s="166"/>
      <c r="F87" s="165"/>
      <c r="G87" s="165"/>
      <c r="H87" s="165"/>
      <c r="I87" s="97"/>
      <c r="J87" s="97"/>
      <c r="K87" s="97"/>
      <c r="L87" s="97"/>
      <c r="M87" s="97"/>
      <c r="N87" s="98" t="s">
        <v>11</v>
      </c>
      <c r="O87" s="98"/>
      <c r="P87" s="96">
        <f>CEILING(P86*0.95,0.5)</f>
        <v>139.5</v>
      </c>
      <c r="Q87" s="96"/>
      <c r="R87" s="96"/>
      <c r="S87" s="96"/>
      <c r="T87" s="96">
        <f>CEILING(T86*0.95,0.5)</f>
        <v>155.5</v>
      </c>
      <c r="U87" s="96"/>
      <c r="V87" s="96"/>
      <c r="W87" s="96"/>
      <c r="X87" s="96">
        <f>CEILING(X86*0.95,0.5)</f>
        <v>172</v>
      </c>
      <c r="Y87" s="96"/>
      <c r="Z87" s="96"/>
      <c r="AA87" s="96"/>
      <c r="AB87" s="96">
        <f>CEILING(AB86*0.95,0.5)</f>
        <v>188.5</v>
      </c>
      <c r="AC87" s="96"/>
      <c r="AD87" s="96"/>
      <c r="AE87" s="96"/>
      <c r="AG87" s="9"/>
      <c r="AH87" s="9"/>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row>
    <row r="88" spans="1:63" ht="16.5" customHeight="1" thickBot="1">
      <c r="A88" s="166"/>
      <c r="B88" s="166"/>
      <c r="C88" s="166"/>
      <c r="D88" s="166"/>
      <c r="E88" s="166"/>
      <c r="F88" s="165"/>
      <c r="G88" s="165"/>
      <c r="H88" s="165"/>
      <c r="I88" s="97"/>
      <c r="J88" s="97"/>
      <c r="K88" s="97"/>
      <c r="L88" s="97"/>
      <c r="M88" s="97"/>
      <c r="N88" s="98" t="s">
        <v>12</v>
      </c>
      <c r="O88" s="98"/>
      <c r="P88" s="96">
        <f>CEILING(P85*0.57+5,0.5)</f>
        <v>130.5</v>
      </c>
      <c r="Q88" s="96"/>
      <c r="R88" s="96"/>
      <c r="S88" s="96"/>
      <c r="T88" s="96">
        <f>CEILING(T85*0.57+5,0.5)</f>
        <v>147.5</v>
      </c>
      <c r="U88" s="96"/>
      <c r="V88" s="96"/>
      <c r="W88" s="96"/>
      <c r="X88" s="96">
        <f>CEILING(X85*0.57+5,0.5)</f>
        <v>164.5</v>
      </c>
      <c r="Y88" s="96"/>
      <c r="Z88" s="96"/>
      <c r="AA88" s="96"/>
      <c r="AB88" s="96">
        <f>CEILING(AB85*0.57+5,0.5)</f>
        <v>181.5</v>
      </c>
      <c r="AC88" s="96"/>
      <c r="AD88" s="96"/>
      <c r="AE88" s="96"/>
    </row>
    <row r="89" spans="1:63" ht="16.5" customHeight="1" thickTop="1">
      <c r="A89" s="166"/>
      <c r="B89" s="166"/>
      <c r="C89" s="166"/>
      <c r="D89" s="166"/>
      <c r="E89" s="166"/>
      <c r="F89" s="165"/>
      <c r="G89" s="165"/>
      <c r="H89" s="165"/>
      <c r="I89" s="95" t="s">
        <v>15</v>
      </c>
      <c r="J89" s="95"/>
      <c r="K89" s="95"/>
      <c r="L89" s="95"/>
      <c r="M89" s="95"/>
      <c r="N89" s="100" t="s">
        <v>10</v>
      </c>
      <c r="O89" s="100"/>
      <c r="P89" s="99">
        <f>P95+15</f>
        <v>238</v>
      </c>
      <c r="Q89" s="99"/>
      <c r="R89" s="99"/>
      <c r="S89" s="99"/>
      <c r="T89" s="99">
        <f>P89+15</f>
        <v>253</v>
      </c>
      <c r="U89" s="99"/>
      <c r="V89" s="99"/>
      <c r="W89" s="99"/>
      <c r="X89" s="99">
        <f>T89+15</f>
        <v>268</v>
      </c>
      <c r="Y89" s="99"/>
      <c r="Z89" s="99"/>
      <c r="AA89" s="99"/>
      <c r="AB89" s="99">
        <f>X89+15</f>
        <v>283</v>
      </c>
      <c r="AC89" s="99"/>
      <c r="AD89" s="99"/>
      <c r="AE89" s="99"/>
      <c r="AP89" s="90" t="s">
        <v>27</v>
      </c>
      <c r="AQ89" s="91"/>
      <c r="AR89" s="91"/>
      <c r="AS89" s="91"/>
      <c r="AT89" s="91"/>
      <c r="AU89" s="91"/>
      <c r="AV89" s="91"/>
      <c r="AW89" s="91"/>
      <c r="AX89" s="91"/>
      <c r="AY89" s="91"/>
      <c r="AZ89" s="91"/>
      <c r="BA89" s="91"/>
      <c r="BB89" s="91"/>
      <c r="BC89" s="91"/>
      <c r="BD89" s="91"/>
      <c r="BE89" s="91"/>
      <c r="BF89" s="91"/>
      <c r="BG89" s="91"/>
      <c r="BH89" s="91"/>
      <c r="BI89" s="92"/>
    </row>
    <row r="90" spans="1:63" ht="16.5" customHeight="1">
      <c r="A90" s="166"/>
      <c r="B90" s="166"/>
      <c r="C90" s="166"/>
      <c r="D90" s="166"/>
      <c r="E90" s="166"/>
      <c r="F90" s="165"/>
      <c r="G90" s="165"/>
      <c r="H90" s="165"/>
      <c r="I90" s="95"/>
      <c r="J90" s="95"/>
      <c r="K90" s="95"/>
      <c r="L90" s="95"/>
      <c r="M90" s="95"/>
      <c r="N90" s="100" t="s">
        <v>11</v>
      </c>
      <c r="O90" s="100"/>
      <c r="P90" s="99">
        <f>CEILING(P89*0.95,0.5)</f>
        <v>226.5</v>
      </c>
      <c r="Q90" s="99"/>
      <c r="R90" s="99"/>
      <c r="S90" s="99"/>
      <c r="T90" s="99">
        <f>CEILING(T89*0.95,0.5)</f>
        <v>240.5</v>
      </c>
      <c r="U90" s="99"/>
      <c r="V90" s="99"/>
      <c r="W90" s="99"/>
      <c r="X90" s="99">
        <f>CEILING(X89*0.95,0.5)</f>
        <v>255</v>
      </c>
      <c r="Y90" s="99"/>
      <c r="Z90" s="99"/>
      <c r="AA90" s="99"/>
      <c r="AB90" s="99">
        <f>CEILING(AB89*0.95,0.5)</f>
        <v>269</v>
      </c>
      <c r="AC90" s="99"/>
      <c r="AD90" s="99"/>
      <c r="AE90" s="99"/>
      <c r="AP90" s="168" t="s">
        <v>71</v>
      </c>
      <c r="AQ90" s="169"/>
      <c r="AR90" s="169"/>
      <c r="AS90" s="169"/>
      <c r="AT90" s="169"/>
      <c r="AU90" s="169"/>
      <c r="AV90" s="169"/>
      <c r="AW90" s="170"/>
      <c r="AX90" s="169" t="s">
        <v>72</v>
      </c>
      <c r="AY90" s="169"/>
      <c r="AZ90" s="169"/>
      <c r="BA90" s="169"/>
      <c r="BB90" s="169"/>
      <c r="BC90" s="169"/>
      <c r="BD90" s="169"/>
      <c r="BE90" s="169"/>
      <c r="BF90" s="169"/>
      <c r="BG90" s="169"/>
      <c r="BH90" s="169"/>
      <c r="BI90" s="171"/>
    </row>
    <row r="91" spans="1:63" ht="16.5" customHeight="1">
      <c r="A91" s="166"/>
      <c r="B91" s="166"/>
      <c r="C91" s="166"/>
      <c r="D91" s="166"/>
      <c r="E91" s="166"/>
      <c r="F91" s="165"/>
      <c r="G91" s="165"/>
      <c r="H91" s="165"/>
      <c r="I91" s="95"/>
      <c r="J91" s="95"/>
      <c r="K91" s="95"/>
      <c r="L91" s="95"/>
      <c r="M91" s="95"/>
      <c r="N91" s="100" t="s">
        <v>12</v>
      </c>
      <c r="O91" s="100"/>
      <c r="P91" s="99">
        <f>P97+15</f>
        <v>209.5</v>
      </c>
      <c r="Q91" s="99"/>
      <c r="R91" s="99"/>
      <c r="S91" s="99"/>
      <c r="T91" s="99">
        <f>P91+15</f>
        <v>224.5</v>
      </c>
      <c r="U91" s="99"/>
      <c r="V91" s="99"/>
      <c r="W91" s="99"/>
      <c r="X91" s="99">
        <f>T91+15</f>
        <v>239.5</v>
      </c>
      <c r="Y91" s="99"/>
      <c r="Z91" s="99"/>
      <c r="AA91" s="99"/>
      <c r="AB91" s="99">
        <f>X91+15</f>
        <v>254.5</v>
      </c>
      <c r="AC91" s="99"/>
      <c r="AD91" s="99"/>
      <c r="AE91" s="99"/>
      <c r="AP91" s="168" t="s">
        <v>30</v>
      </c>
      <c r="AQ91" s="169"/>
      <c r="AR91" s="169"/>
      <c r="AS91" s="169"/>
      <c r="AT91" s="169"/>
      <c r="AU91" s="169"/>
      <c r="AV91" s="169"/>
      <c r="AW91" s="170"/>
      <c r="AX91" s="169" t="s">
        <v>31</v>
      </c>
      <c r="AY91" s="169"/>
      <c r="AZ91" s="169"/>
      <c r="BA91" s="169"/>
      <c r="BB91" s="169"/>
      <c r="BC91" s="169"/>
      <c r="BD91" s="169"/>
      <c r="BE91" s="169"/>
      <c r="BF91" s="169"/>
      <c r="BG91" s="169"/>
      <c r="BH91" s="169"/>
      <c r="BI91" s="171"/>
    </row>
    <row r="92" spans="1:63" ht="16.5" customHeight="1" thickBot="1">
      <c r="A92" s="166"/>
      <c r="B92" s="166"/>
      <c r="C92" s="166"/>
      <c r="D92" s="166"/>
      <c r="E92" s="166"/>
      <c r="F92" s="165"/>
      <c r="G92" s="165"/>
      <c r="H92" s="165"/>
      <c r="I92" s="97" t="s">
        <v>55</v>
      </c>
      <c r="J92" s="97"/>
      <c r="K92" s="97"/>
      <c r="L92" s="97"/>
      <c r="M92" s="97"/>
      <c r="N92" s="98" t="s">
        <v>10</v>
      </c>
      <c r="O92" s="98"/>
      <c r="P92" s="96">
        <f>CEILING(P89*0.57+5,0.5)</f>
        <v>141</v>
      </c>
      <c r="Q92" s="96"/>
      <c r="R92" s="96"/>
      <c r="S92" s="96"/>
      <c r="T92" s="96">
        <f>CEILING(T89*0.57+5,0.5)</f>
        <v>149.5</v>
      </c>
      <c r="U92" s="96"/>
      <c r="V92" s="96"/>
      <c r="W92" s="96"/>
      <c r="X92" s="96">
        <f>CEILING(X89*0.57+5,0.5)</f>
        <v>158</v>
      </c>
      <c r="Y92" s="96"/>
      <c r="Z92" s="96"/>
      <c r="AA92" s="96"/>
      <c r="AB92" s="96">
        <f>CEILING(AB89*0.57+5,0.5)</f>
        <v>166.5</v>
      </c>
      <c r="AC92" s="96"/>
      <c r="AD92" s="96"/>
      <c r="AE92" s="96"/>
      <c r="AP92" s="85" t="s">
        <v>73</v>
      </c>
      <c r="AQ92" s="86"/>
      <c r="AR92" s="86"/>
      <c r="AS92" s="86"/>
      <c r="AT92" s="86"/>
      <c r="AU92" s="86"/>
      <c r="AV92" s="86"/>
      <c r="AW92" s="87"/>
      <c r="AX92" s="86" t="s">
        <v>74</v>
      </c>
      <c r="AY92" s="86"/>
      <c r="AZ92" s="86"/>
      <c r="BA92" s="86"/>
      <c r="BB92" s="86"/>
      <c r="BC92" s="86"/>
      <c r="BD92" s="86"/>
      <c r="BE92" s="86"/>
      <c r="BF92" s="86"/>
      <c r="BG92" s="86"/>
      <c r="BH92" s="86"/>
      <c r="BI92" s="88"/>
    </row>
    <row r="93" spans="1:63" ht="16.5" customHeight="1" thickTop="1">
      <c r="A93" s="166"/>
      <c r="B93" s="166"/>
      <c r="C93" s="166"/>
      <c r="D93" s="166"/>
      <c r="E93" s="166"/>
      <c r="F93" s="165"/>
      <c r="G93" s="165"/>
      <c r="H93" s="165"/>
      <c r="I93" s="97"/>
      <c r="J93" s="97"/>
      <c r="K93" s="97"/>
      <c r="L93" s="97"/>
      <c r="M93" s="97"/>
      <c r="N93" s="98" t="s">
        <v>11</v>
      </c>
      <c r="O93" s="98"/>
      <c r="P93" s="96">
        <f>CEILING(P92*0.95,0.5)</f>
        <v>134</v>
      </c>
      <c r="Q93" s="96"/>
      <c r="R93" s="96"/>
      <c r="S93" s="96"/>
      <c r="T93" s="96">
        <f>CEILING(T92*0.95,0.5)</f>
        <v>142.5</v>
      </c>
      <c r="U93" s="96"/>
      <c r="V93" s="96"/>
      <c r="W93" s="96"/>
      <c r="X93" s="96">
        <f>CEILING(X92*0.95,0.5)</f>
        <v>150.5</v>
      </c>
      <c r="Y93" s="96"/>
      <c r="Z93" s="96"/>
      <c r="AA93" s="96"/>
      <c r="AB93" s="96">
        <f>CEILING(AB92*0.95,0.5)</f>
        <v>158.5</v>
      </c>
      <c r="AC93" s="96"/>
      <c r="AD93" s="96"/>
      <c r="AE93" s="96"/>
    </row>
    <row r="94" spans="1:63" ht="16.5" customHeight="1">
      <c r="A94" s="166"/>
      <c r="B94" s="166"/>
      <c r="C94" s="166"/>
      <c r="D94" s="166"/>
      <c r="E94" s="166"/>
      <c r="F94" s="165"/>
      <c r="G94" s="165"/>
      <c r="H94" s="165"/>
      <c r="I94" s="97"/>
      <c r="J94" s="97"/>
      <c r="K94" s="97"/>
      <c r="L94" s="97"/>
      <c r="M94" s="97"/>
      <c r="N94" s="98" t="s">
        <v>12</v>
      </c>
      <c r="O94" s="98"/>
      <c r="P94" s="96">
        <f>CEILING(P91*0.57+5,0.5)</f>
        <v>124.5</v>
      </c>
      <c r="Q94" s="96"/>
      <c r="R94" s="96"/>
      <c r="S94" s="96"/>
      <c r="T94" s="96">
        <f>CEILING(T91*0.57+5,0.5)</f>
        <v>133</v>
      </c>
      <c r="U94" s="96"/>
      <c r="V94" s="96"/>
      <c r="W94" s="96"/>
      <c r="X94" s="96">
        <f>CEILING(X91*0.57+5,0.5)</f>
        <v>142</v>
      </c>
      <c r="Y94" s="96"/>
      <c r="Z94" s="96"/>
      <c r="AA94" s="96"/>
      <c r="AB94" s="96">
        <f>CEILING(AB91*0.57+5,0.5)</f>
        <v>150.5</v>
      </c>
      <c r="AC94" s="96"/>
      <c r="AD94" s="96"/>
      <c r="AE94" s="96"/>
    </row>
    <row r="95" spans="1:63" ht="16.5" customHeight="1">
      <c r="A95" s="166"/>
      <c r="B95" s="166"/>
      <c r="C95" s="166"/>
      <c r="D95" s="166"/>
      <c r="E95" s="166"/>
      <c r="F95" s="165"/>
      <c r="G95" s="165"/>
      <c r="H95" s="165"/>
      <c r="I95" s="95" t="s">
        <v>18</v>
      </c>
      <c r="J95" s="95"/>
      <c r="K95" s="95"/>
      <c r="L95" s="95"/>
      <c r="M95" s="95"/>
      <c r="N95" s="100" t="s">
        <v>10</v>
      </c>
      <c r="O95" s="100"/>
      <c r="P95" s="101">
        <f>CEILING(171.5*1.3,0.5)</f>
        <v>223</v>
      </c>
      <c r="Q95" s="101"/>
      <c r="R95" s="101"/>
      <c r="S95" s="101"/>
      <c r="T95" s="99">
        <f>P95+10</f>
        <v>233</v>
      </c>
      <c r="U95" s="99"/>
      <c r="V95" s="99"/>
      <c r="W95" s="99"/>
      <c r="X95" s="99">
        <f>T95+10</f>
        <v>243</v>
      </c>
      <c r="Y95" s="99"/>
      <c r="Z95" s="99"/>
      <c r="AA95" s="99"/>
      <c r="AB95" s="99">
        <f>X95+10</f>
        <v>253</v>
      </c>
      <c r="AC95" s="99"/>
      <c r="AD95" s="99"/>
      <c r="AE95" s="99"/>
    </row>
    <row r="96" spans="1:63" ht="16.5" customHeight="1">
      <c r="A96" s="166"/>
      <c r="B96" s="166"/>
      <c r="C96" s="166"/>
      <c r="D96" s="166"/>
      <c r="E96" s="166"/>
      <c r="F96" s="165"/>
      <c r="G96" s="165"/>
      <c r="H96" s="165"/>
      <c r="I96" s="95"/>
      <c r="J96" s="95"/>
      <c r="K96" s="95"/>
      <c r="L96" s="95"/>
      <c r="M96" s="95"/>
      <c r="N96" s="100" t="s">
        <v>11</v>
      </c>
      <c r="O96" s="100"/>
      <c r="P96" s="99">
        <f>CEILING(P95*0.95,0.5)</f>
        <v>212</v>
      </c>
      <c r="Q96" s="99"/>
      <c r="R96" s="99"/>
      <c r="S96" s="99"/>
      <c r="T96" s="99">
        <f>CEILING(T95*0.95,0.5)</f>
        <v>221.5</v>
      </c>
      <c r="U96" s="99"/>
      <c r="V96" s="99"/>
      <c r="W96" s="99"/>
      <c r="X96" s="99">
        <f>CEILING(X95*0.95,0.5)</f>
        <v>231</v>
      </c>
      <c r="Y96" s="99"/>
      <c r="Z96" s="99"/>
      <c r="AA96" s="99"/>
      <c r="AB96" s="99">
        <f>CEILING(AB95*0.95,0.5)</f>
        <v>240.5</v>
      </c>
      <c r="AC96" s="99"/>
      <c r="AD96" s="99"/>
      <c r="AE96" s="99"/>
    </row>
    <row r="97" spans="1:31" ht="16.5" customHeight="1">
      <c r="A97" s="166"/>
      <c r="B97" s="166"/>
      <c r="C97" s="166"/>
      <c r="D97" s="166"/>
      <c r="E97" s="166"/>
      <c r="F97" s="165"/>
      <c r="G97" s="165"/>
      <c r="H97" s="165"/>
      <c r="I97" s="95"/>
      <c r="J97" s="95"/>
      <c r="K97" s="95"/>
      <c r="L97" s="95"/>
      <c r="M97" s="95"/>
      <c r="N97" s="100" t="s">
        <v>12</v>
      </c>
      <c r="O97" s="100"/>
      <c r="P97" s="101">
        <f>CEILING(149.5*1.3,0.5)</f>
        <v>194.5</v>
      </c>
      <c r="Q97" s="101"/>
      <c r="R97" s="101"/>
      <c r="S97" s="101"/>
      <c r="T97" s="99">
        <f>P97+10</f>
        <v>204.5</v>
      </c>
      <c r="U97" s="99"/>
      <c r="V97" s="99"/>
      <c r="W97" s="99"/>
      <c r="X97" s="99">
        <f>T97+10</f>
        <v>214.5</v>
      </c>
      <c r="Y97" s="99"/>
      <c r="Z97" s="99"/>
      <c r="AA97" s="99"/>
      <c r="AB97" s="99">
        <f>X97+10</f>
        <v>224.5</v>
      </c>
      <c r="AC97" s="99"/>
      <c r="AD97" s="99"/>
      <c r="AE97" s="99"/>
    </row>
    <row r="98" spans="1:31" ht="16.5" customHeight="1">
      <c r="A98" s="166"/>
      <c r="B98" s="166"/>
      <c r="C98" s="166"/>
      <c r="D98" s="166"/>
      <c r="E98" s="166"/>
      <c r="F98" s="165"/>
      <c r="G98" s="165"/>
      <c r="H98" s="165"/>
      <c r="I98" s="97" t="s">
        <v>64</v>
      </c>
      <c r="J98" s="97"/>
      <c r="K98" s="97"/>
      <c r="L98" s="97"/>
      <c r="M98" s="97"/>
      <c r="N98" s="98" t="s">
        <v>58</v>
      </c>
      <c r="O98" s="98"/>
      <c r="P98" s="96">
        <f>CEILING(P95*0.57+5,0.5)</f>
        <v>132.5</v>
      </c>
      <c r="Q98" s="96"/>
      <c r="R98" s="96"/>
      <c r="S98" s="96"/>
      <c r="T98" s="96">
        <f>CEILING(T95*0.57+5,0.5)</f>
        <v>138</v>
      </c>
      <c r="U98" s="96"/>
      <c r="V98" s="96"/>
      <c r="W98" s="96"/>
      <c r="X98" s="96">
        <f>CEILING(X95*0.57+5,0.5)</f>
        <v>144</v>
      </c>
      <c r="Y98" s="96"/>
      <c r="Z98" s="96"/>
      <c r="AA98" s="96"/>
      <c r="AB98" s="96">
        <f>CEILING(AB95*0.57+5,0.5)</f>
        <v>149.5</v>
      </c>
      <c r="AC98" s="96"/>
      <c r="AD98" s="96"/>
      <c r="AE98" s="96"/>
    </row>
    <row r="99" spans="1:31" ht="16.5" customHeight="1">
      <c r="A99" s="166"/>
      <c r="B99" s="166"/>
      <c r="C99" s="166"/>
      <c r="D99" s="166"/>
      <c r="E99" s="166"/>
      <c r="F99" s="165"/>
      <c r="G99" s="165"/>
      <c r="H99" s="165"/>
      <c r="I99" s="97"/>
      <c r="J99" s="97"/>
      <c r="K99" s="97"/>
      <c r="L99" s="97"/>
      <c r="M99" s="97"/>
      <c r="N99" s="98" t="s">
        <v>11</v>
      </c>
      <c r="O99" s="98"/>
      <c r="P99" s="96">
        <f>CEILING(P98*0.95,0.5)</f>
        <v>126</v>
      </c>
      <c r="Q99" s="96"/>
      <c r="R99" s="96"/>
      <c r="S99" s="96"/>
      <c r="T99" s="96">
        <f>CEILING(T98*0.95,0.5)</f>
        <v>131.5</v>
      </c>
      <c r="U99" s="96"/>
      <c r="V99" s="96"/>
      <c r="W99" s="96"/>
      <c r="X99" s="96">
        <f>CEILING(X98*0.95,0.5)</f>
        <v>137</v>
      </c>
      <c r="Y99" s="96"/>
      <c r="Z99" s="96"/>
      <c r="AA99" s="96"/>
      <c r="AB99" s="96">
        <f>CEILING(AB98*0.95,0.5)</f>
        <v>142.5</v>
      </c>
      <c r="AC99" s="96"/>
      <c r="AD99" s="96"/>
      <c r="AE99" s="96"/>
    </row>
    <row r="100" spans="1:31" ht="16.5" customHeight="1">
      <c r="A100" s="166"/>
      <c r="B100" s="166"/>
      <c r="C100" s="166"/>
      <c r="D100" s="166"/>
      <c r="E100" s="166"/>
      <c r="F100" s="165"/>
      <c r="G100" s="165"/>
      <c r="H100" s="165"/>
      <c r="I100" s="97"/>
      <c r="J100" s="97"/>
      <c r="K100" s="97"/>
      <c r="L100" s="97"/>
      <c r="M100" s="97"/>
      <c r="N100" s="98" t="s">
        <v>12</v>
      </c>
      <c r="O100" s="98"/>
      <c r="P100" s="96">
        <f>CEILING(P97*0.57+5,0.5)</f>
        <v>116</v>
      </c>
      <c r="Q100" s="96"/>
      <c r="R100" s="96"/>
      <c r="S100" s="96"/>
      <c r="T100" s="96">
        <f>CEILING(T97*0.57+5,0.5)</f>
        <v>122</v>
      </c>
      <c r="U100" s="96"/>
      <c r="V100" s="96"/>
      <c r="W100" s="96"/>
      <c r="X100" s="96">
        <f>CEILING(X97*0.57+5,0.5)</f>
        <v>127.5</v>
      </c>
      <c r="Y100" s="96"/>
      <c r="Z100" s="96"/>
      <c r="AA100" s="96"/>
      <c r="AB100" s="96">
        <f>CEILING(AB97*0.57+5,0.5)</f>
        <v>133</v>
      </c>
      <c r="AC100" s="96"/>
      <c r="AD100" s="96"/>
      <c r="AE100" s="96"/>
    </row>
    <row r="101" spans="1:31" ht="16.5" customHeight="1">
      <c r="A101" s="166"/>
      <c r="B101" s="166"/>
      <c r="C101" s="166"/>
      <c r="D101" s="166"/>
      <c r="E101" s="166"/>
      <c r="F101" s="165"/>
      <c r="G101" s="165"/>
      <c r="H101" s="165"/>
      <c r="I101" s="82" t="s">
        <v>21</v>
      </c>
      <c r="J101" s="82"/>
      <c r="K101" s="82"/>
      <c r="L101" s="82"/>
      <c r="M101" s="82"/>
      <c r="N101" s="84" t="s">
        <v>10</v>
      </c>
      <c r="O101" s="84"/>
      <c r="P101" s="83">
        <f>P95-4</f>
        <v>219</v>
      </c>
      <c r="Q101" s="83"/>
      <c r="R101" s="83"/>
      <c r="S101" s="83"/>
      <c r="T101" s="83">
        <f>P101+8</f>
        <v>227</v>
      </c>
      <c r="U101" s="83"/>
      <c r="V101" s="83"/>
      <c r="W101" s="83"/>
      <c r="X101" s="83">
        <f>T101+8</f>
        <v>235</v>
      </c>
      <c r="Y101" s="83"/>
      <c r="Z101" s="83"/>
      <c r="AA101" s="83"/>
      <c r="AB101" s="83">
        <f>X101+8</f>
        <v>243</v>
      </c>
      <c r="AC101" s="83"/>
      <c r="AD101" s="83"/>
      <c r="AE101" s="83"/>
    </row>
    <row r="102" spans="1:31" ht="16.5" customHeight="1">
      <c r="A102" s="166"/>
      <c r="B102" s="166"/>
      <c r="C102" s="166"/>
      <c r="D102" s="166"/>
      <c r="E102" s="166"/>
      <c r="F102" s="165"/>
      <c r="G102" s="165"/>
      <c r="H102" s="165"/>
      <c r="I102" s="82"/>
      <c r="J102" s="82"/>
      <c r="K102" s="82"/>
      <c r="L102" s="82"/>
      <c r="M102" s="82"/>
      <c r="N102" s="84" t="s">
        <v>11</v>
      </c>
      <c r="O102" s="84"/>
      <c r="P102" s="83">
        <f>CEILING(P101*0.95,0.5)</f>
        <v>208.5</v>
      </c>
      <c r="Q102" s="83"/>
      <c r="R102" s="83"/>
      <c r="S102" s="83"/>
      <c r="T102" s="83">
        <f>CEILING(T101*0.95,0.5)</f>
        <v>216</v>
      </c>
      <c r="U102" s="83"/>
      <c r="V102" s="83"/>
      <c r="W102" s="83"/>
      <c r="X102" s="83">
        <f>CEILING(X101*0.95,0.5)</f>
        <v>223.5</v>
      </c>
      <c r="Y102" s="83"/>
      <c r="Z102" s="83"/>
      <c r="AA102" s="83"/>
      <c r="AB102" s="83">
        <f>CEILING(AB101*0.95,0.5)</f>
        <v>231</v>
      </c>
      <c r="AC102" s="83"/>
      <c r="AD102" s="83"/>
      <c r="AE102" s="83"/>
    </row>
    <row r="103" spans="1:31" ht="16.5" customHeight="1">
      <c r="A103" s="166"/>
      <c r="B103" s="166"/>
      <c r="C103" s="166"/>
      <c r="D103" s="166"/>
      <c r="E103" s="166"/>
      <c r="F103" s="165"/>
      <c r="G103" s="165"/>
      <c r="H103" s="165"/>
      <c r="I103" s="82"/>
      <c r="J103" s="82"/>
      <c r="K103" s="82"/>
      <c r="L103" s="82"/>
      <c r="M103" s="82"/>
      <c r="N103" s="84" t="s">
        <v>12</v>
      </c>
      <c r="O103" s="84"/>
      <c r="P103" s="83">
        <f>P97-4</f>
        <v>190.5</v>
      </c>
      <c r="Q103" s="83"/>
      <c r="R103" s="83"/>
      <c r="S103" s="83"/>
      <c r="T103" s="83">
        <f>P103+8</f>
        <v>198.5</v>
      </c>
      <c r="U103" s="83"/>
      <c r="V103" s="83"/>
      <c r="W103" s="83"/>
      <c r="X103" s="83">
        <f>T103+8</f>
        <v>206.5</v>
      </c>
      <c r="Y103" s="83"/>
      <c r="Z103" s="83"/>
      <c r="AA103" s="83"/>
      <c r="AB103" s="83">
        <f>X103+8</f>
        <v>214.5</v>
      </c>
      <c r="AC103" s="83"/>
      <c r="AD103" s="83"/>
      <c r="AE103" s="83"/>
    </row>
    <row r="104" spans="1:31" ht="16.5" customHeight="1">
      <c r="A104" s="166"/>
      <c r="B104" s="166"/>
      <c r="C104" s="166"/>
      <c r="D104" s="166"/>
      <c r="E104" s="166"/>
      <c r="F104" s="165"/>
      <c r="G104" s="165"/>
      <c r="H104" s="165"/>
      <c r="I104" s="80" t="s">
        <v>75</v>
      </c>
      <c r="J104" s="80"/>
      <c r="K104" s="80"/>
      <c r="L104" s="80"/>
      <c r="M104" s="80"/>
      <c r="N104" s="81" t="s">
        <v>58</v>
      </c>
      <c r="O104" s="81"/>
      <c r="P104" s="89">
        <f>CEILING(P101*0.57+5,0.5)</f>
        <v>130</v>
      </c>
      <c r="Q104" s="89"/>
      <c r="R104" s="89"/>
      <c r="S104" s="89"/>
      <c r="T104" s="89">
        <f>CEILING(T101*0.57+5,0.5)</f>
        <v>134.5</v>
      </c>
      <c r="U104" s="89"/>
      <c r="V104" s="89"/>
      <c r="W104" s="89"/>
      <c r="X104" s="89">
        <f>CEILING(X101*0.57+5,0.5)</f>
        <v>139</v>
      </c>
      <c r="Y104" s="89"/>
      <c r="Z104" s="89"/>
      <c r="AA104" s="89"/>
      <c r="AB104" s="89">
        <f>CEILING(AB101*0.57+5,0.5)</f>
        <v>144</v>
      </c>
      <c r="AC104" s="89"/>
      <c r="AD104" s="89"/>
      <c r="AE104" s="89"/>
    </row>
    <row r="105" spans="1:31" ht="16.5" customHeight="1">
      <c r="A105" s="166"/>
      <c r="B105" s="166"/>
      <c r="C105" s="166"/>
      <c r="D105" s="166"/>
      <c r="E105" s="166"/>
      <c r="F105" s="165"/>
      <c r="G105" s="165"/>
      <c r="H105" s="165"/>
      <c r="I105" s="80"/>
      <c r="J105" s="80"/>
      <c r="K105" s="80"/>
      <c r="L105" s="80"/>
      <c r="M105" s="80"/>
      <c r="N105" s="81" t="s">
        <v>11</v>
      </c>
      <c r="O105" s="81"/>
      <c r="P105" s="89">
        <f>CEILING(P104*0.95,0.5)</f>
        <v>123.5</v>
      </c>
      <c r="Q105" s="89"/>
      <c r="R105" s="89"/>
      <c r="S105" s="89"/>
      <c r="T105" s="89">
        <f>CEILING(T104*0.95,0.5)</f>
        <v>128</v>
      </c>
      <c r="U105" s="89"/>
      <c r="V105" s="89"/>
      <c r="W105" s="89"/>
      <c r="X105" s="89">
        <f>CEILING(X104*0.95,0.5)</f>
        <v>132.5</v>
      </c>
      <c r="Y105" s="89"/>
      <c r="Z105" s="89"/>
      <c r="AA105" s="89"/>
      <c r="AB105" s="89">
        <f>CEILING(AB104*0.95,0.5)</f>
        <v>137</v>
      </c>
      <c r="AC105" s="89"/>
      <c r="AD105" s="89"/>
      <c r="AE105" s="89"/>
    </row>
    <row r="106" spans="1:31" ht="16.5" customHeight="1">
      <c r="A106" s="166"/>
      <c r="B106" s="166"/>
      <c r="C106" s="166"/>
      <c r="D106" s="166"/>
      <c r="E106" s="166"/>
      <c r="F106" s="167"/>
      <c r="G106" s="167"/>
      <c r="H106" s="167"/>
      <c r="I106" s="80"/>
      <c r="J106" s="80"/>
      <c r="K106" s="80"/>
      <c r="L106" s="80"/>
      <c r="M106" s="80"/>
      <c r="N106" s="81" t="s">
        <v>12</v>
      </c>
      <c r="O106" s="81"/>
      <c r="P106" s="89">
        <f>CEILING(P103*0.57+5,0.5)</f>
        <v>114</v>
      </c>
      <c r="Q106" s="89"/>
      <c r="R106" s="89"/>
      <c r="S106" s="89"/>
      <c r="T106" s="89">
        <f>CEILING(T103*0.57+5,0.5)</f>
        <v>118.5</v>
      </c>
      <c r="U106" s="89"/>
      <c r="V106" s="89"/>
      <c r="W106" s="89"/>
      <c r="X106" s="89">
        <f>CEILING(X103*0.57+5,0.5)</f>
        <v>123</v>
      </c>
      <c r="Y106" s="89"/>
      <c r="Z106" s="89"/>
      <c r="AA106" s="89"/>
      <c r="AB106" s="89">
        <f>CEILING(AB103*0.57+5,0.5)</f>
        <v>127.5</v>
      </c>
      <c r="AC106" s="89"/>
      <c r="AD106" s="89"/>
      <c r="AE106" s="89"/>
    </row>
    <row r="107" spans="1:31" ht="16.149999999999999" customHeight="1">
      <c r="A107" s="32"/>
      <c r="B107" s="32"/>
      <c r="C107" s="32"/>
      <c r="D107" s="32"/>
      <c r="E107" s="32"/>
      <c r="F107" s="27"/>
      <c r="G107" s="27"/>
      <c r="H107" s="27"/>
      <c r="I107" s="28"/>
      <c r="J107" s="28"/>
      <c r="K107" s="28"/>
      <c r="L107" s="28"/>
      <c r="M107" s="28"/>
      <c r="N107" s="22"/>
      <c r="O107" s="22"/>
      <c r="P107" s="29"/>
      <c r="Q107" s="29"/>
      <c r="R107" s="29"/>
      <c r="S107" s="29"/>
      <c r="T107" s="29"/>
      <c r="U107" s="29"/>
      <c r="V107" s="29"/>
      <c r="W107" s="29"/>
      <c r="X107" s="29"/>
      <c r="Y107" s="29"/>
      <c r="Z107" s="29"/>
      <c r="AA107" s="29"/>
      <c r="AB107" s="29"/>
      <c r="AC107" s="29"/>
      <c r="AD107" s="29"/>
      <c r="AE107" s="29"/>
    </row>
    <row r="108" spans="1:31" ht="16.149999999999999" customHeight="1"/>
    <row r="109" spans="1:31" ht="16.149999999999999" customHeight="1"/>
    <row r="110" spans="1:31" ht="16.149999999999999" customHeight="1"/>
    <row r="111" spans="1:31" ht="16.149999999999999" customHeight="1"/>
    <row r="112" spans="1:31"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sheetData>
  <mergeCells count="745">
    <mergeCell ref="AB105:AE105"/>
    <mergeCell ref="N106:O106"/>
    <mergeCell ref="P106:S106"/>
    <mergeCell ref="T106:W106"/>
    <mergeCell ref="X106:AA106"/>
    <mergeCell ref="AB106:AE106"/>
    <mergeCell ref="I104:M106"/>
    <mergeCell ref="N104:O104"/>
    <mergeCell ref="P104:S104"/>
    <mergeCell ref="T104:W104"/>
    <mergeCell ref="X104:AA104"/>
    <mergeCell ref="AB104:AE104"/>
    <mergeCell ref="N105:O105"/>
    <mergeCell ref="P105:S105"/>
    <mergeCell ref="T105:W105"/>
    <mergeCell ref="X105:AA105"/>
    <mergeCell ref="AB102:AE102"/>
    <mergeCell ref="N103:O103"/>
    <mergeCell ref="P103:S103"/>
    <mergeCell ref="T103:W103"/>
    <mergeCell ref="X103:AA103"/>
    <mergeCell ref="AB103:AE103"/>
    <mergeCell ref="I101:M103"/>
    <mergeCell ref="N101:O101"/>
    <mergeCell ref="P101:S101"/>
    <mergeCell ref="T101:W101"/>
    <mergeCell ref="X101:AA101"/>
    <mergeCell ref="AB101:AE101"/>
    <mergeCell ref="N102:O102"/>
    <mergeCell ref="P102:S102"/>
    <mergeCell ref="T102:W102"/>
    <mergeCell ref="X102:AA102"/>
    <mergeCell ref="AB99:AE99"/>
    <mergeCell ref="N100:O100"/>
    <mergeCell ref="P100:S100"/>
    <mergeCell ref="T100:W100"/>
    <mergeCell ref="X100:AA100"/>
    <mergeCell ref="AB100:AE100"/>
    <mergeCell ref="I98:M100"/>
    <mergeCell ref="N98:O98"/>
    <mergeCell ref="P98:S98"/>
    <mergeCell ref="T98:W98"/>
    <mergeCell ref="X98:AA98"/>
    <mergeCell ref="AB98:AE98"/>
    <mergeCell ref="N99:O99"/>
    <mergeCell ref="P99:S99"/>
    <mergeCell ref="T99:W99"/>
    <mergeCell ref="X99:AA99"/>
    <mergeCell ref="AB96:AE96"/>
    <mergeCell ref="N97:O97"/>
    <mergeCell ref="P97:S97"/>
    <mergeCell ref="T97:W97"/>
    <mergeCell ref="X97:AA97"/>
    <mergeCell ref="AB97:AE97"/>
    <mergeCell ref="I95:M97"/>
    <mergeCell ref="N95:O95"/>
    <mergeCell ref="P95:S95"/>
    <mergeCell ref="T95:W95"/>
    <mergeCell ref="X95:AA95"/>
    <mergeCell ref="AB95:AE95"/>
    <mergeCell ref="N96:O96"/>
    <mergeCell ref="P96:S96"/>
    <mergeCell ref="T96:W96"/>
    <mergeCell ref="X96:AA96"/>
    <mergeCell ref="I92:M94"/>
    <mergeCell ref="N92:O92"/>
    <mergeCell ref="P92:S92"/>
    <mergeCell ref="T92:W92"/>
    <mergeCell ref="X92:AA92"/>
    <mergeCell ref="AB92:AE92"/>
    <mergeCell ref="AP92:AW92"/>
    <mergeCell ref="AX92:BI92"/>
    <mergeCell ref="N93:O93"/>
    <mergeCell ref="P93:S93"/>
    <mergeCell ref="T93:W93"/>
    <mergeCell ref="X93:AA93"/>
    <mergeCell ref="AB93:AE93"/>
    <mergeCell ref="N94:O94"/>
    <mergeCell ref="P94:S94"/>
    <mergeCell ref="T94:W94"/>
    <mergeCell ref="X94:AA94"/>
    <mergeCell ref="AB94:AE94"/>
    <mergeCell ref="AP89:BI89"/>
    <mergeCell ref="N90:O90"/>
    <mergeCell ref="P90:S90"/>
    <mergeCell ref="T90:W90"/>
    <mergeCell ref="X90:AA90"/>
    <mergeCell ref="AB90:AE90"/>
    <mergeCell ref="AP90:AW90"/>
    <mergeCell ref="AX90:BI90"/>
    <mergeCell ref="AX91:BI91"/>
    <mergeCell ref="N91:O91"/>
    <mergeCell ref="P91:S91"/>
    <mergeCell ref="T91:W91"/>
    <mergeCell ref="X91:AA91"/>
    <mergeCell ref="AB91:AE91"/>
    <mergeCell ref="AP91:AW91"/>
    <mergeCell ref="N88:O88"/>
    <mergeCell ref="P88:S88"/>
    <mergeCell ref="T88:W88"/>
    <mergeCell ref="X88:AA88"/>
    <mergeCell ref="AB88:AE88"/>
    <mergeCell ref="I89:M91"/>
    <mergeCell ref="N89:O89"/>
    <mergeCell ref="P89:S89"/>
    <mergeCell ref="T89:W89"/>
    <mergeCell ref="X89:AA89"/>
    <mergeCell ref="I86:M88"/>
    <mergeCell ref="AB89:AE89"/>
    <mergeCell ref="AB86:AE86"/>
    <mergeCell ref="N87:O87"/>
    <mergeCell ref="P87:S87"/>
    <mergeCell ref="T87:W87"/>
    <mergeCell ref="X87:AA87"/>
    <mergeCell ref="AB87:AE87"/>
    <mergeCell ref="N85:O85"/>
    <mergeCell ref="P85:S85"/>
    <mergeCell ref="T85:W85"/>
    <mergeCell ref="X85:AA85"/>
    <mergeCell ref="AB85:AE85"/>
    <mergeCell ref="N86:O86"/>
    <mergeCell ref="P86:S86"/>
    <mergeCell ref="T86:W86"/>
    <mergeCell ref="X86:AA86"/>
    <mergeCell ref="BD82:BG82"/>
    <mergeCell ref="BH82:BK82"/>
    <mergeCell ref="A83:E106"/>
    <mergeCell ref="F83:H106"/>
    <mergeCell ref="I83:M85"/>
    <mergeCell ref="N83:O83"/>
    <mergeCell ref="P83:S83"/>
    <mergeCell ref="T83:W83"/>
    <mergeCell ref="N82:O82"/>
    <mergeCell ref="P82:S82"/>
    <mergeCell ref="T82:W82"/>
    <mergeCell ref="X82:AA82"/>
    <mergeCell ref="AB82:AE82"/>
    <mergeCell ref="AT82:AU82"/>
    <mergeCell ref="I80:M82"/>
    <mergeCell ref="X83:AA83"/>
    <mergeCell ref="AB83:AE83"/>
    <mergeCell ref="N84:O84"/>
    <mergeCell ref="P84:S84"/>
    <mergeCell ref="T84:W84"/>
    <mergeCell ref="X84:AA84"/>
    <mergeCell ref="AB84:AE84"/>
    <mergeCell ref="AV82:AY82"/>
    <mergeCell ref="AZ82:BC82"/>
    <mergeCell ref="N81:O81"/>
    <mergeCell ref="P81:S81"/>
    <mergeCell ref="T81:W81"/>
    <mergeCell ref="X81:AA81"/>
    <mergeCell ref="AB81:AE81"/>
    <mergeCell ref="AT81:AU81"/>
    <mergeCell ref="AO80:AS82"/>
    <mergeCell ref="AT80:AU80"/>
    <mergeCell ref="AV80:AY80"/>
    <mergeCell ref="N80:O80"/>
    <mergeCell ref="P80:S80"/>
    <mergeCell ref="T80:W80"/>
    <mergeCell ref="X80:AA80"/>
    <mergeCell ref="AB80:AE80"/>
    <mergeCell ref="AZ80:BC80"/>
    <mergeCell ref="BD80:BG80"/>
    <mergeCell ref="BH80:BK80"/>
    <mergeCell ref="AV81:AY81"/>
    <mergeCell ref="AZ81:BC81"/>
    <mergeCell ref="BD81:BG81"/>
    <mergeCell ref="BH81:BK81"/>
    <mergeCell ref="AV79:AY79"/>
    <mergeCell ref="AZ79:BC79"/>
    <mergeCell ref="BD79:BG79"/>
    <mergeCell ref="BH79:BK79"/>
    <mergeCell ref="AT79:AU79"/>
    <mergeCell ref="N78:O78"/>
    <mergeCell ref="P78:S78"/>
    <mergeCell ref="T78:W78"/>
    <mergeCell ref="X78:AA78"/>
    <mergeCell ref="AB78:AE78"/>
    <mergeCell ref="AT78:AU78"/>
    <mergeCell ref="AO77:AS79"/>
    <mergeCell ref="AT77:AU77"/>
    <mergeCell ref="AV77:AY77"/>
    <mergeCell ref="AZ77:BC77"/>
    <mergeCell ref="BD77:BG77"/>
    <mergeCell ref="BH77:BK77"/>
    <mergeCell ref="AV78:AY78"/>
    <mergeCell ref="AZ78:BC78"/>
    <mergeCell ref="BD78:BG78"/>
    <mergeCell ref="BH78:BK78"/>
    <mergeCell ref="AV76:AY76"/>
    <mergeCell ref="AZ76:BC76"/>
    <mergeCell ref="BD76:BG76"/>
    <mergeCell ref="BH76:BK76"/>
    <mergeCell ref="I77:M79"/>
    <mergeCell ref="N77:O77"/>
    <mergeCell ref="P77:S77"/>
    <mergeCell ref="T77:W77"/>
    <mergeCell ref="X77:AA77"/>
    <mergeCell ref="AB77:AE77"/>
    <mergeCell ref="N76:O76"/>
    <mergeCell ref="P76:S76"/>
    <mergeCell ref="T76:W76"/>
    <mergeCell ref="X76:AA76"/>
    <mergeCell ref="AB76:AE76"/>
    <mergeCell ref="I74:M76"/>
    <mergeCell ref="N79:O79"/>
    <mergeCell ref="P79:S79"/>
    <mergeCell ref="T79:W79"/>
    <mergeCell ref="X79:AA79"/>
    <mergeCell ref="AB79:AE79"/>
    <mergeCell ref="AT76:AU76"/>
    <mergeCell ref="N75:O75"/>
    <mergeCell ref="P75:S75"/>
    <mergeCell ref="T75:W75"/>
    <mergeCell ref="X75:AA75"/>
    <mergeCell ref="AB75:AE75"/>
    <mergeCell ref="AT75:AU75"/>
    <mergeCell ref="AO74:AS76"/>
    <mergeCell ref="AT74:AU74"/>
    <mergeCell ref="N74:O74"/>
    <mergeCell ref="P74:S74"/>
    <mergeCell ref="T74:W74"/>
    <mergeCell ref="X74:AA74"/>
    <mergeCell ref="AB74:AE74"/>
    <mergeCell ref="AV74:AY74"/>
    <mergeCell ref="AZ74:BC74"/>
    <mergeCell ref="BD74:BG74"/>
    <mergeCell ref="BH74:BK74"/>
    <mergeCell ref="AV75:AY75"/>
    <mergeCell ref="AZ75:BC75"/>
    <mergeCell ref="BD75:BG75"/>
    <mergeCell ref="BH75:BK75"/>
    <mergeCell ref="AV73:AY73"/>
    <mergeCell ref="AZ73:BC73"/>
    <mergeCell ref="BD73:BG73"/>
    <mergeCell ref="BH73:BK73"/>
    <mergeCell ref="AT73:AU73"/>
    <mergeCell ref="N72:O72"/>
    <mergeCell ref="P72:S72"/>
    <mergeCell ref="T72:W72"/>
    <mergeCell ref="X72:AA72"/>
    <mergeCell ref="AB72:AE72"/>
    <mergeCell ref="AT72:AU72"/>
    <mergeCell ref="AO71:AS73"/>
    <mergeCell ref="AT71:AU71"/>
    <mergeCell ref="AV71:AY71"/>
    <mergeCell ref="AZ71:BC71"/>
    <mergeCell ref="BD71:BG71"/>
    <mergeCell ref="BH71:BK71"/>
    <mergeCell ref="AV72:AY72"/>
    <mergeCell ref="AZ72:BC72"/>
    <mergeCell ref="BD72:BG72"/>
    <mergeCell ref="BH72:BK72"/>
    <mergeCell ref="AV70:AY70"/>
    <mergeCell ref="AZ70:BC70"/>
    <mergeCell ref="BD70:BG70"/>
    <mergeCell ref="BH70:BK70"/>
    <mergeCell ref="I71:M73"/>
    <mergeCell ref="N71:O71"/>
    <mergeCell ref="P71:S71"/>
    <mergeCell ref="T71:W71"/>
    <mergeCell ref="X71:AA71"/>
    <mergeCell ref="AB71:AE71"/>
    <mergeCell ref="N70:O70"/>
    <mergeCell ref="P70:S70"/>
    <mergeCell ref="T70:W70"/>
    <mergeCell ref="X70:AA70"/>
    <mergeCell ref="AB70:AE70"/>
    <mergeCell ref="I68:M70"/>
    <mergeCell ref="N73:O73"/>
    <mergeCell ref="P73:S73"/>
    <mergeCell ref="T73:W73"/>
    <mergeCell ref="X73:AA73"/>
    <mergeCell ref="AB73:AE73"/>
    <mergeCell ref="AT70:AU70"/>
    <mergeCell ref="N69:O69"/>
    <mergeCell ref="P69:S69"/>
    <mergeCell ref="T69:W69"/>
    <mergeCell ref="X69:AA69"/>
    <mergeCell ref="AB69:AE69"/>
    <mergeCell ref="AT69:AU69"/>
    <mergeCell ref="AO68:AS70"/>
    <mergeCell ref="AT68:AU68"/>
    <mergeCell ref="N68:O68"/>
    <mergeCell ref="P68:S68"/>
    <mergeCell ref="T68:W68"/>
    <mergeCell ref="X68:AA68"/>
    <mergeCell ref="AB68:AE68"/>
    <mergeCell ref="BH68:BK68"/>
    <mergeCell ref="AV69:AY69"/>
    <mergeCell ref="AZ69:BC69"/>
    <mergeCell ref="BD69:BG69"/>
    <mergeCell ref="BH69:BK69"/>
    <mergeCell ref="AV67:AY67"/>
    <mergeCell ref="AZ67:BC67"/>
    <mergeCell ref="BD67:BG67"/>
    <mergeCell ref="BH67:BK67"/>
    <mergeCell ref="N67:O67"/>
    <mergeCell ref="P67:S67"/>
    <mergeCell ref="T67:W67"/>
    <mergeCell ref="X67:AA67"/>
    <mergeCell ref="AB67:AE67"/>
    <mergeCell ref="AT67:AU67"/>
    <mergeCell ref="AV68:AY68"/>
    <mergeCell ref="AZ68:BC68"/>
    <mergeCell ref="BD68:BG68"/>
    <mergeCell ref="X65:AA65"/>
    <mergeCell ref="AB65:AE65"/>
    <mergeCell ref="AV65:AY65"/>
    <mergeCell ref="AZ65:BC65"/>
    <mergeCell ref="BD65:BG65"/>
    <mergeCell ref="BH65:BK65"/>
    <mergeCell ref="N66:O66"/>
    <mergeCell ref="P66:S66"/>
    <mergeCell ref="T66:W66"/>
    <mergeCell ref="X66:AA66"/>
    <mergeCell ref="AB66:AE66"/>
    <mergeCell ref="AT66:AU66"/>
    <mergeCell ref="AV66:AY66"/>
    <mergeCell ref="AZ66:BC66"/>
    <mergeCell ref="BD66:BG66"/>
    <mergeCell ref="BH66:BK66"/>
    <mergeCell ref="BH63:BK63"/>
    <mergeCell ref="N64:O64"/>
    <mergeCell ref="P64:S64"/>
    <mergeCell ref="T64:W64"/>
    <mergeCell ref="X64:AA64"/>
    <mergeCell ref="AB64:AE64"/>
    <mergeCell ref="AT64:AU64"/>
    <mergeCell ref="AV64:AY64"/>
    <mergeCell ref="AZ64:BC64"/>
    <mergeCell ref="BD64:BG64"/>
    <mergeCell ref="BH64:BK64"/>
    <mergeCell ref="AT61:AU61"/>
    <mergeCell ref="AV61:AY61"/>
    <mergeCell ref="AZ61:BC61"/>
    <mergeCell ref="BD61:BG61"/>
    <mergeCell ref="BH61:BK61"/>
    <mergeCell ref="I62:M64"/>
    <mergeCell ref="N62:O62"/>
    <mergeCell ref="P62:S62"/>
    <mergeCell ref="T62:W62"/>
    <mergeCell ref="X62:AA62"/>
    <mergeCell ref="AB62:AE62"/>
    <mergeCell ref="AV62:AY62"/>
    <mergeCell ref="AZ62:BC62"/>
    <mergeCell ref="BD62:BG62"/>
    <mergeCell ref="BH62:BK62"/>
    <mergeCell ref="N63:O63"/>
    <mergeCell ref="P63:S63"/>
    <mergeCell ref="T63:W63"/>
    <mergeCell ref="X63:AA63"/>
    <mergeCell ref="AB63:AE63"/>
    <mergeCell ref="AT63:AU63"/>
    <mergeCell ref="AV63:AY63"/>
    <mergeCell ref="AZ63:BC63"/>
    <mergeCell ref="BD63:BG63"/>
    <mergeCell ref="AV59:AY59"/>
    <mergeCell ref="AZ59:BC59"/>
    <mergeCell ref="BD59:BG59"/>
    <mergeCell ref="BH59:BK59"/>
    <mergeCell ref="N60:O60"/>
    <mergeCell ref="P60:S60"/>
    <mergeCell ref="T60:W60"/>
    <mergeCell ref="X60:AA60"/>
    <mergeCell ref="AB60:AE60"/>
    <mergeCell ref="AT60:AU60"/>
    <mergeCell ref="X59:AA59"/>
    <mergeCell ref="AB59:AE59"/>
    <mergeCell ref="AG59:AK82"/>
    <mergeCell ref="AL59:AN82"/>
    <mergeCell ref="AO59:AS61"/>
    <mergeCell ref="AT59:AU59"/>
    <mergeCell ref="AO62:AS64"/>
    <mergeCell ref="AT62:AU62"/>
    <mergeCell ref="AO65:AS67"/>
    <mergeCell ref="AT65:AU65"/>
    <mergeCell ref="AV60:AY60"/>
    <mergeCell ref="AZ60:BC60"/>
    <mergeCell ref="BD60:BG60"/>
    <mergeCell ref="BH60:BK60"/>
    <mergeCell ref="A59:E82"/>
    <mergeCell ref="F59:H82"/>
    <mergeCell ref="I59:M61"/>
    <mergeCell ref="N59:O59"/>
    <mergeCell ref="P59:S59"/>
    <mergeCell ref="T59:W59"/>
    <mergeCell ref="X58:AA58"/>
    <mergeCell ref="AB58:AE58"/>
    <mergeCell ref="AG58:AK58"/>
    <mergeCell ref="A58:E58"/>
    <mergeCell ref="F58:H58"/>
    <mergeCell ref="I58:M58"/>
    <mergeCell ref="N58:O58"/>
    <mergeCell ref="P58:S58"/>
    <mergeCell ref="T58:W58"/>
    <mergeCell ref="N61:O61"/>
    <mergeCell ref="P61:S61"/>
    <mergeCell ref="T61:W61"/>
    <mergeCell ref="X61:AA61"/>
    <mergeCell ref="AB61:AE61"/>
    <mergeCell ref="I65:M67"/>
    <mergeCell ref="N65:O65"/>
    <mergeCell ref="P65:S65"/>
    <mergeCell ref="T65:W65"/>
    <mergeCell ref="AP42:AW42"/>
    <mergeCell ref="AX42:BI42"/>
    <mergeCell ref="N39:O39"/>
    <mergeCell ref="P39:S39"/>
    <mergeCell ref="T39:W39"/>
    <mergeCell ref="X39:AA39"/>
    <mergeCell ref="AB39:AE39"/>
    <mergeCell ref="AT39:AU39"/>
    <mergeCell ref="AV58:AY58"/>
    <mergeCell ref="AZ58:BC58"/>
    <mergeCell ref="BD58:BG58"/>
    <mergeCell ref="BH58:BK58"/>
    <mergeCell ref="AL58:AN58"/>
    <mergeCell ref="AO58:AS58"/>
    <mergeCell ref="AT58:AU58"/>
    <mergeCell ref="AT38:AU38"/>
    <mergeCell ref="AO37:AS39"/>
    <mergeCell ref="AT37:AU37"/>
    <mergeCell ref="AV37:AY37"/>
    <mergeCell ref="AV39:AY39"/>
    <mergeCell ref="AZ39:BC39"/>
    <mergeCell ref="BD39:BG39"/>
    <mergeCell ref="BH39:BK39"/>
    <mergeCell ref="AP41:BI41"/>
    <mergeCell ref="AZ37:BC37"/>
    <mergeCell ref="BD37:BG37"/>
    <mergeCell ref="BH37:BK37"/>
    <mergeCell ref="AV38:AY38"/>
    <mergeCell ref="AZ38:BC38"/>
    <mergeCell ref="BD38:BG38"/>
    <mergeCell ref="BH38:BK38"/>
    <mergeCell ref="AV36:AY36"/>
    <mergeCell ref="AZ36:BC36"/>
    <mergeCell ref="BD36:BG36"/>
    <mergeCell ref="BH36:BK36"/>
    <mergeCell ref="I37:M39"/>
    <mergeCell ref="N37:O37"/>
    <mergeCell ref="P37:S37"/>
    <mergeCell ref="T37:W37"/>
    <mergeCell ref="X37:AA37"/>
    <mergeCell ref="AB37:AE37"/>
    <mergeCell ref="N36:O36"/>
    <mergeCell ref="P36:S36"/>
    <mergeCell ref="T36:W36"/>
    <mergeCell ref="X36:AA36"/>
    <mergeCell ref="AB36:AE36"/>
    <mergeCell ref="I34:M36"/>
    <mergeCell ref="N38:O38"/>
    <mergeCell ref="P38:S38"/>
    <mergeCell ref="T38:W38"/>
    <mergeCell ref="X38:AA38"/>
    <mergeCell ref="AB38:AE38"/>
    <mergeCell ref="AT36:AU36"/>
    <mergeCell ref="N35:O35"/>
    <mergeCell ref="P35:S35"/>
    <mergeCell ref="T35:W35"/>
    <mergeCell ref="X35:AA35"/>
    <mergeCell ref="AB35:AE35"/>
    <mergeCell ref="AT35:AU35"/>
    <mergeCell ref="AO34:AS36"/>
    <mergeCell ref="AT34:AU34"/>
    <mergeCell ref="N34:O34"/>
    <mergeCell ref="P34:S34"/>
    <mergeCell ref="T34:W34"/>
    <mergeCell ref="X34:AA34"/>
    <mergeCell ref="AB34:AE34"/>
    <mergeCell ref="AZ34:BC34"/>
    <mergeCell ref="BD34:BG34"/>
    <mergeCell ref="BH34:BK34"/>
    <mergeCell ref="AV35:AY35"/>
    <mergeCell ref="AZ35:BC35"/>
    <mergeCell ref="BD35:BG35"/>
    <mergeCell ref="BH35:BK35"/>
    <mergeCell ref="AV33:AY33"/>
    <mergeCell ref="AZ33:BC33"/>
    <mergeCell ref="BD33:BG33"/>
    <mergeCell ref="BH33:BK33"/>
    <mergeCell ref="BD31:BG31"/>
    <mergeCell ref="BH31:BK31"/>
    <mergeCell ref="AV32:AY32"/>
    <mergeCell ref="AZ32:BC32"/>
    <mergeCell ref="BD32:BG32"/>
    <mergeCell ref="BH32:BK32"/>
    <mergeCell ref="AV30:AY30"/>
    <mergeCell ref="AZ30:BC30"/>
    <mergeCell ref="BD30:BG30"/>
    <mergeCell ref="BH30:BK30"/>
    <mergeCell ref="AV31:AY31"/>
    <mergeCell ref="AZ31:BC31"/>
    <mergeCell ref="I31:M33"/>
    <mergeCell ref="N31:O31"/>
    <mergeCell ref="P31:S31"/>
    <mergeCell ref="T31:W31"/>
    <mergeCell ref="X31:AA31"/>
    <mergeCell ref="AB31:AE31"/>
    <mergeCell ref="N30:O30"/>
    <mergeCell ref="P30:S30"/>
    <mergeCell ref="T30:W30"/>
    <mergeCell ref="X30:AA30"/>
    <mergeCell ref="AB30:AE30"/>
    <mergeCell ref="I28:M30"/>
    <mergeCell ref="N33:O33"/>
    <mergeCell ref="P33:S33"/>
    <mergeCell ref="T33:W33"/>
    <mergeCell ref="X33:AA33"/>
    <mergeCell ref="AB33:AE33"/>
    <mergeCell ref="N32:O32"/>
    <mergeCell ref="P32:S32"/>
    <mergeCell ref="T32:W32"/>
    <mergeCell ref="X32:AA32"/>
    <mergeCell ref="AB32:AE32"/>
    <mergeCell ref="BD29:BG29"/>
    <mergeCell ref="BH29:BK29"/>
    <mergeCell ref="AV27:AY27"/>
    <mergeCell ref="AZ27:BC27"/>
    <mergeCell ref="BD27:BG27"/>
    <mergeCell ref="BH27:BK27"/>
    <mergeCell ref="AT30:AU30"/>
    <mergeCell ref="N29:O29"/>
    <mergeCell ref="P29:S29"/>
    <mergeCell ref="T29:W29"/>
    <mergeCell ref="X29:AA29"/>
    <mergeCell ref="AB29:AE29"/>
    <mergeCell ref="AT29:AU29"/>
    <mergeCell ref="AO28:AS30"/>
    <mergeCell ref="AT28:AU28"/>
    <mergeCell ref="N28:O28"/>
    <mergeCell ref="P28:S28"/>
    <mergeCell ref="T28:W28"/>
    <mergeCell ref="X28:AA28"/>
    <mergeCell ref="AB28:AE28"/>
    <mergeCell ref="AV29:AY29"/>
    <mergeCell ref="AZ29:BC29"/>
    <mergeCell ref="BD26:BG26"/>
    <mergeCell ref="BH26:BK26"/>
    <mergeCell ref="N27:O27"/>
    <mergeCell ref="P27:S27"/>
    <mergeCell ref="T27:W27"/>
    <mergeCell ref="X27:AA27"/>
    <mergeCell ref="AB27:AE27"/>
    <mergeCell ref="AT27:AU27"/>
    <mergeCell ref="AV28:AY28"/>
    <mergeCell ref="AZ28:BC28"/>
    <mergeCell ref="BD28:BG28"/>
    <mergeCell ref="BH28:BK28"/>
    <mergeCell ref="AT26:AU26"/>
    <mergeCell ref="AV26:AY26"/>
    <mergeCell ref="AZ26:BC26"/>
    <mergeCell ref="X24:AA24"/>
    <mergeCell ref="AB24:AE24"/>
    <mergeCell ref="AT24:AU24"/>
    <mergeCell ref="AV24:AY24"/>
    <mergeCell ref="AZ24:BC24"/>
    <mergeCell ref="BD24:BG24"/>
    <mergeCell ref="BH24:BK24"/>
    <mergeCell ref="I25:M27"/>
    <mergeCell ref="N25:O25"/>
    <mergeCell ref="P25:S25"/>
    <mergeCell ref="T25:W25"/>
    <mergeCell ref="X25:AA25"/>
    <mergeCell ref="AB25:AE25"/>
    <mergeCell ref="AO25:AS27"/>
    <mergeCell ref="AT25:AU25"/>
    <mergeCell ref="AV25:AY25"/>
    <mergeCell ref="AZ25:BC25"/>
    <mergeCell ref="BD25:BG25"/>
    <mergeCell ref="BH25:BK25"/>
    <mergeCell ref="N26:O26"/>
    <mergeCell ref="P26:S26"/>
    <mergeCell ref="T26:W26"/>
    <mergeCell ref="X26:AA26"/>
    <mergeCell ref="AB26:AE26"/>
    <mergeCell ref="BH21:BK21"/>
    <mergeCell ref="I22:M24"/>
    <mergeCell ref="N22:O22"/>
    <mergeCell ref="P22:S22"/>
    <mergeCell ref="T22:W22"/>
    <mergeCell ref="X22:AA22"/>
    <mergeCell ref="AB22:AE22"/>
    <mergeCell ref="AO22:AS24"/>
    <mergeCell ref="AT22:AU22"/>
    <mergeCell ref="BD22:BG22"/>
    <mergeCell ref="BH22:BK22"/>
    <mergeCell ref="N23:O23"/>
    <mergeCell ref="P23:S23"/>
    <mergeCell ref="T23:W23"/>
    <mergeCell ref="X23:AA23"/>
    <mergeCell ref="AB23:AE23"/>
    <mergeCell ref="AT23:AU23"/>
    <mergeCell ref="AV23:AY23"/>
    <mergeCell ref="AZ23:BC23"/>
    <mergeCell ref="BD23:BG23"/>
    <mergeCell ref="BH23:BK23"/>
    <mergeCell ref="N24:O24"/>
    <mergeCell ref="P24:S24"/>
    <mergeCell ref="T24:W24"/>
    <mergeCell ref="BH19:BK19"/>
    <mergeCell ref="N20:O20"/>
    <mergeCell ref="P20:S20"/>
    <mergeCell ref="T20:W20"/>
    <mergeCell ref="X20:AA20"/>
    <mergeCell ref="AB20:AE20"/>
    <mergeCell ref="AT20:AU20"/>
    <mergeCell ref="AV20:AY20"/>
    <mergeCell ref="AZ20:BC20"/>
    <mergeCell ref="BD20:BG20"/>
    <mergeCell ref="BH20:BK20"/>
    <mergeCell ref="I19:M21"/>
    <mergeCell ref="N19:O19"/>
    <mergeCell ref="P19:S19"/>
    <mergeCell ref="T19:W19"/>
    <mergeCell ref="X19:AA19"/>
    <mergeCell ref="AB19:AE19"/>
    <mergeCell ref="AO19:AS21"/>
    <mergeCell ref="AT19:AU19"/>
    <mergeCell ref="BD19:BG19"/>
    <mergeCell ref="N21:O21"/>
    <mergeCell ref="P21:S21"/>
    <mergeCell ref="T21:W21"/>
    <mergeCell ref="X21:AA21"/>
    <mergeCell ref="AB21:AE21"/>
    <mergeCell ref="AT21:AU21"/>
    <mergeCell ref="AV21:AY21"/>
    <mergeCell ref="AZ21:BC21"/>
    <mergeCell ref="BD21:BG21"/>
    <mergeCell ref="BD17:BG17"/>
    <mergeCell ref="BH17:BK17"/>
    <mergeCell ref="N18:O18"/>
    <mergeCell ref="P18:S18"/>
    <mergeCell ref="T18:W18"/>
    <mergeCell ref="X18:AA18"/>
    <mergeCell ref="AB18:AE18"/>
    <mergeCell ref="AT18:AU18"/>
    <mergeCell ref="AV18:AY18"/>
    <mergeCell ref="AZ18:BC18"/>
    <mergeCell ref="BD18:BG18"/>
    <mergeCell ref="BH18:BK18"/>
    <mergeCell ref="AV17:AY17"/>
    <mergeCell ref="AZ17:BC17"/>
    <mergeCell ref="AG16:AK39"/>
    <mergeCell ref="AL16:AN39"/>
    <mergeCell ref="AO16:AS18"/>
    <mergeCell ref="AT16:AU16"/>
    <mergeCell ref="AV16:AY16"/>
    <mergeCell ref="AZ16:BC16"/>
    <mergeCell ref="AV19:AY19"/>
    <mergeCell ref="AZ19:BC19"/>
    <mergeCell ref="AV22:AY22"/>
    <mergeCell ref="AZ22:BC22"/>
    <mergeCell ref="AT33:AU33"/>
    <mergeCell ref="AT32:AU32"/>
    <mergeCell ref="AO31:AS33"/>
    <mergeCell ref="AT31:AU31"/>
    <mergeCell ref="AV34:AY34"/>
    <mergeCell ref="BD15:BG15"/>
    <mergeCell ref="BH15:BK15"/>
    <mergeCell ref="A16:E39"/>
    <mergeCell ref="F16:H39"/>
    <mergeCell ref="I16:M18"/>
    <mergeCell ref="N16:O16"/>
    <mergeCell ref="P16:S16"/>
    <mergeCell ref="T16:W16"/>
    <mergeCell ref="X16:AA16"/>
    <mergeCell ref="AB16:AE16"/>
    <mergeCell ref="AG15:AK15"/>
    <mergeCell ref="AL15:AN15"/>
    <mergeCell ref="AO15:AS15"/>
    <mergeCell ref="AT15:AU15"/>
    <mergeCell ref="AV15:AY15"/>
    <mergeCell ref="AZ15:BC15"/>
    <mergeCell ref="BD16:BG16"/>
    <mergeCell ref="BH16:BK16"/>
    <mergeCell ref="N17:O17"/>
    <mergeCell ref="P17:S17"/>
    <mergeCell ref="T17:W17"/>
    <mergeCell ref="X17:AA17"/>
    <mergeCell ref="AB17:AE17"/>
    <mergeCell ref="AT17:AU17"/>
    <mergeCell ref="A15:E15"/>
    <mergeCell ref="F15:H15"/>
    <mergeCell ref="I15:M15"/>
    <mergeCell ref="N15:O15"/>
    <mergeCell ref="P15:S15"/>
    <mergeCell ref="T15:W15"/>
    <mergeCell ref="X15:AA15"/>
    <mergeCell ref="AB15:AE15"/>
    <mergeCell ref="A13:B13"/>
    <mergeCell ref="C13:I13"/>
    <mergeCell ref="J13:K13"/>
    <mergeCell ref="L13:R13"/>
    <mergeCell ref="S13:T13"/>
    <mergeCell ref="U13:AA13"/>
    <mergeCell ref="BS12:BT12"/>
    <mergeCell ref="BU12:CA12"/>
    <mergeCell ref="CC12:CD12"/>
    <mergeCell ref="A12:B12"/>
    <mergeCell ref="C12:I12"/>
    <mergeCell ref="J12:K12"/>
    <mergeCell ref="L12:R12"/>
    <mergeCell ref="S12:T12"/>
    <mergeCell ref="U12:AA12"/>
    <mergeCell ref="AB12:AC12"/>
    <mergeCell ref="AD12:AJ12"/>
    <mergeCell ref="CE12:CK12"/>
    <mergeCell ref="BS11:BT11"/>
    <mergeCell ref="BU11:CA11"/>
    <mergeCell ref="CC11:CD11"/>
    <mergeCell ref="CE11:CK11"/>
    <mergeCell ref="CC13:CD13"/>
    <mergeCell ref="CE13:CK13"/>
    <mergeCell ref="BS10:BT10"/>
    <mergeCell ref="BU10:CA10"/>
    <mergeCell ref="A11:B11"/>
    <mergeCell ref="C11:I11"/>
    <mergeCell ref="J11:K11"/>
    <mergeCell ref="L11:R11"/>
    <mergeCell ref="S11:T11"/>
    <mergeCell ref="U11:AA11"/>
    <mergeCell ref="AB11:AC11"/>
    <mergeCell ref="AD11:AJ11"/>
    <mergeCell ref="A10:B10"/>
    <mergeCell ref="C10:I10"/>
    <mergeCell ref="J10:K10"/>
    <mergeCell ref="L10:R10"/>
    <mergeCell ref="S10:T10"/>
    <mergeCell ref="U10:AA10"/>
    <mergeCell ref="AB10:AC10"/>
    <mergeCell ref="AD10:AJ10"/>
    <mergeCell ref="A4:K5"/>
    <mergeCell ref="L4:AE7"/>
    <mergeCell ref="A6:K7"/>
    <mergeCell ref="A9:B9"/>
    <mergeCell ref="C9:I9"/>
    <mergeCell ref="J9:K9"/>
    <mergeCell ref="L9:R9"/>
    <mergeCell ref="S9:T9"/>
    <mergeCell ref="U9:AA9"/>
    <mergeCell ref="AB9:AC9"/>
    <mergeCell ref="AD9:AJ9"/>
  </mergeCells>
  <phoneticPr fontId="2"/>
  <pageMargins left="0.39370078740157483" right="0.39370078740157483" top="0.59055118110236227" bottom="0.39370078740157483" header="0.51181102362204722" footer="0.19685039370078741"/>
  <pageSetup paperSize="9" scale="90" firstPageNumber="2" orientation="portrait" useFirstPageNumber="1" r:id="rId1"/>
  <headerFooter alignWithMargins="0">
    <oddFooter>&amp;C20260511臨時改定価格_SP_ラミ&amp;R&amp;P/&amp;N</oddFooter>
  </headerFooter>
  <rowBreaks count="1" manualBreakCount="1">
    <brk id="54" max="6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8EB8-C1FC-4C8B-B5EB-B1913E064C8E}">
  <sheetPr>
    <tabColor indexed="10"/>
  </sheetPr>
  <dimension ref="A1:BK312"/>
  <sheetViews>
    <sheetView view="pageBreakPreview" zoomScaleSheetLayoutView="100" workbookViewId="0">
      <selection activeCell="BS8" sqref="BS8"/>
    </sheetView>
  </sheetViews>
  <sheetFormatPr defaultColWidth="8.875" defaultRowHeight="13.5"/>
  <cols>
    <col min="1" max="90" width="1.625" style="1" customWidth="1"/>
    <col min="91"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3" ht="16.5" customHeight="1"/>
    <row r="4" spans="1:63" ht="16.5" customHeight="1">
      <c r="A4" s="109" t="s">
        <v>0</v>
      </c>
      <c r="B4" s="110"/>
      <c r="C4" s="110"/>
      <c r="D4" s="110"/>
      <c r="E4" s="110"/>
      <c r="F4" s="110"/>
      <c r="G4" s="110"/>
      <c r="H4" s="110"/>
      <c r="I4" s="110"/>
      <c r="J4" s="110"/>
      <c r="K4" s="172"/>
      <c r="L4" s="174" t="s">
        <v>329</v>
      </c>
      <c r="M4" s="175"/>
      <c r="N4" s="175"/>
      <c r="O4" s="175"/>
      <c r="P4" s="175"/>
      <c r="Q4" s="175"/>
      <c r="R4" s="175"/>
      <c r="S4" s="175"/>
      <c r="T4" s="175"/>
      <c r="U4" s="175"/>
      <c r="V4" s="175"/>
      <c r="W4" s="175"/>
      <c r="X4" s="175"/>
      <c r="Y4" s="175"/>
      <c r="Z4" s="175"/>
      <c r="AA4" s="175"/>
      <c r="AB4" s="175"/>
      <c r="AC4" s="175"/>
      <c r="AD4" s="175"/>
      <c r="AE4" s="175"/>
      <c r="AF4" s="19"/>
      <c r="AG4" s="19"/>
      <c r="AH4" s="19"/>
      <c r="AI4" s="22"/>
      <c r="AJ4" s="22"/>
      <c r="AK4" s="3"/>
      <c r="AL4" s="3"/>
      <c r="AM4" s="3"/>
      <c r="AN4" s="3"/>
      <c r="AO4" s="3"/>
      <c r="AP4" s="3"/>
      <c r="AQ4" s="3"/>
      <c r="AR4" s="3"/>
      <c r="AS4" s="3"/>
      <c r="AT4" s="3"/>
      <c r="AU4" s="22"/>
      <c r="AV4" s="22"/>
      <c r="AW4" s="22"/>
      <c r="AX4" s="3"/>
      <c r="AY4" s="3"/>
      <c r="AZ4" s="3"/>
      <c r="BA4" s="3"/>
      <c r="BB4" s="3"/>
      <c r="BC4" s="3"/>
    </row>
    <row r="5" spans="1:63" ht="16.5" customHeight="1">
      <c r="A5" s="111"/>
      <c r="B5" s="112"/>
      <c r="C5" s="112"/>
      <c r="D5" s="112"/>
      <c r="E5" s="112"/>
      <c r="F5" s="112"/>
      <c r="G5" s="112"/>
      <c r="H5" s="112"/>
      <c r="I5" s="112"/>
      <c r="J5" s="112"/>
      <c r="K5" s="173"/>
      <c r="L5" s="176"/>
      <c r="M5" s="177"/>
      <c r="N5" s="177"/>
      <c r="O5" s="177"/>
      <c r="P5" s="177"/>
      <c r="Q5" s="177"/>
      <c r="R5" s="177"/>
      <c r="S5" s="177"/>
      <c r="T5" s="177"/>
      <c r="U5" s="177"/>
      <c r="V5" s="177"/>
      <c r="W5" s="177"/>
      <c r="X5" s="177"/>
      <c r="Y5" s="177"/>
      <c r="Z5" s="177"/>
      <c r="AA5" s="177"/>
      <c r="AB5" s="177"/>
      <c r="AC5" s="177"/>
      <c r="AD5" s="177"/>
      <c r="AE5" s="177"/>
      <c r="AF5" s="19"/>
      <c r="AG5" s="19"/>
      <c r="AH5" s="19"/>
      <c r="AI5" s="22"/>
      <c r="AJ5" s="22"/>
      <c r="AK5" s="3"/>
      <c r="AL5" s="3"/>
      <c r="AM5" s="3"/>
      <c r="AN5" s="3"/>
      <c r="AO5" s="3"/>
      <c r="AP5" s="3"/>
      <c r="AQ5" s="3"/>
      <c r="AR5" s="3"/>
      <c r="AS5" s="3"/>
      <c r="AT5" s="3"/>
      <c r="AU5" s="22"/>
      <c r="AV5" s="22"/>
      <c r="AW5" s="22"/>
      <c r="AX5" s="3"/>
      <c r="AY5" s="3"/>
      <c r="AZ5" s="3"/>
      <c r="BA5" s="3"/>
      <c r="BB5" s="3"/>
      <c r="BC5" s="3"/>
    </row>
    <row r="6" spans="1:63" ht="16.5" customHeight="1">
      <c r="A6" s="180" t="s">
        <v>2</v>
      </c>
      <c r="B6" s="181"/>
      <c r="C6" s="181"/>
      <c r="D6" s="181"/>
      <c r="E6" s="181"/>
      <c r="F6" s="181"/>
      <c r="G6" s="181"/>
      <c r="H6" s="181"/>
      <c r="I6" s="181"/>
      <c r="J6" s="181"/>
      <c r="K6" s="182"/>
      <c r="L6" s="176"/>
      <c r="M6" s="177"/>
      <c r="N6" s="177"/>
      <c r="O6" s="177"/>
      <c r="P6" s="177"/>
      <c r="Q6" s="177"/>
      <c r="R6" s="177"/>
      <c r="S6" s="177"/>
      <c r="T6" s="177"/>
      <c r="U6" s="177"/>
      <c r="V6" s="177"/>
      <c r="W6" s="177"/>
      <c r="X6" s="177"/>
      <c r="Y6" s="177"/>
      <c r="Z6" s="177"/>
      <c r="AA6" s="177"/>
      <c r="AB6" s="177"/>
      <c r="AC6" s="177"/>
      <c r="AD6" s="177"/>
      <c r="AE6" s="177"/>
      <c r="AF6" s="19"/>
      <c r="AG6" s="19"/>
      <c r="AH6" s="19"/>
      <c r="AI6" s="22"/>
      <c r="AJ6" s="22"/>
      <c r="AK6" s="3"/>
      <c r="AL6" s="3"/>
      <c r="AM6" s="3"/>
      <c r="AN6" s="3"/>
      <c r="AO6" s="3"/>
      <c r="AP6" s="3"/>
      <c r="AQ6" s="3"/>
      <c r="AR6" s="3"/>
      <c r="AS6" s="3"/>
      <c r="AT6" s="3"/>
      <c r="AU6" s="22"/>
      <c r="AV6" s="22"/>
      <c r="AW6" s="22"/>
      <c r="AX6" s="3"/>
      <c r="AY6" s="3"/>
      <c r="AZ6" s="3"/>
      <c r="BA6" s="3"/>
      <c r="BB6" s="3"/>
      <c r="BC6" s="3"/>
    </row>
    <row r="7" spans="1:63" ht="16.5" customHeight="1">
      <c r="A7" s="106"/>
      <c r="B7" s="107"/>
      <c r="C7" s="107"/>
      <c r="D7" s="107"/>
      <c r="E7" s="107"/>
      <c r="F7" s="107"/>
      <c r="G7" s="107"/>
      <c r="H7" s="107"/>
      <c r="I7" s="107"/>
      <c r="J7" s="107"/>
      <c r="K7" s="108"/>
      <c r="L7" s="178"/>
      <c r="M7" s="179"/>
      <c r="N7" s="179"/>
      <c r="O7" s="179"/>
      <c r="P7" s="179"/>
      <c r="Q7" s="179"/>
      <c r="R7" s="179"/>
      <c r="S7" s="179"/>
      <c r="T7" s="179"/>
      <c r="U7" s="179"/>
      <c r="V7" s="179"/>
      <c r="W7" s="179"/>
      <c r="X7" s="179"/>
      <c r="Y7" s="179"/>
      <c r="Z7" s="179"/>
      <c r="AA7" s="179"/>
      <c r="AB7" s="179"/>
      <c r="AC7" s="179"/>
      <c r="AD7" s="179"/>
      <c r="AE7" s="179"/>
      <c r="AF7" s="19"/>
      <c r="AG7" s="33"/>
      <c r="AH7" s="19"/>
      <c r="AI7" s="22"/>
      <c r="AJ7" s="22"/>
      <c r="AK7" s="3"/>
      <c r="AL7" s="3"/>
      <c r="AM7" s="3"/>
      <c r="AN7" s="3"/>
      <c r="AO7" s="3"/>
      <c r="AP7" s="3"/>
      <c r="AQ7" s="3"/>
      <c r="AR7" s="3"/>
      <c r="AS7" s="3"/>
      <c r="AT7" s="3"/>
      <c r="AU7" s="22"/>
      <c r="AV7" s="22"/>
      <c r="AW7" s="22"/>
      <c r="AX7" s="3"/>
      <c r="AY7" s="3"/>
      <c r="AZ7" s="3"/>
      <c r="BA7" s="3"/>
      <c r="BB7" s="3"/>
      <c r="BC7" s="3"/>
    </row>
    <row r="8" spans="1:63" ht="16.5" customHeight="1">
      <c r="A8" s="34"/>
      <c r="B8" s="34"/>
      <c r="C8" s="34"/>
      <c r="D8" s="34"/>
      <c r="E8" s="34"/>
      <c r="F8" s="34"/>
      <c r="G8" s="34"/>
      <c r="H8" s="34"/>
      <c r="I8" s="34"/>
      <c r="J8" s="34"/>
      <c r="K8" s="34"/>
      <c r="L8" s="35"/>
      <c r="M8" s="35"/>
      <c r="N8" s="35"/>
      <c r="O8" s="35"/>
      <c r="P8" s="35"/>
      <c r="Q8" s="35"/>
      <c r="R8" s="35"/>
      <c r="S8" s="35"/>
      <c r="T8" s="35"/>
      <c r="U8" s="35"/>
      <c r="V8" s="36"/>
      <c r="W8" s="35"/>
      <c r="X8" s="35"/>
      <c r="Y8" s="35"/>
      <c r="Z8" s="35"/>
      <c r="AA8" s="35"/>
      <c r="AB8" s="35"/>
      <c r="AH8" s="22"/>
      <c r="AI8" s="22"/>
      <c r="AJ8" s="22"/>
      <c r="AK8" s="3"/>
      <c r="AL8" s="3"/>
      <c r="AM8" s="3"/>
      <c r="AN8" s="3"/>
      <c r="AO8" s="3"/>
      <c r="AP8" s="3"/>
      <c r="AQ8" s="3"/>
      <c r="AR8" s="3"/>
      <c r="AS8" s="3"/>
      <c r="AT8" s="3"/>
      <c r="AU8" s="22"/>
      <c r="AV8" s="22"/>
      <c r="AW8" s="22"/>
      <c r="AX8" s="3"/>
      <c r="AY8" s="3"/>
      <c r="AZ8" s="3"/>
      <c r="BA8" s="37"/>
      <c r="BB8" s="3"/>
      <c r="BC8" s="3"/>
      <c r="BK8" s="38" t="s">
        <v>318</v>
      </c>
    </row>
    <row r="9" spans="1:63"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c r="AG9" s="98" t="s">
        <v>3</v>
      </c>
      <c r="AH9" s="98"/>
      <c r="AI9" s="98"/>
      <c r="AJ9" s="98"/>
      <c r="AK9" s="98"/>
      <c r="AL9" s="98" t="s">
        <v>4</v>
      </c>
      <c r="AM9" s="98"/>
      <c r="AN9" s="98"/>
      <c r="AO9" s="98" t="s">
        <v>5</v>
      </c>
      <c r="AP9" s="98"/>
      <c r="AQ9" s="98"/>
      <c r="AR9" s="98"/>
      <c r="AS9" s="98"/>
      <c r="AT9" s="98"/>
      <c r="AU9" s="98"/>
      <c r="AV9" s="98" t="s">
        <v>6</v>
      </c>
      <c r="AW9" s="98"/>
      <c r="AX9" s="98"/>
      <c r="AY9" s="98"/>
      <c r="AZ9" s="98" t="s">
        <v>7</v>
      </c>
      <c r="BA9" s="98"/>
      <c r="BB9" s="98"/>
      <c r="BC9" s="98"/>
      <c r="BD9" s="98" t="s">
        <v>8</v>
      </c>
      <c r="BE9" s="98"/>
      <c r="BF9" s="98"/>
      <c r="BG9" s="98"/>
      <c r="BH9" s="98" t="s">
        <v>52</v>
      </c>
      <c r="BI9" s="98"/>
      <c r="BJ9" s="98"/>
      <c r="BK9" s="98"/>
    </row>
    <row r="10" spans="1:63" ht="16.5" customHeight="1">
      <c r="A10" s="183">
        <v>810</v>
      </c>
      <c r="B10" s="183"/>
      <c r="C10" s="183"/>
      <c r="D10" s="183"/>
      <c r="E10" s="183"/>
      <c r="F10" s="94">
        <v>1</v>
      </c>
      <c r="G10" s="94"/>
      <c r="H10" s="94"/>
      <c r="I10" s="95" t="s">
        <v>9</v>
      </c>
      <c r="J10" s="95"/>
      <c r="K10" s="95"/>
      <c r="L10" s="95"/>
      <c r="M10" s="95"/>
      <c r="N10" s="100" t="s">
        <v>10</v>
      </c>
      <c r="O10" s="100"/>
      <c r="P10" s="99">
        <f>P22+25</f>
        <v>255.5</v>
      </c>
      <c r="Q10" s="99"/>
      <c r="R10" s="99"/>
      <c r="S10" s="99"/>
      <c r="T10" s="99">
        <f>P10+30</f>
        <v>285.5</v>
      </c>
      <c r="U10" s="99"/>
      <c r="V10" s="99"/>
      <c r="W10" s="99"/>
      <c r="X10" s="99">
        <f>T10+30</f>
        <v>315.5</v>
      </c>
      <c r="Y10" s="99"/>
      <c r="Z10" s="99"/>
      <c r="AA10" s="99"/>
      <c r="AB10" s="99">
        <f>X10+30</f>
        <v>345.5</v>
      </c>
      <c r="AC10" s="99"/>
      <c r="AD10" s="99"/>
      <c r="AE10" s="99"/>
      <c r="AG10" s="184">
        <v>810</v>
      </c>
      <c r="AH10" s="184"/>
      <c r="AI10" s="184"/>
      <c r="AJ10" s="184"/>
      <c r="AK10" s="184"/>
      <c r="AL10" s="94">
        <v>2</v>
      </c>
      <c r="AM10" s="94"/>
      <c r="AN10" s="94"/>
      <c r="AO10" s="156" t="s">
        <v>9</v>
      </c>
      <c r="AP10" s="156"/>
      <c r="AQ10" s="156"/>
      <c r="AR10" s="156"/>
      <c r="AS10" s="156"/>
      <c r="AT10" s="100" t="s">
        <v>10</v>
      </c>
      <c r="AU10" s="100"/>
      <c r="AV10" s="99">
        <f>AV22+25</f>
        <v>261</v>
      </c>
      <c r="AW10" s="99"/>
      <c r="AX10" s="99"/>
      <c r="AY10" s="99"/>
      <c r="AZ10" s="99">
        <f>AV10+30</f>
        <v>291</v>
      </c>
      <c r="BA10" s="99"/>
      <c r="BB10" s="99"/>
      <c r="BC10" s="99"/>
      <c r="BD10" s="99">
        <f>AZ10+30</f>
        <v>321</v>
      </c>
      <c r="BE10" s="99"/>
      <c r="BF10" s="99"/>
      <c r="BG10" s="99"/>
      <c r="BH10" s="99">
        <f>BD10+30</f>
        <v>351</v>
      </c>
      <c r="BI10" s="99"/>
      <c r="BJ10" s="99"/>
      <c r="BK10" s="99"/>
    </row>
    <row r="11" spans="1:63" ht="16.5" customHeight="1">
      <c r="A11" s="183"/>
      <c r="B11" s="183"/>
      <c r="C11" s="183"/>
      <c r="D11" s="183"/>
      <c r="E11" s="183"/>
      <c r="F11" s="94"/>
      <c r="G11" s="94"/>
      <c r="H11" s="94"/>
      <c r="I11" s="95"/>
      <c r="J11" s="95"/>
      <c r="K11" s="95"/>
      <c r="L11" s="95"/>
      <c r="M11" s="95"/>
      <c r="N11" s="100" t="s">
        <v>11</v>
      </c>
      <c r="O11" s="100"/>
      <c r="P11" s="99">
        <f>CEILING(P10*0.95,0.5)</f>
        <v>243</v>
      </c>
      <c r="Q11" s="99"/>
      <c r="R11" s="99"/>
      <c r="S11" s="99"/>
      <c r="T11" s="99">
        <f>CEILING(T10*0.95,0.5)</f>
        <v>271.5</v>
      </c>
      <c r="U11" s="99"/>
      <c r="V11" s="99"/>
      <c r="W11" s="99"/>
      <c r="X11" s="99">
        <f>CEILING(X10*0.95,0.5)</f>
        <v>300</v>
      </c>
      <c r="Y11" s="99"/>
      <c r="Z11" s="99"/>
      <c r="AA11" s="99"/>
      <c r="AB11" s="99">
        <f>CEILING(AB10*0.95,0.5)</f>
        <v>328.5</v>
      </c>
      <c r="AC11" s="99"/>
      <c r="AD11" s="99"/>
      <c r="AE11" s="99"/>
      <c r="AG11" s="184"/>
      <c r="AH11" s="184"/>
      <c r="AI11" s="184"/>
      <c r="AJ11" s="184"/>
      <c r="AK11" s="184"/>
      <c r="AL11" s="94"/>
      <c r="AM11" s="94"/>
      <c r="AN11" s="94"/>
      <c r="AO11" s="156"/>
      <c r="AP11" s="156"/>
      <c r="AQ11" s="156"/>
      <c r="AR11" s="156"/>
      <c r="AS11" s="156"/>
      <c r="AT11" s="100" t="s">
        <v>11</v>
      </c>
      <c r="AU11" s="100"/>
      <c r="AV11" s="99">
        <f>CEILING(AV10*0.95,0.5)</f>
        <v>248</v>
      </c>
      <c r="AW11" s="99"/>
      <c r="AX11" s="99"/>
      <c r="AY11" s="99"/>
      <c r="AZ11" s="99">
        <f>CEILING(AZ10*0.95,0.5)</f>
        <v>276.5</v>
      </c>
      <c r="BA11" s="99"/>
      <c r="BB11" s="99"/>
      <c r="BC11" s="99"/>
      <c r="BD11" s="99">
        <f>CEILING(BD10*0.95,0.5)</f>
        <v>305</v>
      </c>
      <c r="BE11" s="99"/>
      <c r="BF11" s="99"/>
      <c r="BG11" s="99"/>
      <c r="BH11" s="99">
        <f>CEILING(BH10*0.95,0.5)</f>
        <v>333.5</v>
      </c>
      <c r="BI11" s="99"/>
      <c r="BJ11" s="99"/>
      <c r="BK11" s="99"/>
    </row>
    <row r="12" spans="1:63" ht="16.5" customHeight="1">
      <c r="A12" s="183"/>
      <c r="B12" s="183"/>
      <c r="C12" s="183"/>
      <c r="D12" s="183"/>
      <c r="E12" s="183"/>
      <c r="F12" s="94"/>
      <c r="G12" s="94"/>
      <c r="H12" s="94"/>
      <c r="I12" s="95"/>
      <c r="J12" s="95"/>
      <c r="K12" s="95"/>
      <c r="L12" s="95"/>
      <c r="M12" s="95"/>
      <c r="N12" s="100" t="s">
        <v>12</v>
      </c>
      <c r="O12" s="100"/>
      <c r="P12" s="99">
        <f>P24+25</f>
        <v>234.5</v>
      </c>
      <c r="Q12" s="99"/>
      <c r="R12" s="99"/>
      <c r="S12" s="99"/>
      <c r="T12" s="99">
        <f>P12+30</f>
        <v>264.5</v>
      </c>
      <c r="U12" s="99"/>
      <c r="V12" s="99"/>
      <c r="W12" s="99"/>
      <c r="X12" s="99">
        <f>T12+30</f>
        <v>294.5</v>
      </c>
      <c r="Y12" s="99"/>
      <c r="Z12" s="99"/>
      <c r="AA12" s="99"/>
      <c r="AB12" s="99">
        <f>X12+30</f>
        <v>324.5</v>
      </c>
      <c r="AC12" s="99"/>
      <c r="AD12" s="99"/>
      <c r="AE12" s="99"/>
      <c r="AG12" s="184"/>
      <c r="AH12" s="184"/>
      <c r="AI12" s="184"/>
      <c r="AJ12" s="184"/>
      <c r="AK12" s="184"/>
      <c r="AL12" s="94"/>
      <c r="AM12" s="94"/>
      <c r="AN12" s="94"/>
      <c r="AO12" s="156"/>
      <c r="AP12" s="156"/>
      <c r="AQ12" s="156"/>
      <c r="AR12" s="156"/>
      <c r="AS12" s="156"/>
      <c r="AT12" s="100" t="s">
        <v>12</v>
      </c>
      <c r="AU12" s="100"/>
      <c r="AV12" s="99">
        <f>AV24+25</f>
        <v>237</v>
      </c>
      <c r="AW12" s="99"/>
      <c r="AX12" s="99"/>
      <c r="AY12" s="99"/>
      <c r="AZ12" s="99">
        <f>AV12+30</f>
        <v>267</v>
      </c>
      <c r="BA12" s="99"/>
      <c r="BB12" s="99"/>
      <c r="BC12" s="99"/>
      <c r="BD12" s="99">
        <f>AZ12+30</f>
        <v>297</v>
      </c>
      <c r="BE12" s="99"/>
      <c r="BF12" s="99"/>
      <c r="BG12" s="99"/>
      <c r="BH12" s="99">
        <f>BD12+30</f>
        <v>327</v>
      </c>
      <c r="BI12" s="99"/>
      <c r="BJ12" s="99"/>
      <c r="BK12" s="99"/>
    </row>
    <row r="13" spans="1:63" ht="16.5" customHeight="1">
      <c r="A13" s="183"/>
      <c r="B13" s="183"/>
      <c r="C13" s="183"/>
      <c r="D13" s="183"/>
      <c r="E13" s="183"/>
      <c r="F13" s="94"/>
      <c r="G13" s="94"/>
      <c r="H13" s="94"/>
      <c r="I13" s="97" t="s">
        <v>55</v>
      </c>
      <c r="J13" s="97"/>
      <c r="K13" s="97"/>
      <c r="L13" s="97"/>
      <c r="M13" s="97"/>
      <c r="N13" s="98" t="s">
        <v>10</v>
      </c>
      <c r="O13" s="98"/>
      <c r="P13" s="96">
        <f>CEILING(P10*0.28+5,0.5)</f>
        <v>77</v>
      </c>
      <c r="Q13" s="96"/>
      <c r="R13" s="96"/>
      <c r="S13" s="96"/>
      <c r="T13" s="96">
        <f>CEILING(T10*0.28+5,0.5)</f>
        <v>85</v>
      </c>
      <c r="U13" s="96"/>
      <c r="V13" s="96"/>
      <c r="W13" s="96"/>
      <c r="X13" s="96">
        <f>CEILING(X10*0.28+5,0.5)</f>
        <v>93.5</v>
      </c>
      <c r="Y13" s="96"/>
      <c r="Z13" s="96"/>
      <c r="AA13" s="96"/>
      <c r="AB13" s="96">
        <f>CEILING(AB10*0.28+5,0.5)</f>
        <v>102</v>
      </c>
      <c r="AC13" s="96"/>
      <c r="AD13" s="96"/>
      <c r="AE13" s="96"/>
      <c r="AG13" s="184"/>
      <c r="AH13" s="184"/>
      <c r="AI13" s="184"/>
      <c r="AJ13" s="184"/>
      <c r="AK13" s="184"/>
      <c r="AL13" s="94"/>
      <c r="AM13" s="94"/>
      <c r="AN13" s="94"/>
      <c r="AO13" s="97" t="s">
        <v>13</v>
      </c>
      <c r="AP13" s="97"/>
      <c r="AQ13" s="97"/>
      <c r="AR13" s="97"/>
      <c r="AS13" s="97"/>
      <c r="AT13" s="98" t="s">
        <v>10</v>
      </c>
      <c r="AU13" s="98"/>
      <c r="AV13" s="96">
        <f>CEILING(AV10*0.35+5,0.5)</f>
        <v>96.5</v>
      </c>
      <c r="AW13" s="96"/>
      <c r="AX13" s="96"/>
      <c r="AY13" s="96"/>
      <c r="AZ13" s="96">
        <f>CEILING(AZ10*0.35+5,0.5)</f>
        <v>107</v>
      </c>
      <c r="BA13" s="96"/>
      <c r="BB13" s="96"/>
      <c r="BC13" s="96"/>
      <c r="BD13" s="96">
        <f>CEILING(BD10*0.35+5,0.5)</f>
        <v>117.5</v>
      </c>
      <c r="BE13" s="96"/>
      <c r="BF13" s="96"/>
      <c r="BG13" s="96"/>
      <c r="BH13" s="96">
        <f>CEILING(BH10*0.35+5,0.5)</f>
        <v>128</v>
      </c>
      <c r="BI13" s="96"/>
      <c r="BJ13" s="96"/>
      <c r="BK13" s="96"/>
    </row>
    <row r="14" spans="1:63" ht="16.5" customHeight="1">
      <c r="A14" s="183"/>
      <c r="B14" s="183"/>
      <c r="C14" s="183"/>
      <c r="D14" s="183"/>
      <c r="E14" s="183"/>
      <c r="F14" s="94"/>
      <c r="G14" s="94"/>
      <c r="H14" s="94"/>
      <c r="I14" s="97"/>
      <c r="J14" s="97"/>
      <c r="K14" s="157"/>
      <c r="L14" s="97"/>
      <c r="M14" s="97"/>
      <c r="N14" s="98" t="s">
        <v>11</v>
      </c>
      <c r="O14" s="98"/>
      <c r="P14" s="96">
        <f>CEILING(P13*0.95,0.5)</f>
        <v>73.5</v>
      </c>
      <c r="Q14" s="96"/>
      <c r="R14" s="96"/>
      <c r="S14" s="96"/>
      <c r="T14" s="96">
        <f>CEILING(T13*0.95,0.5)</f>
        <v>81</v>
      </c>
      <c r="U14" s="96"/>
      <c r="V14" s="96"/>
      <c r="W14" s="96"/>
      <c r="X14" s="96">
        <f>CEILING(X13*0.95,0.5)</f>
        <v>89</v>
      </c>
      <c r="Y14" s="96"/>
      <c r="Z14" s="96"/>
      <c r="AA14" s="96"/>
      <c r="AB14" s="96">
        <f>CEILING(AB13*0.95,0.5)</f>
        <v>97</v>
      </c>
      <c r="AC14" s="96"/>
      <c r="AD14" s="96"/>
      <c r="AE14" s="96"/>
      <c r="AG14" s="184"/>
      <c r="AH14" s="184"/>
      <c r="AI14" s="184"/>
      <c r="AJ14" s="184"/>
      <c r="AK14" s="184"/>
      <c r="AL14" s="94"/>
      <c r="AM14" s="94"/>
      <c r="AN14" s="94"/>
      <c r="AO14" s="97"/>
      <c r="AP14" s="97"/>
      <c r="AQ14" s="97"/>
      <c r="AR14" s="97"/>
      <c r="AS14" s="97"/>
      <c r="AT14" s="98" t="s">
        <v>11</v>
      </c>
      <c r="AU14" s="98"/>
      <c r="AV14" s="96">
        <f>CEILING(AV13*0.95,0.5)</f>
        <v>92</v>
      </c>
      <c r="AW14" s="96"/>
      <c r="AX14" s="96"/>
      <c r="AY14" s="96"/>
      <c r="AZ14" s="96">
        <f>CEILING(AZ13*0.95,0.5)</f>
        <v>102</v>
      </c>
      <c r="BA14" s="96"/>
      <c r="BB14" s="96"/>
      <c r="BC14" s="96"/>
      <c r="BD14" s="96">
        <f>CEILING(BD13*0.95,0.5)</f>
        <v>112</v>
      </c>
      <c r="BE14" s="96"/>
      <c r="BF14" s="96"/>
      <c r="BG14" s="96"/>
      <c r="BH14" s="96">
        <f>CEILING(BH13*0.95,0.5)</f>
        <v>122</v>
      </c>
      <c r="BI14" s="96"/>
      <c r="BJ14" s="96"/>
      <c r="BK14" s="96"/>
    </row>
    <row r="15" spans="1:63" ht="16.5" customHeight="1">
      <c r="A15" s="183"/>
      <c r="B15" s="183"/>
      <c r="C15" s="183"/>
      <c r="D15" s="183"/>
      <c r="E15" s="183"/>
      <c r="F15" s="94"/>
      <c r="G15" s="94"/>
      <c r="H15" s="94"/>
      <c r="I15" s="97"/>
      <c r="J15" s="97"/>
      <c r="K15" s="97"/>
      <c r="L15" s="97"/>
      <c r="M15" s="97"/>
      <c r="N15" s="98" t="s">
        <v>12</v>
      </c>
      <c r="O15" s="98"/>
      <c r="P15" s="96">
        <f>CEILING(P12*0.28+5,0.5)</f>
        <v>71</v>
      </c>
      <c r="Q15" s="96"/>
      <c r="R15" s="96"/>
      <c r="S15" s="96"/>
      <c r="T15" s="96">
        <f>CEILING(T12*0.28+5,0.5)</f>
        <v>79.5</v>
      </c>
      <c r="U15" s="96"/>
      <c r="V15" s="96"/>
      <c r="W15" s="96"/>
      <c r="X15" s="96">
        <f>CEILING(X12*0.28+5,0.5)</f>
        <v>87.5</v>
      </c>
      <c r="Y15" s="96"/>
      <c r="Z15" s="96"/>
      <c r="AA15" s="96"/>
      <c r="AB15" s="96">
        <f>CEILING(AB12*0.28+5,0.5)</f>
        <v>96</v>
      </c>
      <c r="AC15" s="96"/>
      <c r="AD15" s="96"/>
      <c r="AE15" s="96"/>
      <c r="AG15" s="184"/>
      <c r="AH15" s="184"/>
      <c r="AI15" s="184"/>
      <c r="AJ15" s="184"/>
      <c r="AK15" s="184"/>
      <c r="AL15" s="94"/>
      <c r="AM15" s="94"/>
      <c r="AN15" s="94"/>
      <c r="AO15" s="97"/>
      <c r="AP15" s="97"/>
      <c r="AQ15" s="97"/>
      <c r="AR15" s="97"/>
      <c r="AS15" s="97"/>
      <c r="AT15" s="98" t="s">
        <v>12</v>
      </c>
      <c r="AU15" s="98"/>
      <c r="AV15" s="96">
        <f>CEILING(AV12*0.35+5,0.5)</f>
        <v>88</v>
      </c>
      <c r="AW15" s="96"/>
      <c r="AX15" s="96"/>
      <c r="AY15" s="96"/>
      <c r="AZ15" s="96">
        <f>CEILING(AZ12*0.35+5,0.5)</f>
        <v>98.5</v>
      </c>
      <c r="BA15" s="96"/>
      <c r="BB15" s="96"/>
      <c r="BC15" s="96"/>
      <c r="BD15" s="96">
        <f>CEILING(BD12*0.35+5,0.5)</f>
        <v>109</v>
      </c>
      <c r="BE15" s="96"/>
      <c r="BF15" s="96"/>
      <c r="BG15" s="96"/>
      <c r="BH15" s="96">
        <f>CEILING(BH12*0.35+5,0.5)</f>
        <v>119.5</v>
      </c>
      <c r="BI15" s="96"/>
      <c r="BJ15" s="96"/>
      <c r="BK15" s="96"/>
    </row>
    <row r="16" spans="1:63" ht="16.5" customHeight="1">
      <c r="A16" s="183"/>
      <c r="B16" s="183"/>
      <c r="C16" s="183"/>
      <c r="D16" s="183"/>
      <c r="E16" s="183"/>
      <c r="F16" s="94"/>
      <c r="G16" s="94"/>
      <c r="H16" s="94"/>
      <c r="I16" s="95" t="s">
        <v>15</v>
      </c>
      <c r="J16" s="95"/>
      <c r="K16" s="95"/>
      <c r="L16" s="95"/>
      <c r="M16" s="95"/>
      <c r="N16" s="100" t="s">
        <v>10</v>
      </c>
      <c r="O16" s="100"/>
      <c r="P16" s="99">
        <f>P22+15</f>
        <v>245.5</v>
      </c>
      <c r="Q16" s="99"/>
      <c r="R16" s="99"/>
      <c r="S16" s="99"/>
      <c r="T16" s="99">
        <f>P16+15</f>
        <v>260.5</v>
      </c>
      <c r="U16" s="99"/>
      <c r="V16" s="99"/>
      <c r="W16" s="99"/>
      <c r="X16" s="99">
        <f>T16+15</f>
        <v>275.5</v>
      </c>
      <c r="Y16" s="99"/>
      <c r="Z16" s="99"/>
      <c r="AA16" s="99"/>
      <c r="AB16" s="99">
        <f>X16+15</f>
        <v>290.5</v>
      </c>
      <c r="AC16" s="99"/>
      <c r="AD16" s="99"/>
      <c r="AE16" s="99"/>
      <c r="AG16" s="184"/>
      <c r="AH16" s="184"/>
      <c r="AI16" s="184"/>
      <c r="AJ16" s="184"/>
      <c r="AK16" s="184"/>
      <c r="AL16" s="94"/>
      <c r="AM16" s="94"/>
      <c r="AN16" s="94"/>
      <c r="AO16" s="156" t="s">
        <v>15</v>
      </c>
      <c r="AP16" s="156"/>
      <c r="AQ16" s="156"/>
      <c r="AR16" s="156"/>
      <c r="AS16" s="156"/>
      <c r="AT16" s="100" t="s">
        <v>10</v>
      </c>
      <c r="AU16" s="100"/>
      <c r="AV16" s="99">
        <f>AV22+15</f>
        <v>251</v>
      </c>
      <c r="AW16" s="99"/>
      <c r="AX16" s="99"/>
      <c r="AY16" s="99"/>
      <c r="AZ16" s="99">
        <f>AV16+15</f>
        <v>266</v>
      </c>
      <c r="BA16" s="99"/>
      <c r="BB16" s="99"/>
      <c r="BC16" s="99"/>
      <c r="BD16" s="99">
        <f>AZ16+15</f>
        <v>281</v>
      </c>
      <c r="BE16" s="99"/>
      <c r="BF16" s="99"/>
      <c r="BG16" s="99"/>
      <c r="BH16" s="99">
        <f>BD16+15</f>
        <v>296</v>
      </c>
      <c r="BI16" s="99"/>
      <c r="BJ16" s="99"/>
      <c r="BK16" s="99"/>
    </row>
    <row r="17" spans="1:63" ht="16.5" customHeight="1">
      <c r="A17" s="183"/>
      <c r="B17" s="183"/>
      <c r="C17" s="183"/>
      <c r="D17" s="183"/>
      <c r="E17" s="183"/>
      <c r="F17" s="94"/>
      <c r="G17" s="94"/>
      <c r="H17" s="94"/>
      <c r="I17" s="95"/>
      <c r="J17" s="95"/>
      <c r="K17" s="95"/>
      <c r="L17" s="95"/>
      <c r="M17" s="95"/>
      <c r="N17" s="100" t="s">
        <v>11</v>
      </c>
      <c r="O17" s="100"/>
      <c r="P17" s="99">
        <f>CEILING(P16*0.95,0.5)</f>
        <v>233.5</v>
      </c>
      <c r="Q17" s="99"/>
      <c r="R17" s="99"/>
      <c r="S17" s="99"/>
      <c r="T17" s="99">
        <f>CEILING(T16*0.95,0.5)</f>
        <v>247.5</v>
      </c>
      <c r="U17" s="99"/>
      <c r="V17" s="99"/>
      <c r="W17" s="99"/>
      <c r="X17" s="99">
        <f>CEILING(X16*0.95,0.5)</f>
        <v>262</v>
      </c>
      <c r="Y17" s="99"/>
      <c r="Z17" s="99"/>
      <c r="AA17" s="99"/>
      <c r="AB17" s="99">
        <f>CEILING(AB16*0.95,0.5)</f>
        <v>276</v>
      </c>
      <c r="AC17" s="99"/>
      <c r="AD17" s="99"/>
      <c r="AE17" s="99"/>
      <c r="AG17" s="184"/>
      <c r="AH17" s="184"/>
      <c r="AI17" s="184"/>
      <c r="AJ17" s="184"/>
      <c r="AK17" s="184"/>
      <c r="AL17" s="94"/>
      <c r="AM17" s="94"/>
      <c r="AN17" s="94"/>
      <c r="AO17" s="156"/>
      <c r="AP17" s="156"/>
      <c r="AQ17" s="156"/>
      <c r="AR17" s="156"/>
      <c r="AS17" s="156"/>
      <c r="AT17" s="100" t="s">
        <v>11</v>
      </c>
      <c r="AU17" s="100"/>
      <c r="AV17" s="99">
        <f>CEILING(AV16*0.95,0.5)</f>
        <v>238.5</v>
      </c>
      <c r="AW17" s="99"/>
      <c r="AX17" s="99"/>
      <c r="AY17" s="99"/>
      <c r="AZ17" s="99">
        <f>CEILING(AZ16*0.95,0.5)</f>
        <v>253</v>
      </c>
      <c r="BA17" s="99"/>
      <c r="BB17" s="99"/>
      <c r="BC17" s="99"/>
      <c r="BD17" s="99">
        <f>CEILING(BD16*0.95,0.5)</f>
        <v>267</v>
      </c>
      <c r="BE17" s="99"/>
      <c r="BF17" s="99"/>
      <c r="BG17" s="99"/>
      <c r="BH17" s="99">
        <f>CEILING(BH16*0.95,0.5)</f>
        <v>281.5</v>
      </c>
      <c r="BI17" s="99"/>
      <c r="BJ17" s="99"/>
      <c r="BK17" s="99"/>
    </row>
    <row r="18" spans="1:63" ht="16.5" customHeight="1">
      <c r="A18" s="183"/>
      <c r="B18" s="183"/>
      <c r="C18" s="183"/>
      <c r="D18" s="183"/>
      <c r="E18" s="183"/>
      <c r="F18" s="94"/>
      <c r="G18" s="94"/>
      <c r="H18" s="94"/>
      <c r="I18" s="95"/>
      <c r="J18" s="95"/>
      <c r="K18" s="95"/>
      <c r="L18" s="95"/>
      <c r="M18" s="95"/>
      <c r="N18" s="100" t="s">
        <v>12</v>
      </c>
      <c r="O18" s="100"/>
      <c r="P18" s="99">
        <f>P24+15</f>
        <v>224.5</v>
      </c>
      <c r="Q18" s="99"/>
      <c r="R18" s="99"/>
      <c r="S18" s="99"/>
      <c r="T18" s="99">
        <f>P18+15</f>
        <v>239.5</v>
      </c>
      <c r="U18" s="99"/>
      <c r="V18" s="99"/>
      <c r="W18" s="99"/>
      <c r="X18" s="99">
        <f>T18+15</f>
        <v>254.5</v>
      </c>
      <c r="Y18" s="99"/>
      <c r="Z18" s="99"/>
      <c r="AA18" s="99"/>
      <c r="AB18" s="99">
        <f>X18+15</f>
        <v>269.5</v>
      </c>
      <c r="AC18" s="99"/>
      <c r="AD18" s="99"/>
      <c r="AE18" s="99"/>
      <c r="AG18" s="184"/>
      <c r="AH18" s="184"/>
      <c r="AI18" s="184"/>
      <c r="AJ18" s="184"/>
      <c r="AK18" s="184"/>
      <c r="AL18" s="94"/>
      <c r="AM18" s="94"/>
      <c r="AN18" s="94"/>
      <c r="AO18" s="156"/>
      <c r="AP18" s="156"/>
      <c r="AQ18" s="156"/>
      <c r="AR18" s="156"/>
      <c r="AS18" s="156"/>
      <c r="AT18" s="100" t="s">
        <v>12</v>
      </c>
      <c r="AU18" s="100"/>
      <c r="AV18" s="99">
        <f>AV24+15</f>
        <v>227</v>
      </c>
      <c r="AW18" s="99"/>
      <c r="AX18" s="99"/>
      <c r="AY18" s="99"/>
      <c r="AZ18" s="99">
        <f>AV18+15</f>
        <v>242</v>
      </c>
      <c r="BA18" s="99"/>
      <c r="BB18" s="99"/>
      <c r="BC18" s="99"/>
      <c r="BD18" s="99">
        <f>AZ18+15</f>
        <v>257</v>
      </c>
      <c r="BE18" s="99"/>
      <c r="BF18" s="99"/>
      <c r="BG18" s="99"/>
      <c r="BH18" s="99">
        <f>BD18+15</f>
        <v>272</v>
      </c>
      <c r="BI18" s="99"/>
      <c r="BJ18" s="99"/>
      <c r="BK18" s="99"/>
    </row>
    <row r="19" spans="1:63" ht="16.5" customHeight="1">
      <c r="A19" s="183"/>
      <c r="B19" s="183"/>
      <c r="C19" s="183"/>
      <c r="D19" s="183"/>
      <c r="E19" s="183"/>
      <c r="F19" s="94"/>
      <c r="G19" s="94"/>
      <c r="H19" s="94"/>
      <c r="I19" s="97" t="s">
        <v>56</v>
      </c>
      <c r="J19" s="97"/>
      <c r="K19" s="97"/>
      <c r="L19" s="97"/>
      <c r="M19" s="97"/>
      <c r="N19" s="98" t="s">
        <v>10</v>
      </c>
      <c r="O19" s="98"/>
      <c r="P19" s="96">
        <f>CEILING(P16*0.28+5,0.5)</f>
        <v>74</v>
      </c>
      <c r="Q19" s="96"/>
      <c r="R19" s="96"/>
      <c r="S19" s="96"/>
      <c r="T19" s="96">
        <f>CEILING(T16*0.28+5,0.5)</f>
        <v>78</v>
      </c>
      <c r="U19" s="96"/>
      <c r="V19" s="96"/>
      <c r="W19" s="96"/>
      <c r="X19" s="96">
        <f>CEILING(X16*0.28+5,0.5)</f>
        <v>82.5</v>
      </c>
      <c r="Y19" s="96"/>
      <c r="Z19" s="96"/>
      <c r="AA19" s="96"/>
      <c r="AB19" s="96">
        <f>CEILING(AB16*0.28+5,0.5)</f>
        <v>86.5</v>
      </c>
      <c r="AC19" s="96"/>
      <c r="AD19" s="96"/>
      <c r="AE19" s="96"/>
      <c r="AG19" s="184"/>
      <c r="AH19" s="184"/>
      <c r="AI19" s="184"/>
      <c r="AJ19" s="184"/>
      <c r="AK19" s="184"/>
      <c r="AL19" s="94"/>
      <c r="AM19" s="94"/>
      <c r="AN19" s="94"/>
      <c r="AO19" s="97" t="s">
        <v>16</v>
      </c>
      <c r="AP19" s="97"/>
      <c r="AQ19" s="97"/>
      <c r="AR19" s="97"/>
      <c r="AS19" s="97"/>
      <c r="AT19" s="98" t="s">
        <v>10</v>
      </c>
      <c r="AU19" s="98"/>
      <c r="AV19" s="96">
        <f>CEILING(AV16*0.35+5,0.5)</f>
        <v>93</v>
      </c>
      <c r="AW19" s="96"/>
      <c r="AX19" s="96"/>
      <c r="AY19" s="96"/>
      <c r="AZ19" s="96">
        <f>CEILING(AZ16*0.35+5,0.5)</f>
        <v>98.5</v>
      </c>
      <c r="BA19" s="96"/>
      <c r="BB19" s="96"/>
      <c r="BC19" s="96"/>
      <c r="BD19" s="96">
        <f>CEILING(BD16*0.35+5,0.5)</f>
        <v>103.5</v>
      </c>
      <c r="BE19" s="96"/>
      <c r="BF19" s="96"/>
      <c r="BG19" s="96"/>
      <c r="BH19" s="96">
        <f>CEILING(BH16*0.35+5,0.5)</f>
        <v>109</v>
      </c>
      <c r="BI19" s="96"/>
      <c r="BJ19" s="96"/>
      <c r="BK19" s="96"/>
    </row>
    <row r="20" spans="1:63" ht="16.5" customHeight="1">
      <c r="A20" s="183"/>
      <c r="B20" s="183"/>
      <c r="C20" s="183"/>
      <c r="D20" s="183"/>
      <c r="E20" s="183"/>
      <c r="F20" s="94"/>
      <c r="G20" s="94"/>
      <c r="H20" s="94"/>
      <c r="I20" s="97"/>
      <c r="J20" s="97"/>
      <c r="K20" s="97"/>
      <c r="L20" s="97"/>
      <c r="M20" s="97"/>
      <c r="N20" s="98" t="s">
        <v>11</v>
      </c>
      <c r="O20" s="98"/>
      <c r="P20" s="96">
        <f>CEILING(P19*0.95,0.5)</f>
        <v>70.5</v>
      </c>
      <c r="Q20" s="96"/>
      <c r="R20" s="96"/>
      <c r="S20" s="96"/>
      <c r="T20" s="96">
        <f>CEILING(T19*0.95,0.5)</f>
        <v>74.5</v>
      </c>
      <c r="U20" s="96"/>
      <c r="V20" s="96"/>
      <c r="W20" s="96"/>
      <c r="X20" s="96">
        <f>CEILING(X19*0.95,0.5)</f>
        <v>78.5</v>
      </c>
      <c r="Y20" s="96"/>
      <c r="Z20" s="96"/>
      <c r="AA20" s="96"/>
      <c r="AB20" s="96">
        <f>CEILING(AB19*0.95,0.5)</f>
        <v>82.5</v>
      </c>
      <c r="AC20" s="96"/>
      <c r="AD20" s="96"/>
      <c r="AE20" s="96"/>
      <c r="AG20" s="184"/>
      <c r="AH20" s="184"/>
      <c r="AI20" s="184"/>
      <c r="AJ20" s="184"/>
      <c r="AK20" s="184"/>
      <c r="AL20" s="94"/>
      <c r="AM20" s="94"/>
      <c r="AN20" s="94"/>
      <c r="AO20" s="97"/>
      <c r="AP20" s="97"/>
      <c r="AQ20" s="97"/>
      <c r="AR20" s="97"/>
      <c r="AS20" s="97"/>
      <c r="AT20" s="98" t="s">
        <v>11</v>
      </c>
      <c r="AU20" s="98"/>
      <c r="AV20" s="96">
        <f>CEILING(AV19*0.95,0.5)</f>
        <v>88.5</v>
      </c>
      <c r="AW20" s="96"/>
      <c r="AX20" s="96"/>
      <c r="AY20" s="96"/>
      <c r="AZ20" s="96">
        <f>CEILING(AZ19*0.95,0.5)</f>
        <v>94</v>
      </c>
      <c r="BA20" s="96"/>
      <c r="BB20" s="96"/>
      <c r="BC20" s="96"/>
      <c r="BD20" s="96">
        <f>CEILING(BD19*0.95,0.5)</f>
        <v>98.5</v>
      </c>
      <c r="BE20" s="96"/>
      <c r="BF20" s="96"/>
      <c r="BG20" s="96"/>
      <c r="BH20" s="96">
        <f>CEILING(BH19*0.95,0.5)</f>
        <v>104</v>
      </c>
      <c r="BI20" s="96"/>
      <c r="BJ20" s="96"/>
      <c r="BK20" s="96"/>
    </row>
    <row r="21" spans="1:63" ht="16.5" customHeight="1">
      <c r="A21" s="183"/>
      <c r="B21" s="183"/>
      <c r="C21" s="183"/>
      <c r="D21" s="183"/>
      <c r="E21" s="183"/>
      <c r="F21" s="94"/>
      <c r="G21" s="94"/>
      <c r="H21" s="94"/>
      <c r="I21" s="97"/>
      <c r="J21" s="97"/>
      <c r="K21" s="97"/>
      <c r="L21" s="97"/>
      <c r="M21" s="97"/>
      <c r="N21" s="98" t="s">
        <v>12</v>
      </c>
      <c r="O21" s="98"/>
      <c r="P21" s="96">
        <f>CEILING(P18*0.28+5,0.5)</f>
        <v>68</v>
      </c>
      <c r="Q21" s="96"/>
      <c r="R21" s="96"/>
      <c r="S21" s="96"/>
      <c r="T21" s="96">
        <f>CEILING(T18*0.28+5,0.5)</f>
        <v>72.5</v>
      </c>
      <c r="U21" s="96"/>
      <c r="V21" s="96"/>
      <c r="W21" s="96"/>
      <c r="X21" s="96">
        <f>CEILING(X18*0.28+5,0.5)</f>
        <v>76.5</v>
      </c>
      <c r="Y21" s="96"/>
      <c r="Z21" s="96"/>
      <c r="AA21" s="96"/>
      <c r="AB21" s="96">
        <f>CEILING(AB18*0.28+5,0.5)</f>
        <v>80.5</v>
      </c>
      <c r="AC21" s="96"/>
      <c r="AD21" s="96"/>
      <c r="AE21" s="96"/>
      <c r="AG21" s="184"/>
      <c r="AH21" s="184"/>
      <c r="AI21" s="184"/>
      <c r="AJ21" s="184"/>
      <c r="AK21" s="184"/>
      <c r="AL21" s="94"/>
      <c r="AM21" s="94"/>
      <c r="AN21" s="94"/>
      <c r="AO21" s="97"/>
      <c r="AP21" s="97"/>
      <c r="AQ21" s="97"/>
      <c r="AR21" s="97"/>
      <c r="AS21" s="97"/>
      <c r="AT21" s="98" t="s">
        <v>12</v>
      </c>
      <c r="AU21" s="98"/>
      <c r="AV21" s="96">
        <f>CEILING(AV18*0.35+5,0.5)</f>
        <v>84.5</v>
      </c>
      <c r="AW21" s="96"/>
      <c r="AX21" s="96"/>
      <c r="AY21" s="96"/>
      <c r="AZ21" s="96">
        <f>CEILING(AZ18*0.35+5,0.5)</f>
        <v>90</v>
      </c>
      <c r="BA21" s="96"/>
      <c r="BB21" s="96"/>
      <c r="BC21" s="96"/>
      <c r="BD21" s="96">
        <f>CEILING(BD18*0.35+5,0.5)</f>
        <v>95</v>
      </c>
      <c r="BE21" s="96"/>
      <c r="BF21" s="96"/>
      <c r="BG21" s="96"/>
      <c r="BH21" s="96">
        <f>CEILING(BH18*0.35+5,0.5)</f>
        <v>100.5</v>
      </c>
      <c r="BI21" s="96"/>
      <c r="BJ21" s="96"/>
      <c r="BK21" s="96"/>
    </row>
    <row r="22" spans="1:63" ht="16.5" customHeight="1">
      <c r="A22" s="183"/>
      <c r="B22" s="183"/>
      <c r="C22" s="183"/>
      <c r="D22" s="183"/>
      <c r="E22" s="183"/>
      <c r="F22" s="94"/>
      <c r="G22" s="94"/>
      <c r="H22" s="94"/>
      <c r="I22" s="95" t="s">
        <v>18</v>
      </c>
      <c r="J22" s="95"/>
      <c r="K22" s="95"/>
      <c r="L22" s="95"/>
      <c r="M22" s="95"/>
      <c r="N22" s="100" t="s">
        <v>10</v>
      </c>
      <c r="O22" s="100"/>
      <c r="P22" s="101">
        <f>CEILING(177*1.3,0.5)</f>
        <v>230.5</v>
      </c>
      <c r="Q22" s="101"/>
      <c r="R22" s="101"/>
      <c r="S22" s="101"/>
      <c r="T22" s="99">
        <f>P22+10</f>
        <v>240.5</v>
      </c>
      <c r="U22" s="99"/>
      <c r="V22" s="99"/>
      <c r="W22" s="99"/>
      <c r="X22" s="99">
        <f>T22+10</f>
        <v>250.5</v>
      </c>
      <c r="Y22" s="99"/>
      <c r="Z22" s="99"/>
      <c r="AA22" s="99"/>
      <c r="AB22" s="99">
        <f>X22+10</f>
        <v>260.5</v>
      </c>
      <c r="AC22" s="99"/>
      <c r="AD22" s="99"/>
      <c r="AE22" s="99"/>
      <c r="AG22" s="184"/>
      <c r="AH22" s="184"/>
      <c r="AI22" s="184"/>
      <c r="AJ22" s="184"/>
      <c r="AK22" s="184"/>
      <c r="AL22" s="94"/>
      <c r="AM22" s="94"/>
      <c r="AN22" s="94"/>
      <c r="AO22" s="156" t="s">
        <v>18</v>
      </c>
      <c r="AP22" s="156"/>
      <c r="AQ22" s="156"/>
      <c r="AR22" s="156"/>
      <c r="AS22" s="156"/>
      <c r="AT22" s="100" t="s">
        <v>10</v>
      </c>
      <c r="AU22" s="100"/>
      <c r="AV22" s="101">
        <f>CEILING(181.5*1.3,0.5)</f>
        <v>236</v>
      </c>
      <c r="AW22" s="101"/>
      <c r="AX22" s="101"/>
      <c r="AY22" s="101"/>
      <c r="AZ22" s="99">
        <f>AV22+10</f>
        <v>246</v>
      </c>
      <c r="BA22" s="99"/>
      <c r="BB22" s="99"/>
      <c r="BC22" s="99"/>
      <c r="BD22" s="99">
        <f>AZ22+10</f>
        <v>256</v>
      </c>
      <c r="BE22" s="99"/>
      <c r="BF22" s="99"/>
      <c r="BG22" s="99"/>
      <c r="BH22" s="99">
        <f>BD22+10</f>
        <v>266</v>
      </c>
      <c r="BI22" s="99"/>
      <c r="BJ22" s="99"/>
      <c r="BK22" s="99"/>
    </row>
    <row r="23" spans="1:63" ht="16.5" customHeight="1">
      <c r="A23" s="183"/>
      <c r="B23" s="183"/>
      <c r="C23" s="183"/>
      <c r="D23" s="183"/>
      <c r="E23" s="183"/>
      <c r="F23" s="94"/>
      <c r="G23" s="94"/>
      <c r="H23" s="94"/>
      <c r="I23" s="95"/>
      <c r="J23" s="95"/>
      <c r="K23" s="95"/>
      <c r="L23" s="95"/>
      <c r="M23" s="95"/>
      <c r="N23" s="100" t="s">
        <v>11</v>
      </c>
      <c r="O23" s="100"/>
      <c r="P23" s="99">
        <f>CEILING(P22*0.95,0.5)</f>
        <v>219</v>
      </c>
      <c r="Q23" s="99"/>
      <c r="R23" s="99"/>
      <c r="S23" s="99"/>
      <c r="T23" s="99">
        <f>CEILING(T22*0.95,0.5)</f>
        <v>228.5</v>
      </c>
      <c r="U23" s="99"/>
      <c r="V23" s="99"/>
      <c r="W23" s="99"/>
      <c r="X23" s="99">
        <f>CEILING(X22*0.95,0.5)</f>
        <v>238</v>
      </c>
      <c r="Y23" s="99"/>
      <c r="Z23" s="99"/>
      <c r="AA23" s="99"/>
      <c r="AB23" s="99">
        <f>CEILING(AB22*0.95,0.5)</f>
        <v>247.5</v>
      </c>
      <c r="AC23" s="99"/>
      <c r="AD23" s="99"/>
      <c r="AE23" s="99"/>
      <c r="AG23" s="184"/>
      <c r="AH23" s="184"/>
      <c r="AI23" s="184"/>
      <c r="AJ23" s="184"/>
      <c r="AK23" s="184"/>
      <c r="AL23" s="94"/>
      <c r="AM23" s="94"/>
      <c r="AN23" s="94"/>
      <c r="AO23" s="156"/>
      <c r="AP23" s="156"/>
      <c r="AQ23" s="156"/>
      <c r="AR23" s="156"/>
      <c r="AS23" s="156"/>
      <c r="AT23" s="100" t="s">
        <v>11</v>
      </c>
      <c r="AU23" s="100"/>
      <c r="AV23" s="99">
        <f>CEILING(AV22*0.95,0.5)</f>
        <v>224.5</v>
      </c>
      <c r="AW23" s="99"/>
      <c r="AX23" s="99"/>
      <c r="AY23" s="99"/>
      <c r="AZ23" s="99">
        <f>CEILING(AZ22*0.95,0.5)</f>
        <v>234</v>
      </c>
      <c r="BA23" s="99"/>
      <c r="BB23" s="99"/>
      <c r="BC23" s="99"/>
      <c r="BD23" s="99">
        <f>CEILING(BD22*0.95,0.5)</f>
        <v>243.5</v>
      </c>
      <c r="BE23" s="99"/>
      <c r="BF23" s="99"/>
      <c r="BG23" s="99"/>
      <c r="BH23" s="99">
        <f>CEILING(BH22*0.95,0.5)</f>
        <v>253</v>
      </c>
      <c r="BI23" s="99"/>
      <c r="BJ23" s="99"/>
      <c r="BK23" s="99"/>
    </row>
    <row r="24" spans="1:63" ht="16.5" customHeight="1">
      <c r="A24" s="183"/>
      <c r="B24" s="183"/>
      <c r="C24" s="183"/>
      <c r="D24" s="183"/>
      <c r="E24" s="183"/>
      <c r="F24" s="94"/>
      <c r="G24" s="94"/>
      <c r="H24" s="94"/>
      <c r="I24" s="95"/>
      <c r="J24" s="95"/>
      <c r="K24" s="95"/>
      <c r="L24" s="95"/>
      <c r="M24" s="95"/>
      <c r="N24" s="100" t="s">
        <v>12</v>
      </c>
      <c r="O24" s="100"/>
      <c r="P24" s="101">
        <f>CEILING(161*1.3,0.5)</f>
        <v>209.5</v>
      </c>
      <c r="Q24" s="101"/>
      <c r="R24" s="101"/>
      <c r="S24" s="101"/>
      <c r="T24" s="99">
        <f>P24+10</f>
        <v>219.5</v>
      </c>
      <c r="U24" s="99"/>
      <c r="V24" s="99"/>
      <c r="W24" s="99"/>
      <c r="X24" s="99">
        <f>T24+10</f>
        <v>229.5</v>
      </c>
      <c r="Y24" s="99"/>
      <c r="Z24" s="99"/>
      <c r="AA24" s="99"/>
      <c r="AB24" s="99">
        <f>X24+10</f>
        <v>239.5</v>
      </c>
      <c r="AC24" s="99"/>
      <c r="AD24" s="99"/>
      <c r="AE24" s="99"/>
      <c r="AG24" s="184"/>
      <c r="AH24" s="184"/>
      <c r="AI24" s="184"/>
      <c r="AJ24" s="184"/>
      <c r="AK24" s="184"/>
      <c r="AL24" s="94"/>
      <c r="AM24" s="94"/>
      <c r="AN24" s="94"/>
      <c r="AO24" s="156"/>
      <c r="AP24" s="156"/>
      <c r="AQ24" s="156"/>
      <c r="AR24" s="156"/>
      <c r="AS24" s="156"/>
      <c r="AT24" s="100" t="s">
        <v>12</v>
      </c>
      <c r="AU24" s="100"/>
      <c r="AV24" s="101">
        <f>CEILING(163*1.3,0.5)</f>
        <v>212</v>
      </c>
      <c r="AW24" s="101"/>
      <c r="AX24" s="101"/>
      <c r="AY24" s="101"/>
      <c r="AZ24" s="99">
        <f>AV24+10</f>
        <v>222</v>
      </c>
      <c r="BA24" s="99"/>
      <c r="BB24" s="99"/>
      <c r="BC24" s="99"/>
      <c r="BD24" s="99">
        <f>AZ24+10</f>
        <v>232</v>
      </c>
      <c r="BE24" s="99"/>
      <c r="BF24" s="99"/>
      <c r="BG24" s="99"/>
      <c r="BH24" s="99">
        <f>BD24+10</f>
        <v>242</v>
      </c>
      <c r="BI24" s="99"/>
      <c r="BJ24" s="99"/>
      <c r="BK24" s="99"/>
    </row>
    <row r="25" spans="1:63" ht="16.5" customHeight="1">
      <c r="A25" s="183"/>
      <c r="B25" s="183"/>
      <c r="C25" s="183"/>
      <c r="D25" s="183"/>
      <c r="E25" s="183"/>
      <c r="F25" s="94"/>
      <c r="G25" s="94"/>
      <c r="H25" s="94"/>
      <c r="I25" s="97" t="s">
        <v>57</v>
      </c>
      <c r="J25" s="97"/>
      <c r="K25" s="97"/>
      <c r="L25" s="97"/>
      <c r="M25" s="97"/>
      <c r="N25" s="98" t="s">
        <v>58</v>
      </c>
      <c r="O25" s="98"/>
      <c r="P25" s="96">
        <f>CEILING(P22*0.28+5,0.5)</f>
        <v>70</v>
      </c>
      <c r="Q25" s="96"/>
      <c r="R25" s="96"/>
      <c r="S25" s="96"/>
      <c r="T25" s="96">
        <f>CEILING(T22*0.28+5,0.5)</f>
        <v>72.5</v>
      </c>
      <c r="U25" s="96"/>
      <c r="V25" s="96"/>
      <c r="W25" s="96"/>
      <c r="X25" s="96">
        <f>CEILING(X22*0.28+5,0.5)</f>
        <v>75.5</v>
      </c>
      <c r="Y25" s="96"/>
      <c r="Z25" s="96"/>
      <c r="AA25" s="96"/>
      <c r="AB25" s="96">
        <f>CEILING(AB22*0.28+5,0.5)</f>
        <v>78</v>
      </c>
      <c r="AC25" s="96"/>
      <c r="AD25" s="96"/>
      <c r="AE25" s="96"/>
      <c r="AG25" s="184"/>
      <c r="AH25" s="184"/>
      <c r="AI25" s="184"/>
      <c r="AJ25" s="184"/>
      <c r="AK25" s="184"/>
      <c r="AL25" s="94"/>
      <c r="AM25" s="94"/>
      <c r="AN25" s="94"/>
      <c r="AO25" s="97" t="s">
        <v>19</v>
      </c>
      <c r="AP25" s="97"/>
      <c r="AQ25" s="97"/>
      <c r="AR25" s="97"/>
      <c r="AS25" s="97"/>
      <c r="AT25" s="98" t="s">
        <v>58</v>
      </c>
      <c r="AU25" s="98"/>
      <c r="AV25" s="96">
        <f>CEILING(AV22*0.35+5,0.5)</f>
        <v>88</v>
      </c>
      <c r="AW25" s="96"/>
      <c r="AX25" s="96"/>
      <c r="AY25" s="96"/>
      <c r="AZ25" s="96">
        <f>CEILING(AZ22*0.35+5,0.5)</f>
        <v>91.5</v>
      </c>
      <c r="BA25" s="96"/>
      <c r="BB25" s="96"/>
      <c r="BC25" s="96"/>
      <c r="BD25" s="96">
        <f>CEILING(BD22*0.35+5,0.5)</f>
        <v>95</v>
      </c>
      <c r="BE25" s="96"/>
      <c r="BF25" s="96"/>
      <c r="BG25" s="96"/>
      <c r="BH25" s="96">
        <f>CEILING(BH22*0.35+5,0.5)</f>
        <v>98.5</v>
      </c>
      <c r="BI25" s="96"/>
      <c r="BJ25" s="96"/>
      <c r="BK25" s="96"/>
    </row>
    <row r="26" spans="1:63" ht="16.5" customHeight="1">
      <c r="A26" s="183"/>
      <c r="B26" s="183"/>
      <c r="C26" s="183"/>
      <c r="D26" s="183"/>
      <c r="E26" s="183"/>
      <c r="F26" s="94"/>
      <c r="G26" s="94"/>
      <c r="H26" s="94"/>
      <c r="I26" s="97"/>
      <c r="J26" s="97"/>
      <c r="K26" s="97"/>
      <c r="L26" s="97"/>
      <c r="M26" s="97"/>
      <c r="N26" s="98" t="s">
        <v>11</v>
      </c>
      <c r="O26" s="98"/>
      <c r="P26" s="96">
        <f>CEILING(P25*0.95,0.5)</f>
        <v>66.5</v>
      </c>
      <c r="Q26" s="96"/>
      <c r="R26" s="96"/>
      <c r="S26" s="96"/>
      <c r="T26" s="96">
        <f>CEILING(T25*0.95,0.5)</f>
        <v>69</v>
      </c>
      <c r="U26" s="96"/>
      <c r="V26" s="96"/>
      <c r="W26" s="96"/>
      <c r="X26" s="96">
        <f>CEILING(X25*0.95,0.5)</f>
        <v>72</v>
      </c>
      <c r="Y26" s="96"/>
      <c r="Z26" s="96"/>
      <c r="AA26" s="96"/>
      <c r="AB26" s="96">
        <f>CEILING(AB25*0.95,0.5)</f>
        <v>74.5</v>
      </c>
      <c r="AC26" s="96"/>
      <c r="AD26" s="96"/>
      <c r="AE26" s="96"/>
      <c r="AG26" s="184"/>
      <c r="AH26" s="184"/>
      <c r="AI26" s="184"/>
      <c r="AJ26" s="184"/>
      <c r="AK26" s="184"/>
      <c r="AL26" s="94"/>
      <c r="AM26" s="94"/>
      <c r="AN26" s="94"/>
      <c r="AO26" s="97"/>
      <c r="AP26" s="97"/>
      <c r="AQ26" s="97"/>
      <c r="AR26" s="97"/>
      <c r="AS26" s="97"/>
      <c r="AT26" s="98" t="s">
        <v>11</v>
      </c>
      <c r="AU26" s="98"/>
      <c r="AV26" s="96">
        <f>CEILING(AV25*0.95,0.5)</f>
        <v>84</v>
      </c>
      <c r="AW26" s="96"/>
      <c r="AX26" s="96"/>
      <c r="AY26" s="96"/>
      <c r="AZ26" s="96">
        <f>CEILING(AZ25*0.95,0.5)</f>
        <v>87</v>
      </c>
      <c r="BA26" s="96"/>
      <c r="BB26" s="96"/>
      <c r="BC26" s="96"/>
      <c r="BD26" s="96">
        <f>CEILING(BD25*0.95,0.5)</f>
        <v>90.5</v>
      </c>
      <c r="BE26" s="96"/>
      <c r="BF26" s="96"/>
      <c r="BG26" s="96"/>
      <c r="BH26" s="96">
        <f>CEILING(BH25*0.95,0.5)</f>
        <v>94</v>
      </c>
      <c r="BI26" s="96"/>
      <c r="BJ26" s="96"/>
      <c r="BK26" s="96"/>
    </row>
    <row r="27" spans="1:63" ht="16.5" customHeight="1">
      <c r="A27" s="183"/>
      <c r="B27" s="183"/>
      <c r="C27" s="183"/>
      <c r="D27" s="183"/>
      <c r="E27" s="183"/>
      <c r="F27" s="94"/>
      <c r="G27" s="94"/>
      <c r="H27" s="94"/>
      <c r="I27" s="97"/>
      <c r="J27" s="97"/>
      <c r="K27" s="97"/>
      <c r="L27" s="97"/>
      <c r="M27" s="97"/>
      <c r="N27" s="98" t="s">
        <v>12</v>
      </c>
      <c r="O27" s="98"/>
      <c r="P27" s="96">
        <f>CEILING(P24*0.28+5,0.5)</f>
        <v>64</v>
      </c>
      <c r="Q27" s="96"/>
      <c r="R27" s="96"/>
      <c r="S27" s="96"/>
      <c r="T27" s="96">
        <f>CEILING(T24*0.28+5,0.5)</f>
        <v>66.5</v>
      </c>
      <c r="U27" s="96"/>
      <c r="V27" s="96"/>
      <c r="W27" s="96"/>
      <c r="X27" s="96">
        <f>CEILING(X24*0.28+5,0.5)</f>
        <v>69.5</v>
      </c>
      <c r="Y27" s="96"/>
      <c r="Z27" s="96"/>
      <c r="AA27" s="96"/>
      <c r="AB27" s="96">
        <f>CEILING(AB24*0.28+5,0.5)</f>
        <v>72.5</v>
      </c>
      <c r="AC27" s="96"/>
      <c r="AD27" s="96"/>
      <c r="AE27" s="96"/>
      <c r="AG27" s="184"/>
      <c r="AH27" s="184"/>
      <c r="AI27" s="184"/>
      <c r="AJ27" s="184"/>
      <c r="AK27" s="184"/>
      <c r="AL27" s="94"/>
      <c r="AM27" s="94"/>
      <c r="AN27" s="94"/>
      <c r="AO27" s="97"/>
      <c r="AP27" s="97"/>
      <c r="AQ27" s="97"/>
      <c r="AR27" s="97"/>
      <c r="AS27" s="97"/>
      <c r="AT27" s="98" t="s">
        <v>12</v>
      </c>
      <c r="AU27" s="98"/>
      <c r="AV27" s="96">
        <f>CEILING(AV24*0.35+5,0.5)</f>
        <v>79.5</v>
      </c>
      <c r="AW27" s="96"/>
      <c r="AX27" s="96"/>
      <c r="AY27" s="96"/>
      <c r="AZ27" s="96">
        <f>CEILING(AZ24*0.35+5,0.5)</f>
        <v>83</v>
      </c>
      <c r="BA27" s="96"/>
      <c r="BB27" s="96"/>
      <c r="BC27" s="96"/>
      <c r="BD27" s="96">
        <f>CEILING(BD24*0.35+5,0.5)</f>
        <v>86.5</v>
      </c>
      <c r="BE27" s="96"/>
      <c r="BF27" s="96"/>
      <c r="BG27" s="96"/>
      <c r="BH27" s="96">
        <f>CEILING(BH24*0.35+5,0.5)</f>
        <v>90</v>
      </c>
      <c r="BI27" s="96"/>
      <c r="BJ27" s="96"/>
      <c r="BK27" s="96"/>
    </row>
    <row r="28" spans="1:63" ht="16.5" customHeight="1">
      <c r="A28" s="183"/>
      <c r="B28" s="183"/>
      <c r="C28" s="183"/>
      <c r="D28" s="183"/>
      <c r="E28" s="183"/>
      <c r="F28" s="94"/>
      <c r="G28" s="94"/>
      <c r="H28" s="94"/>
      <c r="I28" s="82" t="s">
        <v>21</v>
      </c>
      <c r="J28" s="82"/>
      <c r="K28" s="82"/>
      <c r="L28" s="82"/>
      <c r="M28" s="82"/>
      <c r="N28" s="84" t="s">
        <v>10</v>
      </c>
      <c r="O28" s="84"/>
      <c r="P28" s="83">
        <f>P22-4</f>
        <v>226.5</v>
      </c>
      <c r="Q28" s="83"/>
      <c r="R28" s="83"/>
      <c r="S28" s="83"/>
      <c r="T28" s="83">
        <f>P28+8</f>
        <v>234.5</v>
      </c>
      <c r="U28" s="83"/>
      <c r="V28" s="83"/>
      <c r="W28" s="83"/>
      <c r="X28" s="83">
        <f>T28+8</f>
        <v>242.5</v>
      </c>
      <c r="Y28" s="83"/>
      <c r="Z28" s="83"/>
      <c r="AA28" s="83"/>
      <c r="AB28" s="83">
        <f>X28+8</f>
        <v>250.5</v>
      </c>
      <c r="AC28" s="83"/>
      <c r="AD28" s="83"/>
      <c r="AE28" s="83"/>
      <c r="AG28" s="184"/>
      <c r="AH28" s="184"/>
      <c r="AI28" s="184"/>
      <c r="AJ28" s="184"/>
      <c r="AK28" s="184"/>
      <c r="AL28" s="94"/>
      <c r="AM28" s="94"/>
      <c r="AN28" s="94"/>
      <c r="AO28" s="158" t="s">
        <v>21</v>
      </c>
      <c r="AP28" s="158"/>
      <c r="AQ28" s="158"/>
      <c r="AR28" s="158"/>
      <c r="AS28" s="158"/>
      <c r="AT28" s="84" t="s">
        <v>10</v>
      </c>
      <c r="AU28" s="84"/>
      <c r="AV28" s="83">
        <f>AV22-4</f>
        <v>232</v>
      </c>
      <c r="AW28" s="83"/>
      <c r="AX28" s="83"/>
      <c r="AY28" s="83"/>
      <c r="AZ28" s="83">
        <f>AV28+8</f>
        <v>240</v>
      </c>
      <c r="BA28" s="83"/>
      <c r="BB28" s="83"/>
      <c r="BC28" s="83"/>
      <c r="BD28" s="83">
        <f>AZ28+8</f>
        <v>248</v>
      </c>
      <c r="BE28" s="83"/>
      <c r="BF28" s="83"/>
      <c r="BG28" s="83"/>
      <c r="BH28" s="83">
        <f>BD28+8</f>
        <v>256</v>
      </c>
      <c r="BI28" s="83"/>
      <c r="BJ28" s="83"/>
      <c r="BK28" s="83"/>
    </row>
    <row r="29" spans="1:63" ht="16.5" customHeight="1">
      <c r="A29" s="183"/>
      <c r="B29" s="183"/>
      <c r="C29" s="183"/>
      <c r="D29" s="183"/>
      <c r="E29" s="183"/>
      <c r="F29" s="94"/>
      <c r="G29" s="94"/>
      <c r="H29" s="94"/>
      <c r="I29" s="82"/>
      <c r="J29" s="82"/>
      <c r="K29" s="82"/>
      <c r="L29" s="82"/>
      <c r="M29" s="82"/>
      <c r="N29" s="84" t="s">
        <v>11</v>
      </c>
      <c r="O29" s="84"/>
      <c r="P29" s="83">
        <f>CEILING(P28*0.95,0.5)</f>
        <v>215.5</v>
      </c>
      <c r="Q29" s="83"/>
      <c r="R29" s="83"/>
      <c r="S29" s="83"/>
      <c r="T29" s="83">
        <f>CEILING(T28*0.95,0.5)</f>
        <v>223</v>
      </c>
      <c r="U29" s="83"/>
      <c r="V29" s="83"/>
      <c r="W29" s="83"/>
      <c r="X29" s="83">
        <f>CEILING(X28*0.95,0.5)</f>
        <v>230.5</v>
      </c>
      <c r="Y29" s="83"/>
      <c r="Z29" s="83"/>
      <c r="AA29" s="83"/>
      <c r="AB29" s="83">
        <f>CEILING(AB28*0.95,0.5)</f>
        <v>238</v>
      </c>
      <c r="AC29" s="83"/>
      <c r="AD29" s="83"/>
      <c r="AE29" s="83"/>
      <c r="AG29" s="184"/>
      <c r="AH29" s="184"/>
      <c r="AI29" s="184"/>
      <c r="AJ29" s="184"/>
      <c r="AK29" s="184"/>
      <c r="AL29" s="94"/>
      <c r="AM29" s="94"/>
      <c r="AN29" s="94"/>
      <c r="AO29" s="158"/>
      <c r="AP29" s="158"/>
      <c r="AQ29" s="158"/>
      <c r="AR29" s="158"/>
      <c r="AS29" s="158"/>
      <c r="AT29" s="84" t="s">
        <v>11</v>
      </c>
      <c r="AU29" s="84"/>
      <c r="AV29" s="83">
        <f>CEILING(AV28*0.95,0.5)</f>
        <v>220.5</v>
      </c>
      <c r="AW29" s="83"/>
      <c r="AX29" s="83"/>
      <c r="AY29" s="83"/>
      <c r="AZ29" s="83">
        <f>CEILING(AZ28*0.95,0.5)</f>
        <v>228</v>
      </c>
      <c r="BA29" s="83"/>
      <c r="BB29" s="83"/>
      <c r="BC29" s="83"/>
      <c r="BD29" s="83">
        <f>CEILING(BD28*0.95,0.5)</f>
        <v>236</v>
      </c>
      <c r="BE29" s="83"/>
      <c r="BF29" s="83"/>
      <c r="BG29" s="83"/>
      <c r="BH29" s="83">
        <f>CEILING(BH28*0.95,0.5)</f>
        <v>243.5</v>
      </c>
      <c r="BI29" s="83"/>
      <c r="BJ29" s="83"/>
      <c r="BK29" s="83"/>
    </row>
    <row r="30" spans="1:63" ht="16.5" customHeight="1">
      <c r="A30" s="183"/>
      <c r="B30" s="183"/>
      <c r="C30" s="183"/>
      <c r="D30" s="183"/>
      <c r="E30" s="183"/>
      <c r="F30" s="94"/>
      <c r="G30" s="94"/>
      <c r="H30" s="94"/>
      <c r="I30" s="82"/>
      <c r="J30" s="82"/>
      <c r="K30" s="82"/>
      <c r="L30" s="82"/>
      <c r="M30" s="82"/>
      <c r="N30" s="84" t="s">
        <v>12</v>
      </c>
      <c r="O30" s="84"/>
      <c r="P30" s="83">
        <f>P24-4</f>
        <v>205.5</v>
      </c>
      <c r="Q30" s="83"/>
      <c r="R30" s="83"/>
      <c r="S30" s="83"/>
      <c r="T30" s="83">
        <f>P30+8</f>
        <v>213.5</v>
      </c>
      <c r="U30" s="83"/>
      <c r="V30" s="83"/>
      <c r="W30" s="83"/>
      <c r="X30" s="83">
        <f>T30+8</f>
        <v>221.5</v>
      </c>
      <c r="Y30" s="83"/>
      <c r="Z30" s="83"/>
      <c r="AA30" s="83"/>
      <c r="AB30" s="83">
        <f>X30+8</f>
        <v>229.5</v>
      </c>
      <c r="AC30" s="83"/>
      <c r="AD30" s="83"/>
      <c r="AE30" s="83"/>
      <c r="AG30" s="184"/>
      <c r="AH30" s="184"/>
      <c r="AI30" s="184"/>
      <c r="AJ30" s="184"/>
      <c r="AK30" s="184"/>
      <c r="AL30" s="94"/>
      <c r="AM30" s="94"/>
      <c r="AN30" s="94"/>
      <c r="AO30" s="158"/>
      <c r="AP30" s="158"/>
      <c r="AQ30" s="158"/>
      <c r="AR30" s="158"/>
      <c r="AS30" s="158"/>
      <c r="AT30" s="84" t="s">
        <v>12</v>
      </c>
      <c r="AU30" s="84"/>
      <c r="AV30" s="83">
        <f>AV24-4</f>
        <v>208</v>
      </c>
      <c r="AW30" s="83"/>
      <c r="AX30" s="83"/>
      <c r="AY30" s="83"/>
      <c r="AZ30" s="83">
        <f>AV30+8</f>
        <v>216</v>
      </c>
      <c r="BA30" s="83"/>
      <c r="BB30" s="83"/>
      <c r="BC30" s="83"/>
      <c r="BD30" s="83">
        <f>AZ30+8</f>
        <v>224</v>
      </c>
      <c r="BE30" s="83"/>
      <c r="BF30" s="83"/>
      <c r="BG30" s="83"/>
      <c r="BH30" s="83">
        <f>BD30+8</f>
        <v>232</v>
      </c>
      <c r="BI30" s="83"/>
      <c r="BJ30" s="83"/>
      <c r="BK30" s="83"/>
    </row>
    <row r="31" spans="1:63" ht="16.5" customHeight="1">
      <c r="A31" s="183"/>
      <c r="B31" s="183"/>
      <c r="C31" s="183"/>
      <c r="D31" s="183"/>
      <c r="E31" s="183"/>
      <c r="F31" s="94"/>
      <c r="G31" s="94"/>
      <c r="H31" s="94"/>
      <c r="I31" s="80" t="s">
        <v>59</v>
      </c>
      <c r="J31" s="80"/>
      <c r="K31" s="80"/>
      <c r="L31" s="80"/>
      <c r="M31" s="80"/>
      <c r="N31" s="81" t="s">
        <v>58</v>
      </c>
      <c r="O31" s="81"/>
      <c r="P31" s="89">
        <f>CEILING(P28*0.28+5,0.5)</f>
        <v>68.5</v>
      </c>
      <c r="Q31" s="89"/>
      <c r="R31" s="89"/>
      <c r="S31" s="89"/>
      <c r="T31" s="89">
        <f>CEILING(T28*0.28+5,0.5)</f>
        <v>71</v>
      </c>
      <c r="U31" s="89"/>
      <c r="V31" s="89"/>
      <c r="W31" s="89"/>
      <c r="X31" s="89">
        <f>CEILING(X28*0.28+5,0.5)</f>
        <v>73</v>
      </c>
      <c r="Y31" s="89"/>
      <c r="Z31" s="89"/>
      <c r="AA31" s="89"/>
      <c r="AB31" s="89">
        <f>CEILING(AB28*0.28+5,0.5)</f>
        <v>75.5</v>
      </c>
      <c r="AC31" s="89"/>
      <c r="AD31" s="89"/>
      <c r="AE31" s="89"/>
      <c r="AG31" s="184"/>
      <c r="AH31" s="184"/>
      <c r="AI31" s="184"/>
      <c r="AJ31" s="184"/>
      <c r="AK31" s="184"/>
      <c r="AL31" s="94"/>
      <c r="AM31" s="94"/>
      <c r="AN31" s="94"/>
      <c r="AO31" s="80" t="s">
        <v>22</v>
      </c>
      <c r="AP31" s="80"/>
      <c r="AQ31" s="80"/>
      <c r="AR31" s="80"/>
      <c r="AS31" s="80"/>
      <c r="AT31" s="81" t="s">
        <v>58</v>
      </c>
      <c r="AU31" s="81"/>
      <c r="AV31" s="89">
        <f>CEILING(AV28*0.35+5,0.5)</f>
        <v>86.5</v>
      </c>
      <c r="AW31" s="89"/>
      <c r="AX31" s="89"/>
      <c r="AY31" s="89"/>
      <c r="AZ31" s="89">
        <f>CEILING(AZ28*0.35+5,0.5)</f>
        <v>89</v>
      </c>
      <c r="BA31" s="89"/>
      <c r="BB31" s="89"/>
      <c r="BC31" s="89"/>
      <c r="BD31" s="89">
        <f>CEILING(BD28*0.35+5,0.5)</f>
        <v>92</v>
      </c>
      <c r="BE31" s="89"/>
      <c r="BF31" s="89"/>
      <c r="BG31" s="89"/>
      <c r="BH31" s="89">
        <f>CEILING(BH28*0.35+5,0.5)</f>
        <v>95</v>
      </c>
      <c r="BI31" s="89"/>
      <c r="BJ31" s="89"/>
      <c r="BK31" s="89"/>
    </row>
    <row r="32" spans="1:63" ht="16.5" customHeight="1">
      <c r="A32" s="183"/>
      <c r="B32" s="183"/>
      <c r="C32" s="183"/>
      <c r="D32" s="183"/>
      <c r="E32" s="183"/>
      <c r="F32" s="94"/>
      <c r="G32" s="94"/>
      <c r="H32" s="94"/>
      <c r="I32" s="80"/>
      <c r="J32" s="80"/>
      <c r="K32" s="80"/>
      <c r="L32" s="80"/>
      <c r="M32" s="80"/>
      <c r="N32" s="81" t="s">
        <v>11</v>
      </c>
      <c r="O32" s="81"/>
      <c r="P32" s="89">
        <f>CEILING(P31*0.95,0.5)</f>
        <v>65.5</v>
      </c>
      <c r="Q32" s="89"/>
      <c r="R32" s="89"/>
      <c r="S32" s="89"/>
      <c r="T32" s="89">
        <f>CEILING(T31*0.95,0.5)</f>
        <v>67.5</v>
      </c>
      <c r="U32" s="89"/>
      <c r="V32" s="89"/>
      <c r="W32" s="89"/>
      <c r="X32" s="89">
        <f>CEILING(X31*0.95,0.5)</f>
        <v>69.5</v>
      </c>
      <c r="Y32" s="89"/>
      <c r="Z32" s="89"/>
      <c r="AA32" s="89"/>
      <c r="AB32" s="89">
        <f>CEILING(AB31*0.95,0.5)</f>
        <v>72</v>
      </c>
      <c r="AC32" s="89"/>
      <c r="AD32" s="89"/>
      <c r="AE32" s="89"/>
      <c r="AG32" s="184"/>
      <c r="AH32" s="184"/>
      <c r="AI32" s="184"/>
      <c r="AJ32" s="184"/>
      <c r="AK32" s="184"/>
      <c r="AL32" s="94"/>
      <c r="AM32" s="94"/>
      <c r="AN32" s="94"/>
      <c r="AO32" s="80"/>
      <c r="AP32" s="80"/>
      <c r="AQ32" s="80"/>
      <c r="AR32" s="80"/>
      <c r="AS32" s="80"/>
      <c r="AT32" s="81" t="s">
        <v>11</v>
      </c>
      <c r="AU32" s="81"/>
      <c r="AV32" s="89">
        <f>CEILING(AV31*0.95,0.5)</f>
        <v>82.5</v>
      </c>
      <c r="AW32" s="89"/>
      <c r="AX32" s="89"/>
      <c r="AY32" s="89"/>
      <c r="AZ32" s="89">
        <f>CEILING(AZ31*0.95,0.5)</f>
        <v>85</v>
      </c>
      <c r="BA32" s="89"/>
      <c r="BB32" s="89"/>
      <c r="BC32" s="89"/>
      <c r="BD32" s="89">
        <f>CEILING(BD31*0.95,0.5)</f>
        <v>87.5</v>
      </c>
      <c r="BE32" s="89"/>
      <c r="BF32" s="89"/>
      <c r="BG32" s="89"/>
      <c r="BH32" s="89">
        <f>CEILING(BH31*0.95,0.5)</f>
        <v>90.5</v>
      </c>
      <c r="BI32" s="89"/>
      <c r="BJ32" s="89"/>
      <c r="BK32" s="89"/>
    </row>
    <row r="33" spans="1:63" ht="16.5" customHeight="1">
      <c r="A33" s="183"/>
      <c r="B33" s="183"/>
      <c r="C33" s="183"/>
      <c r="D33" s="183"/>
      <c r="E33" s="183"/>
      <c r="F33" s="94"/>
      <c r="G33" s="94"/>
      <c r="H33" s="94"/>
      <c r="I33" s="80"/>
      <c r="J33" s="80"/>
      <c r="K33" s="80"/>
      <c r="L33" s="80"/>
      <c r="M33" s="80"/>
      <c r="N33" s="81" t="s">
        <v>12</v>
      </c>
      <c r="O33" s="81"/>
      <c r="P33" s="89">
        <f>CEILING(P30*0.28+5,0.5)</f>
        <v>63</v>
      </c>
      <c r="Q33" s="89"/>
      <c r="R33" s="89"/>
      <c r="S33" s="89"/>
      <c r="T33" s="89">
        <f>CEILING(T30*0.28+5,0.5)</f>
        <v>65</v>
      </c>
      <c r="U33" s="89"/>
      <c r="V33" s="89"/>
      <c r="W33" s="89"/>
      <c r="X33" s="89">
        <f>CEILING(X30*0.28+5,0.5)</f>
        <v>67.5</v>
      </c>
      <c r="Y33" s="89"/>
      <c r="Z33" s="89"/>
      <c r="AA33" s="89"/>
      <c r="AB33" s="89">
        <f>CEILING(AB30*0.28+5,0.5)</f>
        <v>69.5</v>
      </c>
      <c r="AC33" s="89"/>
      <c r="AD33" s="89"/>
      <c r="AE33" s="89"/>
      <c r="AG33" s="184"/>
      <c r="AH33" s="184"/>
      <c r="AI33" s="184"/>
      <c r="AJ33" s="184"/>
      <c r="AK33" s="184"/>
      <c r="AL33" s="94"/>
      <c r="AM33" s="94"/>
      <c r="AN33" s="94"/>
      <c r="AO33" s="80"/>
      <c r="AP33" s="80"/>
      <c r="AQ33" s="80"/>
      <c r="AR33" s="80"/>
      <c r="AS33" s="80"/>
      <c r="AT33" s="81" t="s">
        <v>12</v>
      </c>
      <c r="AU33" s="81"/>
      <c r="AV33" s="89">
        <f>CEILING(AV30*0.35+5,0.5)</f>
        <v>78</v>
      </c>
      <c r="AW33" s="89"/>
      <c r="AX33" s="89"/>
      <c r="AY33" s="89"/>
      <c r="AZ33" s="89">
        <f>CEILING(AZ30*0.35+5,0.5)</f>
        <v>81</v>
      </c>
      <c r="BA33" s="89"/>
      <c r="BB33" s="89"/>
      <c r="BC33" s="89"/>
      <c r="BD33" s="89">
        <f>CEILING(BD30*0.35+5,0.5)</f>
        <v>83.5</v>
      </c>
      <c r="BE33" s="89"/>
      <c r="BF33" s="89"/>
      <c r="BG33" s="89"/>
      <c r="BH33" s="89">
        <f>CEILING(BH30*0.35+5,0.5)</f>
        <v>86.5</v>
      </c>
      <c r="BI33" s="89"/>
      <c r="BJ33" s="89"/>
      <c r="BK33" s="89"/>
    </row>
    <row r="34" spans="1:63" ht="16.5" customHeight="1" thickBot="1">
      <c r="A34" s="9" t="s">
        <v>60</v>
      </c>
      <c r="F34" s="27"/>
      <c r="G34" s="27"/>
      <c r="H34" s="27"/>
      <c r="I34" s="28"/>
      <c r="J34" s="28"/>
      <c r="K34" s="28"/>
      <c r="L34" s="28"/>
      <c r="M34" s="28"/>
      <c r="N34" s="22"/>
      <c r="O34" s="22"/>
      <c r="P34" s="29"/>
      <c r="Q34" s="29"/>
      <c r="R34" s="29"/>
      <c r="S34" s="29"/>
      <c r="T34" s="29"/>
      <c r="U34" s="29"/>
      <c r="V34" s="29"/>
      <c r="W34" s="29"/>
      <c r="X34" s="29"/>
      <c r="Y34" s="29"/>
      <c r="Z34" s="29"/>
      <c r="AA34" s="29"/>
      <c r="AB34" s="29"/>
      <c r="AC34" s="29"/>
      <c r="AD34" s="29"/>
      <c r="AE34" s="29"/>
      <c r="AG34" s="39"/>
      <c r="AH34" s="39"/>
      <c r="AI34" s="39"/>
      <c r="AJ34" s="39"/>
      <c r="AK34" s="39"/>
      <c r="AL34" s="27"/>
      <c r="AM34" s="27"/>
      <c r="AN34" s="27"/>
      <c r="AO34" s="28"/>
      <c r="AP34" s="28"/>
      <c r="AQ34" s="28"/>
      <c r="AR34" s="28"/>
      <c r="AS34" s="28"/>
      <c r="AT34" s="22"/>
      <c r="AU34" s="22"/>
      <c r="AV34" s="29"/>
      <c r="AW34" s="29"/>
      <c r="AX34" s="29"/>
      <c r="AY34" s="29"/>
      <c r="AZ34" s="29"/>
      <c r="BA34" s="29"/>
      <c r="BB34" s="29"/>
      <c r="BC34" s="29"/>
      <c r="BD34" s="29"/>
      <c r="BE34" s="29"/>
      <c r="BF34" s="29"/>
      <c r="BG34" s="29"/>
      <c r="BH34" s="29"/>
      <c r="BI34" s="29"/>
      <c r="BJ34" s="29"/>
      <c r="BK34" s="29"/>
    </row>
    <row r="35" spans="1:63" ht="16.5" customHeight="1" thickTop="1">
      <c r="A35" s="9" t="s">
        <v>25</v>
      </c>
      <c r="AF35" s="40"/>
      <c r="AG35" s="40"/>
      <c r="AH35" s="40"/>
      <c r="AI35" s="40"/>
      <c r="AJ35" s="40"/>
      <c r="AK35" s="27"/>
      <c r="AL35" s="27"/>
      <c r="AM35" s="27"/>
      <c r="AN35" s="28"/>
      <c r="AO35" s="28"/>
      <c r="AP35" s="90" t="s">
        <v>27</v>
      </c>
      <c r="AQ35" s="91"/>
      <c r="AR35" s="91"/>
      <c r="AS35" s="91"/>
      <c r="AT35" s="91"/>
      <c r="AU35" s="91"/>
      <c r="AV35" s="91"/>
      <c r="AW35" s="91"/>
      <c r="AX35" s="91"/>
      <c r="AY35" s="91"/>
      <c r="AZ35" s="91"/>
      <c r="BA35" s="91"/>
      <c r="BB35" s="91"/>
      <c r="BC35" s="91"/>
      <c r="BD35" s="91"/>
      <c r="BE35" s="91"/>
      <c r="BF35" s="91"/>
      <c r="BG35" s="91"/>
      <c r="BH35" s="91"/>
      <c r="BI35" s="92"/>
      <c r="BJ35" s="29"/>
      <c r="BK35" s="29"/>
    </row>
    <row r="36" spans="1:63" ht="16.5" customHeight="1" thickBot="1">
      <c r="A36" s="9" t="s">
        <v>26</v>
      </c>
      <c r="AF36" s="40"/>
      <c r="AG36" s="40"/>
      <c r="AH36" s="40"/>
      <c r="AI36" s="40"/>
      <c r="AJ36" s="40"/>
      <c r="AK36" s="27"/>
      <c r="AL36" s="27"/>
      <c r="AM36" s="27"/>
      <c r="AN36" s="28"/>
      <c r="AP36" s="159" t="s">
        <v>61</v>
      </c>
      <c r="AQ36" s="160"/>
      <c r="AR36" s="160"/>
      <c r="AS36" s="160"/>
      <c r="AT36" s="160"/>
      <c r="AU36" s="160"/>
      <c r="AV36" s="160"/>
      <c r="AW36" s="161"/>
      <c r="AX36" s="160" t="s">
        <v>29</v>
      </c>
      <c r="AY36" s="160"/>
      <c r="AZ36" s="160"/>
      <c r="BA36" s="160"/>
      <c r="BB36" s="160"/>
      <c r="BC36" s="160"/>
      <c r="BD36" s="160"/>
      <c r="BE36" s="160"/>
      <c r="BF36" s="160"/>
      <c r="BG36" s="160"/>
      <c r="BH36" s="160"/>
      <c r="BI36" s="162"/>
      <c r="BJ36" s="29"/>
      <c r="BK36" s="29"/>
    </row>
    <row r="37" spans="1:63" ht="16.5" customHeight="1" thickTop="1">
      <c r="A37" s="9"/>
      <c r="AF37" s="40"/>
      <c r="AG37" s="40"/>
      <c r="AH37" s="40"/>
      <c r="AI37" s="40"/>
      <c r="AJ37" s="40"/>
      <c r="AK37" s="27"/>
      <c r="AL37" s="27"/>
      <c r="AM37" s="27"/>
      <c r="AN37" s="28"/>
      <c r="AP37" s="30"/>
      <c r="AQ37" s="30"/>
      <c r="AR37" s="30"/>
      <c r="AS37" s="30"/>
      <c r="AT37" s="30"/>
      <c r="AU37" s="30"/>
      <c r="AV37" s="30"/>
      <c r="AW37" s="30"/>
      <c r="AX37" s="30"/>
      <c r="AY37" s="30"/>
      <c r="AZ37" s="30"/>
      <c r="BA37" s="30"/>
      <c r="BB37" s="30"/>
      <c r="BC37" s="30"/>
      <c r="BD37" s="30"/>
      <c r="BE37" s="30"/>
      <c r="BF37" s="30"/>
      <c r="BG37" s="30"/>
      <c r="BH37" s="30"/>
      <c r="BI37" s="30"/>
      <c r="BJ37" s="29"/>
      <c r="BK37" s="29"/>
    </row>
    <row r="38" spans="1:63" ht="16.5" customHeight="1">
      <c r="AF38" s="40"/>
      <c r="AG38" s="40"/>
      <c r="AH38" s="40"/>
      <c r="AI38" s="40"/>
      <c r="AJ38" s="40"/>
      <c r="AK38" s="27"/>
      <c r="AL38" s="27"/>
      <c r="AM38" s="27"/>
      <c r="AN38" s="28"/>
      <c r="AP38" s="14"/>
      <c r="AQ38" s="14"/>
      <c r="AR38" s="14"/>
      <c r="AS38" s="14"/>
      <c r="AT38" s="14"/>
      <c r="AU38" s="14"/>
      <c r="AV38" s="14"/>
      <c r="AW38" s="14"/>
      <c r="AX38" s="14"/>
      <c r="AY38" s="14"/>
      <c r="AZ38" s="14"/>
      <c r="BA38" s="14"/>
      <c r="BB38" s="14"/>
      <c r="BC38" s="14"/>
      <c r="BD38" s="14"/>
      <c r="BE38" s="14"/>
      <c r="BF38" s="14"/>
      <c r="BG38" s="14"/>
      <c r="BH38" s="14"/>
      <c r="BI38" s="14"/>
      <c r="BJ38" s="29"/>
      <c r="BK38" s="29"/>
    </row>
    <row r="39" spans="1:63" ht="16.5" customHeight="1">
      <c r="AF39" s="40"/>
      <c r="AG39" s="40"/>
      <c r="AH39" s="40"/>
      <c r="AI39" s="40"/>
      <c r="AJ39" s="40"/>
      <c r="AK39" s="27"/>
      <c r="AL39" s="27"/>
      <c r="AM39" s="27"/>
      <c r="AN39" s="28"/>
      <c r="AP39" s="14"/>
      <c r="AQ39" s="14"/>
      <c r="AR39" s="14"/>
      <c r="AS39" s="14"/>
      <c r="AT39" s="14"/>
      <c r="AU39" s="14"/>
      <c r="AV39" s="14"/>
      <c r="AW39" s="14"/>
      <c r="AX39" s="14"/>
      <c r="AY39" s="14"/>
      <c r="AZ39" s="14"/>
      <c r="BA39" s="14"/>
      <c r="BB39" s="14"/>
      <c r="BC39" s="14"/>
      <c r="BD39" s="14"/>
      <c r="BE39" s="14"/>
      <c r="BF39" s="14"/>
      <c r="BG39" s="14"/>
      <c r="BH39" s="14"/>
      <c r="BI39" s="14"/>
      <c r="BJ39" s="29"/>
      <c r="BK39" s="29"/>
    </row>
    <row r="40" spans="1:63" ht="16.5" customHeight="1">
      <c r="AF40" s="40"/>
      <c r="AG40" s="40"/>
      <c r="AH40" s="40"/>
      <c r="AI40" s="40"/>
      <c r="AJ40" s="40"/>
      <c r="AK40" s="27"/>
      <c r="AL40" s="27"/>
      <c r="AM40" s="27"/>
      <c r="AN40" s="28"/>
      <c r="BI40" s="29"/>
      <c r="BJ40" s="29"/>
      <c r="BK40" s="29"/>
    </row>
    <row r="41" spans="1:63" ht="16.5" customHeight="1">
      <c r="AF41" s="40"/>
      <c r="AG41" s="40"/>
      <c r="AH41" s="40"/>
      <c r="AI41" s="40"/>
      <c r="AJ41" s="40"/>
      <c r="AK41" s="27"/>
      <c r="AL41" s="27"/>
      <c r="AM41" s="27"/>
      <c r="AN41" s="28"/>
      <c r="AO41" s="12"/>
      <c r="AP41" s="12"/>
      <c r="AQ41" s="12"/>
      <c r="AR41" s="12"/>
      <c r="AS41" s="12"/>
      <c r="AT41" s="12"/>
      <c r="AU41" s="12"/>
      <c r="AV41" s="12"/>
      <c r="AW41" s="12"/>
      <c r="AX41" s="12"/>
      <c r="AY41" s="12"/>
      <c r="AZ41" s="12"/>
      <c r="BA41" s="12"/>
      <c r="BB41" s="12"/>
      <c r="BC41" s="12"/>
      <c r="BD41" s="12"/>
      <c r="BE41" s="12"/>
      <c r="BF41" s="12"/>
      <c r="BG41" s="12"/>
      <c r="BH41" s="12"/>
      <c r="BI41" s="29"/>
      <c r="BJ41" s="29"/>
      <c r="BK41" s="29"/>
    </row>
    <row r="42" spans="1:63" ht="16.5" customHeight="1">
      <c r="AF42" s="40"/>
      <c r="AG42" s="40"/>
      <c r="AH42" s="40"/>
      <c r="AI42" s="40"/>
      <c r="AJ42" s="40"/>
      <c r="AK42" s="27"/>
      <c r="AL42" s="27"/>
      <c r="AM42" s="27"/>
      <c r="AN42" s="28"/>
      <c r="AO42" s="12"/>
      <c r="AP42" s="12"/>
      <c r="AQ42" s="12"/>
      <c r="AR42" s="12"/>
      <c r="AS42" s="12"/>
      <c r="AT42" s="12"/>
      <c r="AU42" s="12"/>
      <c r="AV42" s="12"/>
      <c r="AW42" s="12"/>
      <c r="AX42" s="12"/>
      <c r="AY42" s="12"/>
      <c r="AZ42" s="12"/>
      <c r="BA42" s="12"/>
      <c r="BB42" s="12"/>
      <c r="BC42" s="12"/>
      <c r="BD42" s="12"/>
      <c r="BE42" s="12"/>
      <c r="BF42" s="12"/>
      <c r="BG42" s="12"/>
      <c r="BH42" s="12"/>
      <c r="BI42" s="29"/>
      <c r="BJ42" s="29"/>
      <c r="BK42" s="29"/>
    </row>
    <row r="43" spans="1:63" ht="16.5" customHeight="1">
      <c r="AF43" s="40"/>
      <c r="AG43" s="40"/>
      <c r="AH43" s="40"/>
      <c r="AI43" s="40"/>
      <c r="AJ43" s="40"/>
      <c r="AK43" s="27"/>
      <c r="AL43" s="27"/>
      <c r="AM43" s="27"/>
      <c r="AN43" s="28"/>
      <c r="AO43" s="12"/>
      <c r="AP43" s="12"/>
      <c r="AQ43" s="12"/>
      <c r="AR43" s="12"/>
      <c r="AS43" s="12"/>
      <c r="AT43" s="12"/>
      <c r="AU43" s="12"/>
      <c r="AV43" s="12"/>
      <c r="AW43" s="12"/>
      <c r="AX43" s="12"/>
      <c r="AY43" s="12"/>
      <c r="AZ43" s="12"/>
      <c r="BA43" s="12"/>
      <c r="BB43" s="12"/>
      <c r="BC43" s="12"/>
      <c r="BD43" s="12"/>
      <c r="BE43" s="12"/>
      <c r="BF43" s="12"/>
      <c r="BG43" s="12"/>
      <c r="BH43" s="12"/>
      <c r="BI43" s="29"/>
      <c r="BJ43" s="29"/>
      <c r="BK43" s="29"/>
    </row>
    <row r="44" spans="1:63" ht="16.5" customHeight="1">
      <c r="AF44" s="40"/>
      <c r="AG44" s="40"/>
      <c r="AH44" s="40"/>
      <c r="AI44" s="40"/>
      <c r="AJ44" s="40"/>
      <c r="AK44" s="27"/>
      <c r="AL44" s="27"/>
      <c r="AM44" s="27"/>
      <c r="AN44" s="28"/>
      <c r="AO44" s="12"/>
      <c r="AP44" s="12"/>
      <c r="AQ44" s="12"/>
      <c r="AR44" s="12"/>
      <c r="AS44" s="12"/>
      <c r="AT44" s="12"/>
      <c r="AU44" s="12"/>
      <c r="AV44" s="12"/>
      <c r="AW44" s="12"/>
      <c r="AX44" s="12"/>
      <c r="AY44" s="12"/>
      <c r="AZ44" s="12"/>
      <c r="BA44" s="12"/>
      <c r="BB44" s="12"/>
      <c r="BC44" s="12"/>
      <c r="BD44" s="12"/>
      <c r="BE44" s="12"/>
      <c r="BF44" s="12"/>
      <c r="BG44" s="12"/>
      <c r="BH44" s="12"/>
      <c r="BI44" s="29"/>
      <c r="BJ44" s="29"/>
      <c r="BK44" s="29"/>
    </row>
    <row r="45" spans="1:63" ht="16.5" customHeight="1">
      <c r="AF45" s="40"/>
      <c r="AG45" s="40"/>
      <c r="AH45" s="40"/>
      <c r="AI45" s="40"/>
      <c r="AJ45" s="40"/>
      <c r="AK45" s="27"/>
      <c r="AL45" s="27"/>
      <c r="AM45" s="27"/>
      <c r="AN45" s="28"/>
      <c r="AO45" s="12"/>
      <c r="AP45" s="12"/>
      <c r="AQ45" s="12"/>
      <c r="AR45" s="12"/>
      <c r="AS45" s="12"/>
      <c r="AT45" s="12"/>
      <c r="AU45" s="12"/>
      <c r="AV45" s="12"/>
      <c r="AW45" s="12"/>
      <c r="AX45" s="12"/>
      <c r="AY45" s="12"/>
      <c r="AZ45" s="12"/>
      <c r="BA45" s="12"/>
      <c r="BB45" s="12"/>
      <c r="BC45" s="12"/>
      <c r="BD45" s="12"/>
      <c r="BE45" s="12"/>
      <c r="BF45" s="12"/>
      <c r="BG45" s="12"/>
      <c r="BH45" s="12"/>
      <c r="BI45" s="29"/>
      <c r="BJ45" s="29"/>
      <c r="BK45" s="29"/>
    </row>
    <row r="46" spans="1:63" ht="16.5" customHeight="1">
      <c r="AF46" s="40"/>
      <c r="AG46" s="40"/>
      <c r="AH46" s="40"/>
      <c r="AI46" s="40"/>
      <c r="AJ46" s="40"/>
      <c r="AK46" s="27"/>
      <c r="AL46" s="27"/>
      <c r="AM46" s="27"/>
      <c r="AN46" s="28"/>
      <c r="AO46" s="12"/>
      <c r="AP46" s="12"/>
      <c r="AQ46" s="12"/>
      <c r="AR46" s="12"/>
      <c r="AS46" s="12"/>
      <c r="AT46" s="12"/>
      <c r="AU46" s="12"/>
      <c r="AV46" s="12"/>
      <c r="AW46" s="12"/>
      <c r="AX46" s="12"/>
      <c r="AY46" s="12"/>
      <c r="AZ46" s="12"/>
      <c r="BA46" s="12"/>
      <c r="BB46" s="12"/>
      <c r="BC46" s="12"/>
      <c r="BD46" s="12"/>
      <c r="BE46" s="12"/>
      <c r="BF46" s="12"/>
      <c r="BG46" s="12"/>
      <c r="BH46" s="12"/>
      <c r="BI46" s="29"/>
      <c r="BJ46" s="29"/>
      <c r="BK46" s="29"/>
    </row>
    <row r="47" spans="1:63" ht="16.5" customHeight="1">
      <c r="AF47" s="40"/>
      <c r="AG47" s="40"/>
      <c r="AH47" s="40"/>
      <c r="AI47" s="40"/>
      <c r="AJ47" s="40"/>
      <c r="AK47" s="27"/>
      <c r="AL47" s="27"/>
      <c r="AM47" s="27"/>
      <c r="AN47" s="28"/>
      <c r="AO47" s="12"/>
      <c r="AP47" s="12"/>
      <c r="AQ47" s="12"/>
      <c r="AR47" s="12"/>
      <c r="AS47" s="12"/>
      <c r="AT47" s="12"/>
      <c r="AU47" s="12"/>
      <c r="AV47" s="12"/>
      <c r="AW47" s="12"/>
      <c r="AX47" s="12"/>
      <c r="AY47" s="12"/>
      <c r="AZ47" s="12"/>
      <c r="BA47" s="12"/>
      <c r="BB47" s="12"/>
      <c r="BC47" s="12"/>
      <c r="BD47" s="12"/>
      <c r="BE47" s="12"/>
      <c r="BF47" s="12"/>
      <c r="BG47" s="12"/>
      <c r="BH47" s="12"/>
      <c r="BI47" s="29"/>
      <c r="BJ47" s="29"/>
      <c r="BK47" s="29"/>
    </row>
    <row r="48" spans="1:63" ht="16.5" customHeight="1">
      <c r="AF48" s="40"/>
      <c r="AG48" s="40"/>
      <c r="AH48" s="40"/>
      <c r="AI48" s="40"/>
      <c r="AJ48" s="40"/>
      <c r="AK48" s="27"/>
      <c r="AL48" s="27"/>
      <c r="AM48" s="27"/>
      <c r="AN48" s="28"/>
      <c r="AO48" s="12"/>
      <c r="AP48" s="12"/>
      <c r="AQ48" s="12"/>
      <c r="AR48" s="12"/>
      <c r="AS48" s="12"/>
      <c r="AT48" s="12"/>
      <c r="AU48" s="12"/>
      <c r="AV48" s="12"/>
      <c r="AW48" s="12"/>
      <c r="AX48" s="12"/>
      <c r="AY48" s="12"/>
      <c r="AZ48" s="12"/>
      <c r="BA48" s="12"/>
      <c r="BB48" s="12"/>
      <c r="BC48" s="12"/>
      <c r="BD48" s="12"/>
      <c r="BE48" s="12"/>
      <c r="BF48" s="12"/>
      <c r="BG48" s="12"/>
      <c r="BH48" s="12"/>
      <c r="BI48" s="29"/>
      <c r="BJ48" s="29"/>
      <c r="BK48" s="29"/>
    </row>
    <row r="49" spans="1:63" ht="16.5" customHeight="1">
      <c r="AF49" s="40"/>
      <c r="AG49" s="40"/>
      <c r="AH49" s="40"/>
      <c r="AI49" s="40"/>
      <c r="AJ49" s="40"/>
      <c r="AK49" s="27"/>
      <c r="AL49" s="27"/>
      <c r="AM49" s="27"/>
      <c r="AN49" s="28"/>
      <c r="AO49" s="12"/>
      <c r="AP49" s="12"/>
      <c r="AQ49" s="12"/>
      <c r="AR49" s="12"/>
      <c r="AS49" s="12"/>
      <c r="AT49" s="12"/>
      <c r="AU49" s="12"/>
      <c r="AV49" s="12"/>
      <c r="AW49" s="12"/>
      <c r="AX49" s="12"/>
      <c r="AY49" s="12"/>
      <c r="AZ49" s="12"/>
      <c r="BA49" s="12"/>
      <c r="BB49" s="12"/>
      <c r="BC49" s="12"/>
      <c r="BD49" s="12"/>
      <c r="BE49" s="12"/>
      <c r="BF49" s="12"/>
      <c r="BG49" s="12"/>
      <c r="BH49" s="12"/>
      <c r="BI49" s="29"/>
      <c r="BJ49" s="29"/>
      <c r="BK49" s="29"/>
    </row>
    <row r="50" spans="1:63" ht="16.5" customHeight="1">
      <c r="AF50" s="40"/>
      <c r="AG50" s="40"/>
      <c r="AH50" s="40"/>
      <c r="AI50" s="40"/>
      <c r="AJ50" s="40"/>
      <c r="AK50" s="27"/>
      <c r="AL50" s="27"/>
      <c r="AM50" s="27"/>
      <c r="AN50" s="28"/>
      <c r="AO50" s="12"/>
      <c r="AP50" s="12"/>
      <c r="AQ50" s="12"/>
      <c r="AR50" s="12"/>
      <c r="AS50" s="12"/>
      <c r="AT50" s="12"/>
      <c r="AU50" s="12"/>
      <c r="AV50" s="12"/>
      <c r="AW50" s="12"/>
      <c r="AX50" s="12"/>
      <c r="AY50" s="12"/>
      <c r="AZ50" s="12"/>
      <c r="BA50" s="12"/>
      <c r="BB50" s="12"/>
      <c r="BC50" s="12"/>
      <c r="BD50" s="12"/>
      <c r="BE50" s="12"/>
      <c r="BF50" s="12"/>
      <c r="BG50" s="12"/>
      <c r="BH50" s="12"/>
      <c r="BI50" s="29"/>
      <c r="BJ50" s="29"/>
      <c r="BK50" s="29"/>
    </row>
    <row r="51" spans="1:63" ht="16.5" customHeight="1">
      <c r="AF51" s="40"/>
      <c r="AG51" s="40"/>
      <c r="AH51" s="40"/>
      <c r="AI51" s="40"/>
      <c r="AJ51" s="40"/>
      <c r="AK51" s="27"/>
      <c r="AL51" s="27"/>
      <c r="AM51" s="27"/>
      <c r="AN51" s="28"/>
      <c r="AO51" s="12"/>
      <c r="AP51" s="12"/>
      <c r="AQ51" s="12"/>
      <c r="AR51" s="12"/>
      <c r="AS51" s="12"/>
      <c r="AT51" s="12"/>
      <c r="AU51" s="12"/>
      <c r="AV51" s="12"/>
      <c r="AW51" s="12"/>
      <c r="AX51" s="12"/>
      <c r="AY51" s="12"/>
      <c r="AZ51" s="12"/>
      <c r="BA51" s="12"/>
      <c r="BB51" s="12"/>
      <c r="BC51" s="12"/>
      <c r="BD51" s="12"/>
      <c r="BE51" s="12"/>
      <c r="BF51" s="12"/>
      <c r="BG51" s="12"/>
      <c r="BH51" s="12"/>
      <c r="BI51" s="29"/>
      <c r="BJ51" s="29"/>
      <c r="BK51" s="29"/>
    </row>
    <row r="52" spans="1:63" ht="16.5" customHeight="1">
      <c r="AF52" s="40"/>
      <c r="AG52" s="40"/>
      <c r="AH52" s="40"/>
      <c r="AI52" s="40"/>
      <c r="AJ52" s="40"/>
      <c r="AK52" s="27"/>
      <c r="AL52" s="27"/>
      <c r="AM52" s="27"/>
      <c r="AN52" s="28"/>
      <c r="AO52" s="12"/>
      <c r="AP52" s="12"/>
      <c r="AQ52" s="12"/>
      <c r="AR52" s="12"/>
      <c r="AS52" s="12"/>
      <c r="AT52" s="12"/>
      <c r="AU52" s="12"/>
      <c r="AV52" s="12"/>
      <c r="AW52" s="12"/>
      <c r="AX52" s="12"/>
      <c r="AY52" s="12"/>
      <c r="AZ52" s="12"/>
      <c r="BA52" s="12"/>
      <c r="BB52" s="12"/>
      <c r="BC52" s="12"/>
      <c r="BD52" s="12"/>
      <c r="BE52" s="12"/>
      <c r="BF52" s="12"/>
      <c r="BG52" s="12"/>
      <c r="BH52" s="12"/>
      <c r="BI52" s="29"/>
      <c r="BJ52" s="29"/>
      <c r="BK52" s="29"/>
    </row>
    <row r="53" spans="1:63" ht="16.5" customHeight="1">
      <c r="A53" s="41"/>
      <c r="B53" s="41"/>
      <c r="C53" s="41"/>
      <c r="D53" s="41"/>
      <c r="E53" s="41"/>
      <c r="F53" s="27"/>
      <c r="G53" s="27"/>
      <c r="H53" s="27"/>
      <c r="I53" s="28"/>
      <c r="J53" s="28"/>
      <c r="K53" s="28"/>
      <c r="L53" s="28"/>
      <c r="M53" s="28"/>
      <c r="N53" s="22"/>
      <c r="O53" s="22"/>
      <c r="P53" s="29"/>
      <c r="Q53" s="29"/>
      <c r="R53" s="29"/>
      <c r="S53" s="29"/>
      <c r="T53" s="29"/>
      <c r="U53" s="29"/>
      <c r="V53" s="29"/>
      <c r="W53" s="29"/>
      <c r="X53" s="29"/>
      <c r="Y53" s="29"/>
      <c r="Z53" s="29"/>
      <c r="AA53" s="29"/>
      <c r="AB53" s="29"/>
      <c r="AC53" s="29"/>
      <c r="AD53" s="29"/>
      <c r="AE53" s="29"/>
      <c r="AG53" s="42"/>
      <c r="AH53" s="42"/>
      <c r="AI53" s="42"/>
      <c r="AJ53" s="42"/>
      <c r="AK53" s="42"/>
      <c r="AL53" s="27"/>
      <c r="AM53" s="27"/>
      <c r="AN53" s="27"/>
      <c r="AO53" s="28"/>
      <c r="AP53" s="28"/>
      <c r="AQ53" s="28"/>
      <c r="AR53" s="28"/>
      <c r="AS53" s="28"/>
      <c r="AT53" s="22"/>
      <c r="AU53" s="22"/>
      <c r="AV53" s="29"/>
      <c r="AW53" s="29"/>
      <c r="AX53" s="29"/>
      <c r="AY53" s="29"/>
      <c r="AZ53" s="29"/>
      <c r="BA53" s="29"/>
      <c r="BB53" s="29"/>
      <c r="BC53" s="29"/>
      <c r="BD53" s="29"/>
      <c r="BE53" s="29"/>
      <c r="BF53" s="29"/>
      <c r="BG53" s="29"/>
      <c r="BH53" s="29"/>
      <c r="BI53" s="29"/>
      <c r="BJ53" s="29"/>
      <c r="BK53" s="29"/>
    </row>
    <row r="54" spans="1:63" ht="16.5" customHeight="1">
      <c r="A54" s="41"/>
      <c r="B54" s="41"/>
      <c r="C54" s="41"/>
      <c r="D54" s="41"/>
      <c r="E54" s="41"/>
      <c r="F54" s="27"/>
      <c r="G54" s="27"/>
      <c r="H54" s="27"/>
      <c r="I54" s="28"/>
      <c r="J54" s="28"/>
      <c r="K54" s="28"/>
      <c r="L54" s="28"/>
      <c r="M54" s="28"/>
      <c r="N54" s="22"/>
      <c r="O54" s="22"/>
      <c r="P54" s="29"/>
      <c r="Q54" s="29"/>
      <c r="R54" s="29"/>
      <c r="S54" s="29"/>
      <c r="T54" s="29"/>
      <c r="U54" s="29"/>
      <c r="V54" s="29"/>
      <c r="W54" s="29"/>
      <c r="X54" s="29"/>
      <c r="Y54" s="29"/>
      <c r="Z54" s="29"/>
      <c r="AA54" s="29"/>
      <c r="AB54" s="29"/>
      <c r="AC54" s="29"/>
      <c r="AD54" s="29"/>
      <c r="AE54" s="29"/>
      <c r="AG54" s="42"/>
      <c r="AH54" s="42"/>
      <c r="AI54" s="42"/>
      <c r="AJ54" s="42"/>
      <c r="AK54" s="42"/>
      <c r="AL54" s="27"/>
      <c r="AM54" s="27"/>
      <c r="AN54" s="27"/>
      <c r="AO54" s="28"/>
      <c r="AP54" s="28"/>
      <c r="AQ54" s="28"/>
      <c r="AR54" s="28"/>
      <c r="AS54" s="28"/>
      <c r="AT54" s="22"/>
      <c r="AU54" s="22"/>
      <c r="AV54" s="29"/>
      <c r="AW54" s="29"/>
      <c r="AX54" s="29"/>
      <c r="AY54" s="29"/>
      <c r="AZ54" s="29"/>
      <c r="BA54" s="29"/>
      <c r="BB54" s="29"/>
      <c r="BC54" s="29"/>
      <c r="BD54" s="29"/>
      <c r="BE54" s="29"/>
      <c r="BF54" s="29"/>
      <c r="BG54" s="29"/>
      <c r="BH54" s="29"/>
      <c r="BI54" s="29"/>
      <c r="BJ54" s="29"/>
      <c r="BK54" s="29"/>
    </row>
    <row r="55" spans="1:63" ht="16.5" customHeight="1">
      <c r="A55" s="41"/>
      <c r="B55" s="41"/>
      <c r="C55" s="41"/>
      <c r="D55" s="41"/>
      <c r="E55" s="41"/>
      <c r="F55" s="27"/>
      <c r="G55" s="27"/>
      <c r="H55" s="27"/>
      <c r="I55" s="28"/>
      <c r="J55" s="28"/>
      <c r="K55" s="28"/>
      <c r="L55" s="28"/>
      <c r="M55" s="28"/>
      <c r="N55" s="22"/>
      <c r="O55" s="22"/>
      <c r="P55" s="29"/>
      <c r="Q55" s="29"/>
      <c r="R55" s="29"/>
      <c r="S55" s="29"/>
      <c r="T55" s="29"/>
      <c r="U55" s="29"/>
      <c r="V55" s="29"/>
      <c r="W55" s="29"/>
      <c r="X55" s="29"/>
      <c r="Y55" s="29"/>
      <c r="Z55" s="29"/>
      <c r="AA55" s="29"/>
      <c r="AB55" s="29"/>
      <c r="AC55" s="29"/>
      <c r="AD55" s="29"/>
      <c r="AE55" s="29"/>
      <c r="AG55" s="42"/>
      <c r="AH55" s="42"/>
      <c r="AI55" s="42"/>
      <c r="AJ55" s="42"/>
      <c r="AK55" s="42"/>
      <c r="AL55" s="27"/>
      <c r="AM55" s="27"/>
      <c r="AN55" s="27"/>
      <c r="AO55" s="28"/>
      <c r="AP55" s="28"/>
      <c r="AQ55" s="28"/>
      <c r="AR55" s="28"/>
      <c r="AS55" s="28"/>
      <c r="AT55" s="22"/>
      <c r="AU55" s="22"/>
      <c r="AV55" s="29"/>
      <c r="AW55" s="29"/>
      <c r="AX55" s="29"/>
      <c r="AY55" s="29"/>
      <c r="AZ55" s="29"/>
      <c r="BA55" s="29"/>
      <c r="BB55" s="29"/>
      <c r="BC55" s="29"/>
      <c r="BD55" s="29"/>
      <c r="BE55" s="29"/>
      <c r="BF55" s="29"/>
      <c r="BG55" s="29"/>
      <c r="BH55" s="29"/>
      <c r="BI55" s="29"/>
      <c r="BJ55" s="29"/>
      <c r="BK55" s="29"/>
    </row>
    <row r="56" spans="1:63" ht="16.5" customHeight="1">
      <c r="A56" s="41"/>
      <c r="B56" s="41"/>
      <c r="C56" s="41"/>
      <c r="D56" s="41"/>
      <c r="E56" s="41"/>
      <c r="F56" s="27"/>
      <c r="G56" s="27"/>
      <c r="H56" s="27"/>
      <c r="I56" s="28"/>
      <c r="J56" s="28"/>
      <c r="K56" s="28"/>
      <c r="L56" s="28"/>
      <c r="M56" s="28"/>
      <c r="N56" s="22"/>
      <c r="O56" s="22"/>
      <c r="P56" s="29"/>
      <c r="Q56" s="29"/>
      <c r="R56" s="29"/>
      <c r="S56" s="29"/>
      <c r="T56" s="29"/>
      <c r="U56" s="29"/>
      <c r="V56" s="29"/>
      <c r="W56" s="29"/>
      <c r="X56" s="29"/>
      <c r="Y56" s="29"/>
      <c r="Z56" s="29"/>
      <c r="AA56" s="29"/>
      <c r="AB56" s="29"/>
      <c r="AC56" s="29"/>
      <c r="AD56" s="29"/>
      <c r="AE56" s="29"/>
      <c r="AG56" s="42"/>
      <c r="AH56" s="42"/>
      <c r="AI56" s="42"/>
      <c r="AJ56" s="42"/>
      <c r="AK56" s="42"/>
      <c r="AL56" s="27"/>
      <c r="AM56" s="27"/>
      <c r="AN56" s="27"/>
      <c r="AO56" s="28"/>
      <c r="AP56" s="28"/>
      <c r="AQ56" s="28"/>
      <c r="AR56" s="28"/>
      <c r="AS56" s="28"/>
      <c r="AT56" s="22"/>
      <c r="AU56" s="22"/>
      <c r="AV56" s="29"/>
      <c r="AW56" s="29"/>
      <c r="AX56" s="29"/>
      <c r="AY56" s="29"/>
      <c r="AZ56" s="29"/>
      <c r="BA56" s="29"/>
      <c r="BB56" s="29"/>
      <c r="BC56" s="29"/>
      <c r="BD56" s="29"/>
      <c r="BE56" s="29"/>
      <c r="BF56" s="29"/>
      <c r="BG56" s="29"/>
      <c r="BH56" s="29"/>
      <c r="BI56" s="29"/>
      <c r="BJ56" s="29"/>
      <c r="BK56" s="29"/>
    </row>
    <row r="57" spans="1:63" ht="16.5" customHeight="1">
      <c r="A57" s="34"/>
      <c r="B57" s="34"/>
      <c r="C57" s="34"/>
      <c r="D57" s="34"/>
      <c r="E57" s="34"/>
      <c r="F57" s="34"/>
      <c r="G57" s="34"/>
      <c r="H57" s="34"/>
      <c r="I57" s="34"/>
      <c r="J57" s="34"/>
      <c r="K57" s="34"/>
      <c r="L57" s="35"/>
      <c r="M57" s="35"/>
      <c r="N57" s="35"/>
      <c r="O57" s="35"/>
      <c r="P57" s="35"/>
      <c r="Q57" s="35"/>
      <c r="R57" s="35"/>
      <c r="S57" s="35"/>
      <c r="T57" s="35"/>
      <c r="U57" s="35"/>
      <c r="V57" s="36"/>
      <c r="W57" s="35"/>
      <c r="X57" s="35"/>
      <c r="Y57" s="35"/>
      <c r="Z57" s="35"/>
      <c r="AA57" s="35"/>
      <c r="AB57" s="35"/>
      <c r="AH57" s="22"/>
      <c r="AI57" s="22"/>
      <c r="AJ57" s="22"/>
      <c r="AK57" s="3"/>
      <c r="AL57" s="3"/>
      <c r="AM57" s="3"/>
      <c r="AN57" s="3"/>
      <c r="AO57" s="3"/>
      <c r="AP57" s="3"/>
      <c r="AQ57" s="3"/>
      <c r="AR57" s="3"/>
      <c r="AS57" s="3"/>
      <c r="AT57" s="3"/>
      <c r="AU57" s="22"/>
      <c r="AV57" s="22"/>
      <c r="AW57" s="22"/>
      <c r="AX57" s="3"/>
      <c r="AY57" s="3"/>
      <c r="AZ57" s="3"/>
      <c r="BA57" s="37"/>
      <c r="BB57" s="3"/>
      <c r="BC57" s="3"/>
      <c r="BK57" s="38" t="s">
        <v>318</v>
      </c>
    </row>
    <row r="58" spans="1:63" ht="16.5" customHeight="1">
      <c r="A58" s="98" t="s">
        <v>3</v>
      </c>
      <c r="B58" s="98"/>
      <c r="C58" s="98"/>
      <c r="D58" s="98"/>
      <c r="E58" s="98"/>
      <c r="F58" s="98" t="s">
        <v>4</v>
      </c>
      <c r="G58" s="98"/>
      <c r="H58" s="98"/>
      <c r="I58" s="98" t="s">
        <v>5</v>
      </c>
      <c r="J58" s="98"/>
      <c r="K58" s="98"/>
      <c r="L58" s="98"/>
      <c r="M58" s="98"/>
      <c r="N58" s="98"/>
      <c r="O58" s="98"/>
      <c r="P58" s="98" t="s">
        <v>6</v>
      </c>
      <c r="Q58" s="98"/>
      <c r="R58" s="98"/>
      <c r="S58" s="98"/>
      <c r="T58" s="98" t="s">
        <v>7</v>
      </c>
      <c r="U58" s="98"/>
      <c r="V58" s="98"/>
      <c r="W58" s="98"/>
      <c r="X58" s="98" t="s">
        <v>8</v>
      </c>
      <c r="Y58" s="98"/>
      <c r="Z58" s="98"/>
      <c r="AA58" s="98"/>
      <c r="AB58" s="98" t="s">
        <v>52</v>
      </c>
      <c r="AC58" s="98"/>
      <c r="AD58" s="98"/>
      <c r="AE58" s="98"/>
      <c r="AG58" s="98" t="s">
        <v>3</v>
      </c>
      <c r="AH58" s="98"/>
      <c r="AI58" s="98"/>
      <c r="AJ58" s="98"/>
      <c r="AK58" s="98"/>
      <c r="AL58" s="98" t="s">
        <v>4</v>
      </c>
      <c r="AM58" s="98"/>
      <c r="AN58" s="98"/>
      <c r="AO58" s="98" t="s">
        <v>5</v>
      </c>
      <c r="AP58" s="98"/>
      <c r="AQ58" s="98"/>
      <c r="AR58" s="98"/>
      <c r="AS58" s="98"/>
      <c r="AT58" s="98"/>
      <c r="AU58" s="98"/>
      <c r="AV58" s="98" t="s">
        <v>6</v>
      </c>
      <c r="AW58" s="98"/>
      <c r="AX58" s="98"/>
      <c r="AY58" s="98"/>
      <c r="AZ58" s="98" t="s">
        <v>7</v>
      </c>
      <c r="BA58" s="98"/>
      <c r="BB58" s="98"/>
      <c r="BC58" s="98"/>
      <c r="BD58" s="98" t="s">
        <v>8</v>
      </c>
      <c r="BE58" s="98"/>
      <c r="BF58" s="98"/>
      <c r="BG58" s="98"/>
      <c r="BH58" s="98" t="s">
        <v>52</v>
      </c>
      <c r="BI58" s="98"/>
      <c r="BJ58" s="98"/>
      <c r="BK58" s="98"/>
    </row>
    <row r="59" spans="1:63" ht="16.5" customHeight="1">
      <c r="A59" s="183">
        <v>810</v>
      </c>
      <c r="B59" s="183"/>
      <c r="C59" s="183"/>
      <c r="D59" s="183"/>
      <c r="E59" s="183"/>
      <c r="F59" s="164">
        <v>3</v>
      </c>
      <c r="G59" s="164"/>
      <c r="H59" s="164"/>
      <c r="I59" s="156" t="s">
        <v>9</v>
      </c>
      <c r="J59" s="156"/>
      <c r="K59" s="156"/>
      <c r="L59" s="156"/>
      <c r="M59" s="156"/>
      <c r="N59" s="100" t="s">
        <v>10</v>
      </c>
      <c r="O59" s="100"/>
      <c r="P59" s="99">
        <f>P71+25</f>
        <v>273</v>
      </c>
      <c r="Q59" s="99"/>
      <c r="R59" s="99"/>
      <c r="S59" s="99"/>
      <c r="T59" s="99">
        <f>P59+30</f>
        <v>303</v>
      </c>
      <c r="U59" s="99"/>
      <c r="V59" s="99"/>
      <c r="W59" s="99"/>
      <c r="X59" s="99">
        <f>T59+30</f>
        <v>333</v>
      </c>
      <c r="Y59" s="99"/>
      <c r="Z59" s="99"/>
      <c r="AA59" s="99"/>
      <c r="AB59" s="99">
        <f>X59+30</f>
        <v>363</v>
      </c>
      <c r="AC59" s="99"/>
      <c r="AD59" s="99"/>
      <c r="AE59" s="99"/>
      <c r="AG59" s="183">
        <v>810</v>
      </c>
      <c r="AH59" s="183"/>
      <c r="AI59" s="183"/>
      <c r="AJ59" s="183"/>
      <c r="AK59" s="183"/>
      <c r="AL59" s="94">
        <v>5</v>
      </c>
      <c r="AM59" s="94"/>
      <c r="AN59" s="94"/>
      <c r="AO59" s="95" t="s">
        <v>9</v>
      </c>
      <c r="AP59" s="95"/>
      <c r="AQ59" s="95"/>
      <c r="AR59" s="95"/>
      <c r="AS59" s="95"/>
      <c r="AT59" s="100" t="s">
        <v>10</v>
      </c>
      <c r="AU59" s="100"/>
      <c r="AV59" s="99">
        <f>AV71+25</f>
        <v>280.5</v>
      </c>
      <c r="AW59" s="99"/>
      <c r="AX59" s="99"/>
      <c r="AY59" s="99"/>
      <c r="AZ59" s="99">
        <f>AV59+30</f>
        <v>310.5</v>
      </c>
      <c r="BA59" s="99"/>
      <c r="BB59" s="99"/>
      <c r="BC59" s="99"/>
      <c r="BD59" s="99">
        <f>AZ59+30</f>
        <v>340.5</v>
      </c>
      <c r="BE59" s="99"/>
      <c r="BF59" s="99"/>
      <c r="BG59" s="99"/>
      <c r="BH59" s="99">
        <f>BD59+30</f>
        <v>370.5</v>
      </c>
      <c r="BI59" s="99"/>
      <c r="BJ59" s="99"/>
      <c r="BK59" s="99"/>
    </row>
    <row r="60" spans="1:63" ht="16.5" customHeight="1">
      <c r="A60" s="183"/>
      <c r="B60" s="183"/>
      <c r="C60" s="183"/>
      <c r="D60" s="183"/>
      <c r="E60" s="183"/>
      <c r="F60" s="165"/>
      <c r="G60" s="165"/>
      <c r="H60" s="165"/>
      <c r="I60" s="156"/>
      <c r="J60" s="156"/>
      <c r="K60" s="156"/>
      <c r="L60" s="156"/>
      <c r="M60" s="156"/>
      <c r="N60" s="100" t="s">
        <v>11</v>
      </c>
      <c r="O60" s="100"/>
      <c r="P60" s="99">
        <f>CEILING(P59*0.95,0.5)</f>
        <v>259.5</v>
      </c>
      <c r="Q60" s="99"/>
      <c r="R60" s="99"/>
      <c r="S60" s="99"/>
      <c r="T60" s="99">
        <f>CEILING(T59*0.95,0.5)</f>
        <v>288</v>
      </c>
      <c r="U60" s="99"/>
      <c r="V60" s="99"/>
      <c r="W60" s="99"/>
      <c r="X60" s="99">
        <f>CEILING(X59*0.95,0.5)</f>
        <v>316.5</v>
      </c>
      <c r="Y60" s="99"/>
      <c r="Z60" s="99"/>
      <c r="AA60" s="99"/>
      <c r="AB60" s="99">
        <f>CEILING(AB59*0.95,0.5)</f>
        <v>345</v>
      </c>
      <c r="AC60" s="99"/>
      <c r="AD60" s="99"/>
      <c r="AE60" s="99"/>
      <c r="AG60" s="183"/>
      <c r="AH60" s="183"/>
      <c r="AI60" s="183"/>
      <c r="AJ60" s="183"/>
      <c r="AK60" s="183"/>
      <c r="AL60" s="94"/>
      <c r="AM60" s="94"/>
      <c r="AN60" s="94"/>
      <c r="AO60" s="95"/>
      <c r="AP60" s="95"/>
      <c r="AQ60" s="95"/>
      <c r="AR60" s="95"/>
      <c r="AS60" s="95"/>
      <c r="AT60" s="100" t="s">
        <v>11</v>
      </c>
      <c r="AU60" s="100"/>
      <c r="AV60" s="99">
        <f>CEILING(AV59*0.95,0.5)</f>
        <v>266.5</v>
      </c>
      <c r="AW60" s="99"/>
      <c r="AX60" s="99"/>
      <c r="AY60" s="99"/>
      <c r="AZ60" s="99">
        <f>CEILING(AZ59*0.95,0.5)</f>
        <v>295</v>
      </c>
      <c r="BA60" s="99"/>
      <c r="BB60" s="99"/>
      <c r="BC60" s="99"/>
      <c r="BD60" s="99">
        <f>CEILING(BD59*0.95,0.5)</f>
        <v>323.5</v>
      </c>
      <c r="BE60" s="99"/>
      <c r="BF60" s="99"/>
      <c r="BG60" s="99"/>
      <c r="BH60" s="99">
        <f>CEILING(BH59*0.95,0.5)</f>
        <v>352</v>
      </c>
      <c r="BI60" s="99"/>
      <c r="BJ60" s="99"/>
      <c r="BK60" s="99"/>
    </row>
    <row r="61" spans="1:63" ht="16.5" customHeight="1">
      <c r="A61" s="183"/>
      <c r="B61" s="183"/>
      <c r="C61" s="183"/>
      <c r="D61" s="183"/>
      <c r="E61" s="183"/>
      <c r="F61" s="165"/>
      <c r="G61" s="165"/>
      <c r="H61" s="165"/>
      <c r="I61" s="156"/>
      <c r="J61" s="156"/>
      <c r="K61" s="156"/>
      <c r="L61" s="156"/>
      <c r="M61" s="156"/>
      <c r="N61" s="100" t="s">
        <v>12</v>
      </c>
      <c r="O61" s="100"/>
      <c r="P61" s="99">
        <f>P73+25</f>
        <v>245.5</v>
      </c>
      <c r="Q61" s="99"/>
      <c r="R61" s="99"/>
      <c r="S61" s="99"/>
      <c r="T61" s="99">
        <f>P61+30</f>
        <v>275.5</v>
      </c>
      <c r="U61" s="99"/>
      <c r="V61" s="99"/>
      <c r="W61" s="99"/>
      <c r="X61" s="99">
        <f>T61+30</f>
        <v>305.5</v>
      </c>
      <c r="Y61" s="99"/>
      <c r="Z61" s="99"/>
      <c r="AA61" s="99"/>
      <c r="AB61" s="99">
        <f>X61+30</f>
        <v>335.5</v>
      </c>
      <c r="AC61" s="99"/>
      <c r="AD61" s="99"/>
      <c r="AE61" s="99"/>
      <c r="AG61" s="183"/>
      <c r="AH61" s="183"/>
      <c r="AI61" s="183"/>
      <c r="AJ61" s="183"/>
      <c r="AK61" s="183"/>
      <c r="AL61" s="94"/>
      <c r="AM61" s="94"/>
      <c r="AN61" s="94"/>
      <c r="AO61" s="95"/>
      <c r="AP61" s="95"/>
      <c r="AQ61" s="95"/>
      <c r="AR61" s="95"/>
      <c r="AS61" s="95"/>
      <c r="AT61" s="100" t="s">
        <v>12</v>
      </c>
      <c r="AU61" s="100"/>
      <c r="AV61" s="99">
        <f>AV73+25</f>
        <v>254</v>
      </c>
      <c r="AW61" s="99"/>
      <c r="AX61" s="99"/>
      <c r="AY61" s="99"/>
      <c r="AZ61" s="99">
        <f>AV61+30</f>
        <v>284</v>
      </c>
      <c r="BA61" s="99"/>
      <c r="BB61" s="99"/>
      <c r="BC61" s="99"/>
      <c r="BD61" s="99">
        <f>AZ61+30</f>
        <v>314</v>
      </c>
      <c r="BE61" s="99"/>
      <c r="BF61" s="99"/>
      <c r="BG61" s="99"/>
      <c r="BH61" s="99">
        <f>BD61+30</f>
        <v>344</v>
      </c>
      <c r="BI61" s="99"/>
      <c r="BJ61" s="99"/>
      <c r="BK61" s="99"/>
    </row>
    <row r="62" spans="1:63" ht="16.5" customHeight="1">
      <c r="A62" s="183"/>
      <c r="B62" s="183"/>
      <c r="C62" s="183"/>
      <c r="D62" s="183"/>
      <c r="E62" s="183"/>
      <c r="F62" s="165"/>
      <c r="G62" s="165"/>
      <c r="H62" s="165"/>
      <c r="I62" s="97" t="s">
        <v>63</v>
      </c>
      <c r="J62" s="97"/>
      <c r="K62" s="97"/>
      <c r="L62" s="97"/>
      <c r="M62" s="97"/>
      <c r="N62" s="98" t="s">
        <v>10</v>
      </c>
      <c r="O62" s="98"/>
      <c r="P62" s="96">
        <f>CEILING(P59*0.4+5,0.5)</f>
        <v>114.5</v>
      </c>
      <c r="Q62" s="96"/>
      <c r="R62" s="96"/>
      <c r="S62" s="96"/>
      <c r="T62" s="96">
        <f>CEILING(T59*0.4+5,0.5)</f>
        <v>126.5</v>
      </c>
      <c r="U62" s="96"/>
      <c r="V62" s="96"/>
      <c r="W62" s="96"/>
      <c r="X62" s="96">
        <f>CEILING(X59*0.4+5,0.5)</f>
        <v>138.5</v>
      </c>
      <c r="Y62" s="96"/>
      <c r="Z62" s="96"/>
      <c r="AA62" s="96"/>
      <c r="AB62" s="96">
        <f>CEILING(AB59*0.4+5,0.5)</f>
        <v>150.5</v>
      </c>
      <c r="AC62" s="96"/>
      <c r="AD62" s="96"/>
      <c r="AE62" s="96"/>
      <c r="AG62" s="183"/>
      <c r="AH62" s="183"/>
      <c r="AI62" s="183"/>
      <c r="AJ62" s="183"/>
      <c r="AK62" s="183"/>
      <c r="AL62" s="94"/>
      <c r="AM62" s="94"/>
      <c r="AN62" s="94"/>
      <c r="AO62" s="97" t="s">
        <v>14</v>
      </c>
      <c r="AP62" s="97"/>
      <c r="AQ62" s="97"/>
      <c r="AR62" s="97"/>
      <c r="AS62" s="97"/>
      <c r="AT62" s="98" t="s">
        <v>10</v>
      </c>
      <c r="AU62" s="98"/>
      <c r="AV62" s="96">
        <f>CEILING(AV59*0.47+5,0.5)</f>
        <v>137</v>
      </c>
      <c r="AW62" s="96"/>
      <c r="AX62" s="96"/>
      <c r="AY62" s="96"/>
      <c r="AZ62" s="96">
        <f>CEILING(AZ59*0.47+5,0.5)</f>
        <v>151</v>
      </c>
      <c r="BA62" s="96"/>
      <c r="BB62" s="96"/>
      <c r="BC62" s="96"/>
      <c r="BD62" s="96">
        <f>CEILING(BD59*0.47+5,0.5)</f>
        <v>165.5</v>
      </c>
      <c r="BE62" s="96"/>
      <c r="BF62" s="96"/>
      <c r="BG62" s="96"/>
      <c r="BH62" s="96">
        <f>CEILING(BH59*0.47+5,0.5)</f>
        <v>179.5</v>
      </c>
      <c r="BI62" s="96"/>
      <c r="BJ62" s="96"/>
      <c r="BK62" s="96"/>
    </row>
    <row r="63" spans="1:63" ht="16.5" customHeight="1">
      <c r="A63" s="183"/>
      <c r="B63" s="183"/>
      <c r="C63" s="183"/>
      <c r="D63" s="183"/>
      <c r="E63" s="183"/>
      <c r="F63" s="165"/>
      <c r="G63" s="165"/>
      <c r="H63" s="165"/>
      <c r="I63" s="97"/>
      <c r="J63" s="97"/>
      <c r="K63" s="97"/>
      <c r="L63" s="97"/>
      <c r="M63" s="97"/>
      <c r="N63" s="98" t="s">
        <v>11</v>
      </c>
      <c r="O63" s="98"/>
      <c r="P63" s="96">
        <f>CEILING(P62*0.95,0.5)</f>
        <v>109</v>
      </c>
      <c r="Q63" s="96"/>
      <c r="R63" s="96"/>
      <c r="S63" s="96"/>
      <c r="T63" s="96">
        <f>CEILING(T62*0.95,0.5)</f>
        <v>120.5</v>
      </c>
      <c r="U63" s="96"/>
      <c r="V63" s="96"/>
      <c r="W63" s="96"/>
      <c r="X63" s="96">
        <f>CEILING(X62*0.95,0.5)</f>
        <v>132</v>
      </c>
      <c r="Y63" s="96"/>
      <c r="Z63" s="96"/>
      <c r="AA63" s="96"/>
      <c r="AB63" s="96">
        <f>CEILING(AB62*0.95,0.5)</f>
        <v>143</v>
      </c>
      <c r="AC63" s="96"/>
      <c r="AD63" s="96"/>
      <c r="AE63" s="96"/>
      <c r="AG63" s="183"/>
      <c r="AH63" s="183"/>
      <c r="AI63" s="183"/>
      <c r="AJ63" s="183"/>
      <c r="AK63" s="183"/>
      <c r="AL63" s="94"/>
      <c r="AM63" s="94"/>
      <c r="AN63" s="94"/>
      <c r="AO63" s="97"/>
      <c r="AP63" s="97"/>
      <c r="AQ63" s="97"/>
      <c r="AR63" s="97"/>
      <c r="AS63" s="97"/>
      <c r="AT63" s="98" t="s">
        <v>11</v>
      </c>
      <c r="AU63" s="98"/>
      <c r="AV63" s="96">
        <f>CEILING(AV62*0.95,0.5)</f>
        <v>130.5</v>
      </c>
      <c r="AW63" s="96"/>
      <c r="AX63" s="96"/>
      <c r="AY63" s="96"/>
      <c r="AZ63" s="96">
        <f>CEILING(AZ62*0.95,0.5)</f>
        <v>143.5</v>
      </c>
      <c r="BA63" s="96"/>
      <c r="BB63" s="96"/>
      <c r="BC63" s="96"/>
      <c r="BD63" s="96">
        <f>CEILING(BD62*0.95,0.5)</f>
        <v>157.5</v>
      </c>
      <c r="BE63" s="96"/>
      <c r="BF63" s="96"/>
      <c r="BG63" s="96"/>
      <c r="BH63" s="96">
        <f>CEILING(BH62*0.95,0.5)</f>
        <v>171</v>
      </c>
      <c r="BI63" s="96"/>
      <c r="BJ63" s="96"/>
      <c r="BK63" s="96"/>
    </row>
    <row r="64" spans="1:63" ht="16.5" customHeight="1">
      <c r="A64" s="183"/>
      <c r="B64" s="183"/>
      <c r="C64" s="183"/>
      <c r="D64" s="183"/>
      <c r="E64" s="183"/>
      <c r="F64" s="165"/>
      <c r="G64" s="165"/>
      <c r="H64" s="165"/>
      <c r="I64" s="97"/>
      <c r="J64" s="97"/>
      <c r="K64" s="97"/>
      <c r="L64" s="97"/>
      <c r="M64" s="97"/>
      <c r="N64" s="98" t="s">
        <v>12</v>
      </c>
      <c r="O64" s="98"/>
      <c r="P64" s="96">
        <f>CEILING(P61*0.4+5,0.5)</f>
        <v>103.5</v>
      </c>
      <c r="Q64" s="96"/>
      <c r="R64" s="96"/>
      <c r="S64" s="96"/>
      <c r="T64" s="96">
        <f>CEILING(T61*0.4+5,0.5)</f>
        <v>115.5</v>
      </c>
      <c r="U64" s="96"/>
      <c r="V64" s="96"/>
      <c r="W64" s="96"/>
      <c r="X64" s="96">
        <f>CEILING(X61*0.4+5,0.5)</f>
        <v>127.5</v>
      </c>
      <c r="Y64" s="96"/>
      <c r="Z64" s="96"/>
      <c r="AA64" s="96"/>
      <c r="AB64" s="96">
        <f>CEILING(AB61*0.4+5,0.5)</f>
        <v>139.5</v>
      </c>
      <c r="AC64" s="96"/>
      <c r="AD64" s="96"/>
      <c r="AE64" s="96"/>
      <c r="AG64" s="183"/>
      <c r="AH64" s="183"/>
      <c r="AI64" s="183"/>
      <c r="AJ64" s="183"/>
      <c r="AK64" s="183"/>
      <c r="AL64" s="94"/>
      <c r="AM64" s="94"/>
      <c r="AN64" s="94"/>
      <c r="AO64" s="97"/>
      <c r="AP64" s="97"/>
      <c r="AQ64" s="97"/>
      <c r="AR64" s="97"/>
      <c r="AS64" s="97"/>
      <c r="AT64" s="98" t="s">
        <v>12</v>
      </c>
      <c r="AU64" s="98"/>
      <c r="AV64" s="96">
        <f>CEILING(AV61*0.47+5,0.5)</f>
        <v>124.5</v>
      </c>
      <c r="AW64" s="96"/>
      <c r="AX64" s="96"/>
      <c r="AY64" s="96"/>
      <c r="AZ64" s="96">
        <f>CEILING(AZ61*0.47+5,0.5)</f>
        <v>138.5</v>
      </c>
      <c r="BA64" s="96"/>
      <c r="BB64" s="96"/>
      <c r="BC64" s="96"/>
      <c r="BD64" s="96">
        <f>CEILING(BD61*0.47+5,0.5)</f>
        <v>153</v>
      </c>
      <c r="BE64" s="96"/>
      <c r="BF64" s="96"/>
      <c r="BG64" s="96"/>
      <c r="BH64" s="96">
        <f>CEILING(BH61*0.47+5,0.5)</f>
        <v>167</v>
      </c>
      <c r="BI64" s="96"/>
      <c r="BJ64" s="96"/>
      <c r="BK64" s="96"/>
    </row>
    <row r="65" spans="1:63" ht="16.5" customHeight="1">
      <c r="A65" s="183"/>
      <c r="B65" s="183"/>
      <c r="C65" s="183"/>
      <c r="D65" s="183"/>
      <c r="E65" s="183"/>
      <c r="F65" s="165"/>
      <c r="G65" s="165"/>
      <c r="H65" s="165"/>
      <c r="I65" s="156" t="s">
        <v>15</v>
      </c>
      <c r="J65" s="156"/>
      <c r="K65" s="156"/>
      <c r="L65" s="156"/>
      <c r="M65" s="156"/>
      <c r="N65" s="100" t="s">
        <v>10</v>
      </c>
      <c r="O65" s="100"/>
      <c r="P65" s="99">
        <f>P71+15</f>
        <v>263</v>
      </c>
      <c r="Q65" s="99"/>
      <c r="R65" s="99"/>
      <c r="S65" s="99"/>
      <c r="T65" s="99">
        <f>P65+15</f>
        <v>278</v>
      </c>
      <c r="U65" s="99"/>
      <c r="V65" s="99"/>
      <c r="W65" s="99"/>
      <c r="X65" s="99">
        <f>T65+15</f>
        <v>293</v>
      </c>
      <c r="Y65" s="99"/>
      <c r="Z65" s="99"/>
      <c r="AA65" s="99"/>
      <c r="AB65" s="99">
        <f>X65+15</f>
        <v>308</v>
      </c>
      <c r="AC65" s="99"/>
      <c r="AD65" s="99"/>
      <c r="AE65" s="99"/>
      <c r="AG65" s="183"/>
      <c r="AH65" s="183"/>
      <c r="AI65" s="183"/>
      <c r="AJ65" s="183"/>
      <c r="AK65" s="183"/>
      <c r="AL65" s="94"/>
      <c r="AM65" s="94"/>
      <c r="AN65" s="94"/>
      <c r="AO65" s="95" t="s">
        <v>15</v>
      </c>
      <c r="AP65" s="95"/>
      <c r="AQ65" s="95"/>
      <c r="AR65" s="95"/>
      <c r="AS65" s="95"/>
      <c r="AT65" s="100" t="s">
        <v>10</v>
      </c>
      <c r="AU65" s="100"/>
      <c r="AV65" s="99">
        <f>AV71+15</f>
        <v>270.5</v>
      </c>
      <c r="AW65" s="99"/>
      <c r="AX65" s="99"/>
      <c r="AY65" s="99"/>
      <c r="AZ65" s="99">
        <f>AV65+15</f>
        <v>285.5</v>
      </c>
      <c r="BA65" s="99"/>
      <c r="BB65" s="99"/>
      <c r="BC65" s="99"/>
      <c r="BD65" s="99">
        <f>AZ65+15</f>
        <v>300.5</v>
      </c>
      <c r="BE65" s="99"/>
      <c r="BF65" s="99"/>
      <c r="BG65" s="99"/>
      <c r="BH65" s="99">
        <f>BD65+15</f>
        <v>315.5</v>
      </c>
      <c r="BI65" s="99"/>
      <c r="BJ65" s="99"/>
      <c r="BK65" s="99"/>
    </row>
    <row r="66" spans="1:63" ht="16.5" customHeight="1">
      <c r="A66" s="183"/>
      <c r="B66" s="183"/>
      <c r="C66" s="183"/>
      <c r="D66" s="183"/>
      <c r="E66" s="183"/>
      <c r="F66" s="165"/>
      <c r="G66" s="165"/>
      <c r="H66" s="165"/>
      <c r="I66" s="156"/>
      <c r="J66" s="156"/>
      <c r="K66" s="156"/>
      <c r="L66" s="156"/>
      <c r="M66" s="156"/>
      <c r="N66" s="100" t="s">
        <v>11</v>
      </c>
      <c r="O66" s="100"/>
      <c r="P66" s="99">
        <f>CEILING(P65*0.95,0.5)</f>
        <v>250</v>
      </c>
      <c r="Q66" s="99"/>
      <c r="R66" s="99"/>
      <c r="S66" s="99"/>
      <c r="T66" s="99">
        <f>CEILING(T65*0.95,0.5)</f>
        <v>264.5</v>
      </c>
      <c r="U66" s="99"/>
      <c r="V66" s="99"/>
      <c r="W66" s="99"/>
      <c r="X66" s="99">
        <f>CEILING(X65*0.95,0.5)</f>
        <v>278.5</v>
      </c>
      <c r="Y66" s="99"/>
      <c r="Z66" s="99"/>
      <c r="AA66" s="99"/>
      <c r="AB66" s="99">
        <f>CEILING(AB65*0.95,0.5)</f>
        <v>293</v>
      </c>
      <c r="AC66" s="99"/>
      <c r="AD66" s="99"/>
      <c r="AE66" s="99"/>
      <c r="AG66" s="183"/>
      <c r="AH66" s="183"/>
      <c r="AI66" s="183"/>
      <c r="AJ66" s="183"/>
      <c r="AK66" s="183"/>
      <c r="AL66" s="94"/>
      <c r="AM66" s="94"/>
      <c r="AN66" s="94"/>
      <c r="AO66" s="95"/>
      <c r="AP66" s="95"/>
      <c r="AQ66" s="95"/>
      <c r="AR66" s="95"/>
      <c r="AS66" s="95"/>
      <c r="AT66" s="100" t="s">
        <v>11</v>
      </c>
      <c r="AU66" s="100"/>
      <c r="AV66" s="99">
        <f>CEILING(AV65*0.95,0.5)</f>
        <v>257</v>
      </c>
      <c r="AW66" s="99"/>
      <c r="AX66" s="99"/>
      <c r="AY66" s="99"/>
      <c r="AZ66" s="99">
        <f>CEILING(AZ65*0.95,0.5)</f>
        <v>271.5</v>
      </c>
      <c r="BA66" s="99"/>
      <c r="BB66" s="99"/>
      <c r="BC66" s="99"/>
      <c r="BD66" s="99">
        <f>CEILING(BD65*0.95,0.5)</f>
        <v>285.5</v>
      </c>
      <c r="BE66" s="99"/>
      <c r="BF66" s="99"/>
      <c r="BG66" s="99"/>
      <c r="BH66" s="99">
        <f>CEILING(BH65*0.95,0.5)</f>
        <v>300</v>
      </c>
      <c r="BI66" s="99"/>
      <c r="BJ66" s="99"/>
      <c r="BK66" s="99"/>
    </row>
    <row r="67" spans="1:63" ht="16.5" customHeight="1">
      <c r="A67" s="183"/>
      <c r="B67" s="183"/>
      <c r="C67" s="183"/>
      <c r="D67" s="183"/>
      <c r="E67" s="183"/>
      <c r="F67" s="165"/>
      <c r="G67" s="165"/>
      <c r="H67" s="165"/>
      <c r="I67" s="156"/>
      <c r="J67" s="156"/>
      <c r="K67" s="156"/>
      <c r="L67" s="156"/>
      <c r="M67" s="156"/>
      <c r="N67" s="100" t="s">
        <v>12</v>
      </c>
      <c r="O67" s="100"/>
      <c r="P67" s="99">
        <f>P73+15</f>
        <v>235.5</v>
      </c>
      <c r="Q67" s="99"/>
      <c r="R67" s="99"/>
      <c r="S67" s="99"/>
      <c r="T67" s="99">
        <f>P67+15</f>
        <v>250.5</v>
      </c>
      <c r="U67" s="99"/>
      <c r="V67" s="99"/>
      <c r="W67" s="99"/>
      <c r="X67" s="99">
        <f>T67+15</f>
        <v>265.5</v>
      </c>
      <c r="Y67" s="99"/>
      <c r="Z67" s="99"/>
      <c r="AA67" s="99"/>
      <c r="AB67" s="99">
        <f>X67+15</f>
        <v>280.5</v>
      </c>
      <c r="AC67" s="99"/>
      <c r="AD67" s="99"/>
      <c r="AE67" s="99"/>
      <c r="AG67" s="183"/>
      <c r="AH67" s="183"/>
      <c r="AI67" s="183"/>
      <c r="AJ67" s="183"/>
      <c r="AK67" s="183"/>
      <c r="AL67" s="94"/>
      <c r="AM67" s="94"/>
      <c r="AN67" s="94"/>
      <c r="AO67" s="95"/>
      <c r="AP67" s="95"/>
      <c r="AQ67" s="95"/>
      <c r="AR67" s="95"/>
      <c r="AS67" s="95"/>
      <c r="AT67" s="100" t="s">
        <v>12</v>
      </c>
      <c r="AU67" s="100"/>
      <c r="AV67" s="99">
        <f>AV73+15</f>
        <v>244</v>
      </c>
      <c r="AW67" s="99"/>
      <c r="AX67" s="99"/>
      <c r="AY67" s="99"/>
      <c r="AZ67" s="99">
        <f>AV67+15</f>
        <v>259</v>
      </c>
      <c r="BA67" s="99"/>
      <c r="BB67" s="99"/>
      <c r="BC67" s="99"/>
      <c r="BD67" s="99">
        <f>AZ67+15</f>
        <v>274</v>
      </c>
      <c r="BE67" s="99"/>
      <c r="BF67" s="99"/>
      <c r="BG67" s="99"/>
      <c r="BH67" s="99">
        <f>BD67+15</f>
        <v>289</v>
      </c>
      <c r="BI67" s="99"/>
      <c r="BJ67" s="99"/>
      <c r="BK67" s="99"/>
    </row>
    <row r="68" spans="1:63" ht="16.5" customHeight="1">
      <c r="A68" s="183"/>
      <c r="B68" s="183"/>
      <c r="C68" s="183"/>
      <c r="D68" s="183"/>
      <c r="E68" s="183"/>
      <c r="F68" s="165"/>
      <c r="G68" s="165"/>
      <c r="H68" s="165"/>
      <c r="I68" s="97" t="s">
        <v>64</v>
      </c>
      <c r="J68" s="97"/>
      <c r="K68" s="97"/>
      <c r="L68" s="97"/>
      <c r="M68" s="97"/>
      <c r="N68" s="98" t="s">
        <v>10</v>
      </c>
      <c r="O68" s="98"/>
      <c r="P68" s="96">
        <f>CEILING(P65*0.4+5,0.5)</f>
        <v>110.5</v>
      </c>
      <c r="Q68" s="96"/>
      <c r="R68" s="96"/>
      <c r="S68" s="96"/>
      <c r="T68" s="96">
        <f>CEILING(T65*0.4+5,0.5)</f>
        <v>116.5</v>
      </c>
      <c r="U68" s="96"/>
      <c r="V68" s="96"/>
      <c r="W68" s="96"/>
      <c r="X68" s="96">
        <f>CEILING(X65*0.4+5,0.5)</f>
        <v>122.5</v>
      </c>
      <c r="Y68" s="96"/>
      <c r="Z68" s="96"/>
      <c r="AA68" s="96"/>
      <c r="AB68" s="96">
        <f>CEILING(AB65*0.4+5,0.5)</f>
        <v>128.5</v>
      </c>
      <c r="AC68" s="96"/>
      <c r="AD68" s="96"/>
      <c r="AE68" s="96"/>
      <c r="AG68" s="183"/>
      <c r="AH68" s="183"/>
      <c r="AI68" s="183"/>
      <c r="AJ68" s="183"/>
      <c r="AK68" s="183"/>
      <c r="AL68" s="94"/>
      <c r="AM68" s="94"/>
      <c r="AN68" s="94"/>
      <c r="AO68" s="97" t="s">
        <v>17</v>
      </c>
      <c r="AP68" s="97"/>
      <c r="AQ68" s="97"/>
      <c r="AR68" s="97"/>
      <c r="AS68" s="97"/>
      <c r="AT68" s="98" t="s">
        <v>10</v>
      </c>
      <c r="AU68" s="98"/>
      <c r="AV68" s="96">
        <f>CEILING(AV65*0.47+5,0.5)</f>
        <v>132.5</v>
      </c>
      <c r="AW68" s="96"/>
      <c r="AX68" s="96"/>
      <c r="AY68" s="96"/>
      <c r="AZ68" s="96">
        <f>CEILING(AZ65*0.47+5,0.5)</f>
        <v>139.5</v>
      </c>
      <c r="BA68" s="96"/>
      <c r="BB68" s="96"/>
      <c r="BC68" s="96"/>
      <c r="BD68" s="96">
        <f>CEILING(BD65*0.47+5,0.5)</f>
        <v>146.5</v>
      </c>
      <c r="BE68" s="96"/>
      <c r="BF68" s="96"/>
      <c r="BG68" s="96"/>
      <c r="BH68" s="96">
        <f>CEILING(BH65*0.47+5,0.5)</f>
        <v>153.5</v>
      </c>
      <c r="BI68" s="96"/>
      <c r="BJ68" s="96"/>
      <c r="BK68" s="96"/>
    </row>
    <row r="69" spans="1:63" ht="16.5" customHeight="1">
      <c r="A69" s="183"/>
      <c r="B69" s="183"/>
      <c r="C69" s="183"/>
      <c r="D69" s="183"/>
      <c r="E69" s="183"/>
      <c r="F69" s="165"/>
      <c r="G69" s="165"/>
      <c r="H69" s="165"/>
      <c r="I69" s="97"/>
      <c r="J69" s="97"/>
      <c r="K69" s="97"/>
      <c r="L69" s="97"/>
      <c r="M69" s="97"/>
      <c r="N69" s="98" t="s">
        <v>11</v>
      </c>
      <c r="O69" s="98"/>
      <c r="P69" s="96">
        <f>CEILING(P68*0.95,0.5)</f>
        <v>105</v>
      </c>
      <c r="Q69" s="96"/>
      <c r="R69" s="96"/>
      <c r="S69" s="96"/>
      <c r="T69" s="96">
        <f>CEILING(T68*0.95,0.5)</f>
        <v>111</v>
      </c>
      <c r="U69" s="96"/>
      <c r="V69" s="96"/>
      <c r="W69" s="96"/>
      <c r="X69" s="96">
        <f>CEILING(X68*0.95,0.5)</f>
        <v>116.5</v>
      </c>
      <c r="Y69" s="96"/>
      <c r="Z69" s="96"/>
      <c r="AA69" s="96"/>
      <c r="AB69" s="96">
        <f>CEILING(AB68*0.95,0.5)</f>
        <v>122.5</v>
      </c>
      <c r="AC69" s="96"/>
      <c r="AD69" s="96"/>
      <c r="AE69" s="96"/>
      <c r="AG69" s="183"/>
      <c r="AH69" s="183"/>
      <c r="AI69" s="183"/>
      <c r="AJ69" s="183"/>
      <c r="AK69" s="183"/>
      <c r="AL69" s="94"/>
      <c r="AM69" s="94"/>
      <c r="AN69" s="94"/>
      <c r="AO69" s="97"/>
      <c r="AP69" s="97"/>
      <c r="AQ69" s="97"/>
      <c r="AR69" s="97"/>
      <c r="AS69" s="97"/>
      <c r="AT69" s="98" t="s">
        <v>11</v>
      </c>
      <c r="AU69" s="98"/>
      <c r="AV69" s="96">
        <f>CEILING(AV68*0.95,0.5)</f>
        <v>126</v>
      </c>
      <c r="AW69" s="96"/>
      <c r="AX69" s="96"/>
      <c r="AY69" s="96"/>
      <c r="AZ69" s="96">
        <f>CEILING(AZ68*0.95,0.5)</f>
        <v>133</v>
      </c>
      <c r="BA69" s="96"/>
      <c r="BB69" s="96"/>
      <c r="BC69" s="96"/>
      <c r="BD69" s="96">
        <f>CEILING(BD68*0.95,0.5)</f>
        <v>139.5</v>
      </c>
      <c r="BE69" s="96"/>
      <c r="BF69" s="96"/>
      <c r="BG69" s="96"/>
      <c r="BH69" s="96">
        <f>CEILING(BH68*0.95,0.5)</f>
        <v>146</v>
      </c>
      <c r="BI69" s="96"/>
      <c r="BJ69" s="96"/>
      <c r="BK69" s="96"/>
    </row>
    <row r="70" spans="1:63" ht="16.5" customHeight="1">
      <c r="A70" s="183"/>
      <c r="B70" s="183"/>
      <c r="C70" s="183"/>
      <c r="D70" s="183"/>
      <c r="E70" s="183"/>
      <c r="F70" s="165"/>
      <c r="G70" s="165"/>
      <c r="H70" s="165"/>
      <c r="I70" s="97"/>
      <c r="J70" s="97"/>
      <c r="K70" s="97"/>
      <c r="L70" s="97"/>
      <c r="M70" s="97"/>
      <c r="N70" s="98" t="s">
        <v>12</v>
      </c>
      <c r="O70" s="98"/>
      <c r="P70" s="96">
        <f>CEILING(P67*0.4+5,0.5)</f>
        <v>99.5</v>
      </c>
      <c r="Q70" s="96"/>
      <c r="R70" s="96"/>
      <c r="S70" s="96"/>
      <c r="T70" s="96">
        <f>CEILING(T67*0.4+5,0.5)</f>
        <v>105.5</v>
      </c>
      <c r="U70" s="96"/>
      <c r="V70" s="96"/>
      <c r="W70" s="96"/>
      <c r="X70" s="96">
        <f>CEILING(X67*0.4+5,0.5)</f>
        <v>111.5</v>
      </c>
      <c r="Y70" s="96"/>
      <c r="Z70" s="96"/>
      <c r="AA70" s="96"/>
      <c r="AB70" s="96">
        <f>CEILING(AB67*0.4+5,0.5)</f>
        <v>117.5</v>
      </c>
      <c r="AC70" s="96"/>
      <c r="AD70" s="96"/>
      <c r="AE70" s="96"/>
      <c r="AG70" s="183"/>
      <c r="AH70" s="183"/>
      <c r="AI70" s="183"/>
      <c r="AJ70" s="183"/>
      <c r="AK70" s="183"/>
      <c r="AL70" s="94"/>
      <c r="AM70" s="94"/>
      <c r="AN70" s="94"/>
      <c r="AO70" s="97"/>
      <c r="AP70" s="97"/>
      <c r="AQ70" s="97"/>
      <c r="AR70" s="97"/>
      <c r="AS70" s="97"/>
      <c r="AT70" s="98" t="s">
        <v>12</v>
      </c>
      <c r="AU70" s="98"/>
      <c r="AV70" s="96">
        <f>CEILING(AV67*0.47+5,0.5)</f>
        <v>120</v>
      </c>
      <c r="AW70" s="96"/>
      <c r="AX70" s="96"/>
      <c r="AY70" s="96"/>
      <c r="AZ70" s="96">
        <f>CEILING(AZ67*0.47+5,0.5)</f>
        <v>127</v>
      </c>
      <c r="BA70" s="96"/>
      <c r="BB70" s="96"/>
      <c r="BC70" s="96"/>
      <c r="BD70" s="96">
        <f>CEILING(BD67*0.47+5,0.5)</f>
        <v>134</v>
      </c>
      <c r="BE70" s="96"/>
      <c r="BF70" s="96"/>
      <c r="BG70" s="96"/>
      <c r="BH70" s="96">
        <f>CEILING(BH67*0.47+5,0.5)</f>
        <v>141</v>
      </c>
      <c r="BI70" s="96"/>
      <c r="BJ70" s="96"/>
      <c r="BK70" s="96"/>
    </row>
    <row r="71" spans="1:63" ht="16.5" customHeight="1">
      <c r="A71" s="183"/>
      <c r="B71" s="183"/>
      <c r="C71" s="183"/>
      <c r="D71" s="183"/>
      <c r="E71" s="183"/>
      <c r="F71" s="165"/>
      <c r="G71" s="165"/>
      <c r="H71" s="165"/>
      <c r="I71" s="156" t="s">
        <v>18</v>
      </c>
      <c r="J71" s="156"/>
      <c r="K71" s="156"/>
      <c r="L71" s="156"/>
      <c r="M71" s="156"/>
      <c r="N71" s="100" t="s">
        <v>10</v>
      </c>
      <c r="O71" s="100"/>
      <c r="P71" s="101">
        <f>CEILING(190.5*1.3,0.5)</f>
        <v>248</v>
      </c>
      <c r="Q71" s="101"/>
      <c r="R71" s="101"/>
      <c r="S71" s="101"/>
      <c r="T71" s="99">
        <f>P71+10</f>
        <v>258</v>
      </c>
      <c r="U71" s="99"/>
      <c r="V71" s="99"/>
      <c r="W71" s="99"/>
      <c r="X71" s="99">
        <f>T71+10</f>
        <v>268</v>
      </c>
      <c r="Y71" s="99"/>
      <c r="Z71" s="99"/>
      <c r="AA71" s="99"/>
      <c r="AB71" s="99">
        <f>X71+10</f>
        <v>278</v>
      </c>
      <c r="AC71" s="99"/>
      <c r="AD71" s="99"/>
      <c r="AE71" s="99"/>
      <c r="AG71" s="183"/>
      <c r="AH71" s="183"/>
      <c r="AI71" s="183"/>
      <c r="AJ71" s="183"/>
      <c r="AK71" s="183"/>
      <c r="AL71" s="94"/>
      <c r="AM71" s="94"/>
      <c r="AN71" s="94"/>
      <c r="AO71" s="95" t="s">
        <v>18</v>
      </c>
      <c r="AP71" s="95"/>
      <c r="AQ71" s="95"/>
      <c r="AR71" s="95"/>
      <c r="AS71" s="95"/>
      <c r="AT71" s="100" t="s">
        <v>10</v>
      </c>
      <c r="AU71" s="100"/>
      <c r="AV71" s="101">
        <f>CEILING(196.5*1.3,0.5)</f>
        <v>255.5</v>
      </c>
      <c r="AW71" s="101"/>
      <c r="AX71" s="101"/>
      <c r="AY71" s="101"/>
      <c r="AZ71" s="99">
        <f>AV71+10</f>
        <v>265.5</v>
      </c>
      <c r="BA71" s="99"/>
      <c r="BB71" s="99"/>
      <c r="BC71" s="99"/>
      <c r="BD71" s="99">
        <f>AZ71+10</f>
        <v>275.5</v>
      </c>
      <c r="BE71" s="99"/>
      <c r="BF71" s="99"/>
      <c r="BG71" s="99"/>
      <c r="BH71" s="99">
        <f>BD71+10</f>
        <v>285.5</v>
      </c>
      <c r="BI71" s="99"/>
      <c r="BJ71" s="99"/>
      <c r="BK71" s="99"/>
    </row>
    <row r="72" spans="1:63" ht="16.5" customHeight="1">
      <c r="A72" s="183"/>
      <c r="B72" s="183"/>
      <c r="C72" s="183"/>
      <c r="D72" s="183"/>
      <c r="E72" s="183"/>
      <c r="F72" s="165"/>
      <c r="G72" s="165"/>
      <c r="H72" s="165"/>
      <c r="I72" s="156"/>
      <c r="J72" s="156"/>
      <c r="K72" s="156"/>
      <c r="L72" s="156"/>
      <c r="M72" s="156"/>
      <c r="N72" s="100" t="s">
        <v>11</v>
      </c>
      <c r="O72" s="100"/>
      <c r="P72" s="99">
        <f>CEILING(P71*0.95,0.5)</f>
        <v>236</v>
      </c>
      <c r="Q72" s="99"/>
      <c r="R72" s="99"/>
      <c r="S72" s="99"/>
      <c r="T72" s="99">
        <f>CEILING(T71*0.95,0.5)</f>
        <v>245.5</v>
      </c>
      <c r="U72" s="99"/>
      <c r="V72" s="99"/>
      <c r="W72" s="99"/>
      <c r="X72" s="99">
        <f>CEILING(X71*0.95,0.5)</f>
        <v>255</v>
      </c>
      <c r="Y72" s="99"/>
      <c r="Z72" s="99"/>
      <c r="AA72" s="99"/>
      <c r="AB72" s="99">
        <f>CEILING(AB71*0.95,0.5)</f>
        <v>264.5</v>
      </c>
      <c r="AC72" s="99"/>
      <c r="AD72" s="99"/>
      <c r="AE72" s="99"/>
      <c r="AG72" s="183"/>
      <c r="AH72" s="183"/>
      <c r="AI72" s="183"/>
      <c r="AJ72" s="183"/>
      <c r="AK72" s="183"/>
      <c r="AL72" s="94"/>
      <c r="AM72" s="94"/>
      <c r="AN72" s="94"/>
      <c r="AO72" s="95"/>
      <c r="AP72" s="95"/>
      <c r="AQ72" s="95"/>
      <c r="AR72" s="95"/>
      <c r="AS72" s="95"/>
      <c r="AT72" s="100" t="s">
        <v>11</v>
      </c>
      <c r="AU72" s="100"/>
      <c r="AV72" s="99">
        <f>CEILING(AV71*0.95,0.5)</f>
        <v>243</v>
      </c>
      <c r="AW72" s="99"/>
      <c r="AX72" s="99"/>
      <c r="AY72" s="99"/>
      <c r="AZ72" s="99">
        <f>CEILING(AZ71*0.95,0.5)</f>
        <v>252.5</v>
      </c>
      <c r="BA72" s="99"/>
      <c r="BB72" s="99"/>
      <c r="BC72" s="99"/>
      <c r="BD72" s="99">
        <f>CEILING(BD71*0.95,0.5)</f>
        <v>262</v>
      </c>
      <c r="BE72" s="99"/>
      <c r="BF72" s="99"/>
      <c r="BG72" s="99"/>
      <c r="BH72" s="99">
        <f>CEILING(BH71*0.95,0.5)</f>
        <v>271.5</v>
      </c>
      <c r="BI72" s="99"/>
      <c r="BJ72" s="99"/>
      <c r="BK72" s="99"/>
    </row>
    <row r="73" spans="1:63" ht="16.5" customHeight="1">
      <c r="A73" s="183"/>
      <c r="B73" s="183"/>
      <c r="C73" s="183"/>
      <c r="D73" s="183"/>
      <c r="E73" s="183"/>
      <c r="F73" s="165"/>
      <c r="G73" s="165"/>
      <c r="H73" s="165"/>
      <c r="I73" s="156"/>
      <c r="J73" s="156"/>
      <c r="K73" s="156"/>
      <c r="L73" s="156"/>
      <c r="M73" s="156"/>
      <c r="N73" s="100" t="s">
        <v>12</v>
      </c>
      <c r="O73" s="100"/>
      <c r="P73" s="101">
        <f>CEILING(169.5*1.3,0.5)</f>
        <v>220.5</v>
      </c>
      <c r="Q73" s="101"/>
      <c r="R73" s="101"/>
      <c r="S73" s="101"/>
      <c r="T73" s="99">
        <f>P73+10</f>
        <v>230.5</v>
      </c>
      <c r="U73" s="99"/>
      <c r="V73" s="99"/>
      <c r="W73" s="99"/>
      <c r="X73" s="99">
        <f>T73+10</f>
        <v>240.5</v>
      </c>
      <c r="Y73" s="99"/>
      <c r="Z73" s="99"/>
      <c r="AA73" s="99"/>
      <c r="AB73" s="99">
        <f>X73+10</f>
        <v>250.5</v>
      </c>
      <c r="AC73" s="99"/>
      <c r="AD73" s="99"/>
      <c r="AE73" s="99"/>
      <c r="AG73" s="183"/>
      <c r="AH73" s="183"/>
      <c r="AI73" s="183"/>
      <c r="AJ73" s="183"/>
      <c r="AK73" s="183"/>
      <c r="AL73" s="94"/>
      <c r="AM73" s="94"/>
      <c r="AN73" s="94"/>
      <c r="AO73" s="95"/>
      <c r="AP73" s="95"/>
      <c r="AQ73" s="95"/>
      <c r="AR73" s="95"/>
      <c r="AS73" s="95"/>
      <c r="AT73" s="100" t="s">
        <v>12</v>
      </c>
      <c r="AU73" s="100"/>
      <c r="AV73" s="101">
        <f>CEILING(176*1.3,0.5)</f>
        <v>229</v>
      </c>
      <c r="AW73" s="101"/>
      <c r="AX73" s="101"/>
      <c r="AY73" s="101"/>
      <c r="AZ73" s="99">
        <f>AV73+10</f>
        <v>239</v>
      </c>
      <c r="BA73" s="99"/>
      <c r="BB73" s="99"/>
      <c r="BC73" s="99"/>
      <c r="BD73" s="99">
        <f>AZ73+10</f>
        <v>249</v>
      </c>
      <c r="BE73" s="99"/>
      <c r="BF73" s="99"/>
      <c r="BG73" s="99"/>
      <c r="BH73" s="99">
        <f>BD73+10</f>
        <v>259</v>
      </c>
      <c r="BI73" s="99"/>
      <c r="BJ73" s="99"/>
      <c r="BK73" s="99"/>
    </row>
    <row r="74" spans="1:63" ht="16.5" customHeight="1">
      <c r="A74" s="183"/>
      <c r="B74" s="183"/>
      <c r="C74" s="183"/>
      <c r="D74" s="183"/>
      <c r="E74" s="183"/>
      <c r="F74" s="165"/>
      <c r="G74" s="165"/>
      <c r="H74" s="165"/>
      <c r="I74" s="97" t="s">
        <v>65</v>
      </c>
      <c r="J74" s="97"/>
      <c r="K74" s="97"/>
      <c r="L74" s="97"/>
      <c r="M74" s="97"/>
      <c r="N74" s="98" t="s">
        <v>58</v>
      </c>
      <c r="O74" s="98"/>
      <c r="P74" s="96">
        <f>CEILING(P71*0.4+5,0.5)</f>
        <v>104.5</v>
      </c>
      <c r="Q74" s="96"/>
      <c r="R74" s="96"/>
      <c r="S74" s="96"/>
      <c r="T74" s="96">
        <f>CEILING(T71*0.4+5,0.5)</f>
        <v>108.5</v>
      </c>
      <c r="U74" s="96"/>
      <c r="V74" s="96"/>
      <c r="W74" s="96"/>
      <c r="X74" s="96">
        <f>CEILING(X71*0.4+5,0.5)</f>
        <v>112.5</v>
      </c>
      <c r="Y74" s="96"/>
      <c r="Z74" s="96"/>
      <c r="AA74" s="96"/>
      <c r="AB74" s="96">
        <f>CEILING(AB71*0.4+5,0.5)</f>
        <v>116.5</v>
      </c>
      <c r="AC74" s="96"/>
      <c r="AD74" s="96"/>
      <c r="AE74" s="96"/>
      <c r="AG74" s="183"/>
      <c r="AH74" s="183"/>
      <c r="AI74" s="183"/>
      <c r="AJ74" s="183"/>
      <c r="AK74" s="183"/>
      <c r="AL74" s="94"/>
      <c r="AM74" s="94"/>
      <c r="AN74" s="94"/>
      <c r="AO74" s="97" t="s">
        <v>20</v>
      </c>
      <c r="AP74" s="97"/>
      <c r="AQ74" s="97"/>
      <c r="AR74" s="97"/>
      <c r="AS74" s="97"/>
      <c r="AT74" s="98" t="s">
        <v>58</v>
      </c>
      <c r="AU74" s="98"/>
      <c r="AV74" s="96">
        <f>CEILING(AV71*0.47+5,0.5)</f>
        <v>125.5</v>
      </c>
      <c r="AW74" s="96"/>
      <c r="AX74" s="96"/>
      <c r="AY74" s="96"/>
      <c r="AZ74" s="96">
        <f>CEILING(AZ71*0.47+5,0.5)</f>
        <v>130</v>
      </c>
      <c r="BA74" s="96"/>
      <c r="BB74" s="96"/>
      <c r="BC74" s="96"/>
      <c r="BD74" s="96">
        <f>CEILING(BD71*0.47+5,0.5)</f>
        <v>134.5</v>
      </c>
      <c r="BE74" s="96"/>
      <c r="BF74" s="96"/>
      <c r="BG74" s="96"/>
      <c r="BH74" s="96">
        <f>CEILING(BH71*0.47+5,0.5)</f>
        <v>139.5</v>
      </c>
      <c r="BI74" s="96"/>
      <c r="BJ74" s="96"/>
      <c r="BK74" s="96"/>
    </row>
    <row r="75" spans="1:63" ht="16.5" customHeight="1">
      <c r="A75" s="183"/>
      <c r="B75" s="183"/>
      <c r="C75" s="183"/>
      <c r="D75" s="183"/>
      <c r="E75" s="183"/>
      <c r="F75" s="165"/>
      <c r="G75" s="165"/>
      <c r="H75" s="165"/>
      <c r="I75" s="97"/>
      <c r="J75" s="97"/>
      <c r="K75" s="97"/>
      <c r="L75" s="97"/>
      <c r="M75" s="97"/>
      <c r="N75" s="98" t="s">
        <v>11</v>
      </c>
      <c r="O75" s="98"/>
      <c r="P75" s="96">
        <f>CEILING(P74*0.95,0.5)</f>
        <v>99.5</v>
      </c>
      <c r="Q75" s="96"/>
      <c r="R75" s="96"/>
      <c r="S75" s="96"/>
      <c r="T75" s="96">
        <f>CEILING(T74*0.95,0.5)</f>
        <v>103.5</v>
      </c>
      <c r="U75" s="96"/>
      <c r="V75" s="96"/>
      <c r="W75" s="96"/>
      <c r="X75" s="96">
        <f>CEILING(X74*0.95,0.5)</f>
        <v>107</v>
      </c>
      <c r="Y75" s="96"/>
      <c r="Z75" s="96"/>
      <c r="AA75" s="96"/>
      <c r="AB75" s="96">
        <f>CEILING(AB74*0.95,0.5)</f>
        <v>111</v>
      </c>
      <c r="AC75" s="96"/>
      <c r="AD75" s="96"/>
      <c r="AE75" s="96"/>
      <c r="AG75" s="183"/>
      <c r="AH75" s="183"/>
      <c r="AI75" s="183"/>
      <c r="AJ75" s="183"/>
      <c r="AK75" s="183"/>
      <c r="AL75" s="94"/>
      <c r="AM75" s="94"/>
      <c r="AN75" s="94"/>
      <c r="AO75" s="97"/>
      <c r="AP75" s="97"/>
      <c r="AQ75" s="97"/>
      <c r="AR75" s="97"/>
      <c r="AS75" s="97"/>
      <c r="AT75" s="98" t="s">
        <v>11</v>
      </c>
      <c r="AU75" s="98"/>
      <c r="AV75" s="96">
        <f>CEILING(AV74*0.95,0.5)</f>
        <v>119.5</v>
      </c>
      <c r="AW75" s="96"/>
      <c r="AX75" s="96"/>
      <c r="AY75" s="96"/>
      <c r="AZ75" s="96">
        <f>CEILING(AZ74*0.95,0.5)</f>
        <v>123.5</v>
      </c>
      <c r="BA75" s="96"/>
      <c r="BB75" s="96"/>
      <c r="BC75" s="96"/>
      <c r="BD75" s="96">
        <f>CEILING(BD74*0.95,0.5)</f>
        <v>128</v>
      </c>
      <c r="BE75" s="96"/>
      <c r="BF75" s="96"/>
      <c r="BG75" s="96"/>
      <c r="BH75" s="96">
        <f>CEILING(BH74*0.95,0.5)</f>
        <v>133</v>
      </c>
      <c r="BI75" s="96"/>
      <c r="BJ75" s="96"/>
      <c r="BK75" s="96"/>
    </row>
    <row r="76" spans="1:63" ht="16.5" customHeight="1">
      <c r="A76" s="183"/>
      <c r="B76" s="183"/>
      <c r="C76" s="183"/>
      <c r="D76" s="183"/>
      <c r="E76" s="183"/>
      <c r="F76" s="165"/>
      <c r="G76" s="165"/>
      <c r="H76" s="165"/>
      <c r="I76" s="97"/>
      <c r="J76" s="97"/>
      <c r="K76" s="97"/>
      <c r="L76" s="97"/>
      <c r="M76" s="97"/>
      <c r="N76" s="98" t="s">
        <v>12</v>
      </c>
      <c r="O76" s="98"/>
      <c r="P76" s="96">
        <f>CEILING(P73*0.4+5,0.5)</f>
        <v>93.5</v>
      </c>
      <c r="Q76" s="96"/>
      <c r="R76" s="96"/>
      <c r="S76" s="96"/>
      <c r="T76" s="96">
        <f>CEILING(T73*0.4+5,0.5)</f>
        <v>97.5</v>
      </c>
      <c r="U76" s="96"/>
      <c r="V76" s="96"/>
      <c r="W76" s="96"/>
      <c r="X76" s="96">
        <f>CEILING(X73*0.4+5,0.5)</f>
        <v>101.5</v>
      </c>
      <c r="Y76" s="96"/>
      <c r="Z76" s="96"/>
      <c r="AA76" s="96"/>
      <c r="AB76" s="96">
        <f>CEILING(AB73*0.4+5,0.5)</f>
        <v>105.5</v>
      </c>
      <c r="AC76" s="96"/>
      <c r="AD76" s="96"/>
      <c r="AE76" s="96"/>
      <c r="AG76" s="183"/>
      <c r="AH76" s="183"/>
      <c r="AI76" s="183"/>
      <c r="AJ76" s="183"/>
      <c r="AK76" s="183"/>
      <c r="AL76" s="94"/>
      <c r="AM76" s="94"/>
      <c r="AN76" s="94"/>
      <c r="AO76" s="97"/>
      <c r="AP76" s="97"/>
      <c r="AQ76" s="97"/>
      <c r="AR76" s="97"/>
      <c r="AS76" s="97"/>
      <c r="AT76" s="98" t="s">
        <v>12</v>
      </c>
      <c r="AU76" s="98"/>
      <c r="AV76" s="96">
        <f>CEILING(AV73*0.47+5,0.5)</f>
        <v>113</v>
      </c>
      <c r="AW76" s="96"/>
      <c r="AX76" s="96"/>
      <c r="AY76" s="96"/>
      <c r="AZ76" s="96">
        <f>CEILING(AZ73*0.47+5,0.5)</f>
        <v>117.5</v>
      </c>
      <c r="BA76" s="96"/>
      <c r="BB76" s="96"/>
      <c r="BC76" s="96"/>
      <c r="BD76" s="96">
        <f>CEILING(BD73*0.47+5,0.5)</f>
        <v>122.5</v>
      </c>
      <c r="BE76" s="96"/>
      <c r="BF76" s="96"/>
      <c r="BG76" s="96"/>
      <c r="BH76" s="96">
        <f>CEILING(BH73*0.47+5,0.5)</f>
        <v>127</v>
      </c>
      <c r="BI76" s="96"/>
      <c r="BJ76" s="96"/>
      <c r="BK76" s="96"/>
    </row>
    <row r="77" spans="1:63" ht="16.5" customHeight="1">
      <c r="A77" s="183"/>
      <c r="B77" s="183"/>
      <c r="C77" s="183"/>
      <c r="D77" s="183"/>
      <c r="E77" s="183"/>
      <c r="F77" s="165"/>
      <c r="G77" s="165"/>
      <c r="H77" s="165"/>
      <c r="I77" s="158" t="s">
        <v>21</v>
      </c>
      <c r="J77" s="158"/>
      <c r="K77" s="158"/>
      <c r="L77" s="158"/>
      <c r="M77" s="158"/>
      <c r="N77" s="84" t="s">
        <v>10</v>
      </c>
      <c r="O77" s="84"/>
      <c r="P77" s="83">
        <f>P71-4</f>
        <v>244</v>
      </c>
      <c r="Q77" s="83"/>
      <c r="R77" s="83"/>
      <c r="S77" s="83"/>
      <c r="T77" s="83">
        <f>P77+8</f>
        <v>252</v>
      </c>
      <c r="U77" s="83"/>
      <c r="V77" s="83"/>
      <c r="W77" s="83"/>
      <c r="X77" s="83">
        <f>T77+8</f>
        <v>260</v>
      </c>
      <c r="Y77" s="83"/>
      <c r="Z77" s="83"/>
      <c r="AA77" s="83"/>
      <c r="AB77" s="83">
        <f>X77+8</f>
        <v>268</v>
      </c>
      <c r="AC77" s="83"/>
      <c r="AD77" s="83"/>
      <c r="AE77" s="83"/>
      <c r="AG77" s="183"/>
      <c r="AH77" s="183"/>
      <c r="AI77" s="183"/>
      <c r="AJ77" s="183"/>
      <c r="AK77" s="183"/>
      <c r="AL77" s="94"/>
      <c r="AM77" s="94"/>
      <c r="AN77" s="94"/>
      <c r="AO77" s="82" t="s">
        <v>21</v>
      </c>
      <c r="AP77" s="82"/>
      <c r="AQ77" s="82"/>
      <c r="AR77" s="82"/>
      <c r="AS77" s="82"/>
      <c r="AT77" s="84" t="s">
        <v>10</v>
      </c>
      <c r="AU77" s="84"/>
      <c r="AV77" s="83">
        <f>AV71-4</f>
        <v>251.5</v>
      </c>
      <c r="AW77" s="83"/>
      <c r="AX77" s="83"/>
      <c r="AY77" s="83"/>
      <c r="AZ77" s="83">
        <f>AV77+8</f>
        <v>259.5</v>
      </c>
      <c r="BA77" s="83"/>
      <c r="BB77" s="83"/>
      <c r="BC77" s="83"/>
      <c r="BD77" s="83">
        <f>AZ77+8</f>
        <v>267.5</v>
      </c>
      <c r="BE77" s="83"/>
      <c r="BF77" s="83"/>
      <c r="BG77" s="83"/>
      <c r="BH77" s="83">
        <f>BD77+8</f>
        <v>275.5</v>
      </c>
      <c r="BI77" s="83"/>
      <c r="BJ77" s="83"/>
      <c r="BK77" s="83"/>
    </row>
    <row r="78" spans="1:63" ht="16.5" customHeight="1">
      <c r="A78" s="183"/>
      <c r="B78" s="183"/>
      <c r="C78" s="183"/>
      <c r="D78" s="183"/>
      <c r="E78" s="183"/>
      <c r="F78" s="165"/>
      <c r="G78" s="165"/>
      <c r="H78" s="165"/>
      <c r="I78" s="158"/>
      <c r="J78" s="158"/>
      <c r="K78" s="158"/>
      <c r="L78" s="158"/>
      <c r="M78" s="158"/>
      <c r="N78" s="84" t="s">
        <v>11</v>
      </c>
      <c r="O78" s="84"/>
      <c r="P78" s="83">
        <f>CEILING(P77*0.95,0.5)</f>
        <v>232</v>
      </c>
      <c r="Q78" s="83"/>
      <c r="R78" s="83"/>
      <c r="S78" s="83"/>
      <c r="T78" s="83">
        <f>CEILING(T77*0.95,0.5)</f>
        <v>239.5</v>
      </c>
      <c r="U78" s="83"/>
      <c r="V78" s="83"/>
      <c r="W78" s="83"/>
      <c r="X78" s="83">
        <f>CEILING(X77*0.95,0.5)</f>
        <v>247</v>
      </c>
      <c r="Y78" s="83"/>
      <c r="Z78" s="83"/>
      <c r="AA78" s="83"/>
      <c r="AB78" s="83">
        <f>CEILING(AB77*0.95,0.5)</f>
        <v>255</v>
      </c>
      <c r="AC78" s="83"/>
      <c r="AD78" s="83"/>
      <c r="AE78" s="83"/>
      <c r="AG78" s="183"/>
      <c r="AH78" s="183"/>
      <c r="AI78" s="183"/>
      <c r="AJ78" s="183"/>
      <c r="AK78" s="183"/>
      <c r="AL78" s="94"/>
      <c r="AM78" s="94"/>
      <c r="AN78" s="94"/>
      <c r="AO78" s="82"/>
      <c r="AP78" s="82"/>
      <c r="AQ78" s="82"/>
      <c r="AR78" s="82"/>
      <c r="AS78" s="82"/>
      <c r="AT78" s="84" t="s">
        <v>11</v>
      </c>
      <c r="AU78" s="84"/>
      <c r="AV78" s="83">
        <f>CEILING(AV77*0.95,0.5)</f>
        <v>239</v>
      </c>
      <c r="AW78" s="83"/>
      <c r="AX78" s="83"/>
      <c r="AY78" s="83"/>
      <c r="AZ78" s="83">
        <f>CEILING(AZ77*0.95,0.5)</f>
        <v>247</v>
      </c>
      <c r="BA78" s="83"/>
      <c r="BB78" s="83"/>
      <c r="BC78" s="83"/>
      <c r="BD78" s="83">
        <f>CEILING(BD77*0.95,0.5)</f>
        <v>254.5</v>
      </c>
      <c r="BE78" s="83"/>
      <c r="BF78" s="83"/>
      <c r="BG78" s="83"/>
      <c r="BH78" s="83">
        <f>CEILING(BH77*0.95,0.5)</f>
        <v>262</v>
      </c>
      <c r="BI78" s="83"/>
      <c r="BJ78" s="83"/>
      <c r="BK78" s="83"/>
    </row>
    <row r="79" spans="1:63" ht="16.5" customHeight="1">
      <c r="A79" s="183"/>
      <c r="B79" s="183"/>
      <c r="C79" s="183"/>
      <c r="D79" s="183"/>
      <c r="E79" s="183"/>
      <c r="F79" s="165"/>
      <c r="G79" s="165"/>
      <c r="H79" s="165"/>
      <c r="I79" s="158"/>
      <c r="J79" s="158"/>
      <c r="K79" s="158"/>
      <c r="L79" s="158"/>
      <c r="M79" s="158"/>
      <c r="N79" s="84" t="s">
        <v>12</v>
      </c>
      <c r="O79" s="84"/>
      <c r="P79" s="83">
        <f>P73-4</f>
        <v>216.5</v>
      </c>
      <c r="Q79" s="83"/>
      <c r="R79" s="83"/>
      <c r="S79" s="83"/>
      <c r="T79" s="83">
        <f>P79+8</f>
        <v>224.5</v>
      </c>
      <c r="U79" s="83"/>
      <c r="V79" s="83"/>
      <c r="W79" s="83"/>
      <c r="X79" s="83">
        <f>T79+8</f>
        <v>232.5</v>
      </c>
      <c r="Y79" s="83"/>
      <c r="Z79" s="83"/>
      <c r="AA79" s="83"/>
      <c r="AB79" s="83">
        <f>X79+8</f>
        <v>240.5</v>
      </c>
      <c r="AC79" s="83"/>
      <c r="AD79" s="83"/>
      <c r="AE79" s="83"/>
      <c r="AG79" s="183"/>
      <c r="AH79" s="183"/>
      <c r="AI79" s="183"/>
      <c r="AJ79" s="183"/>
      <c r="AK79" s="183"/>
      <c r="AL79" s="94"/>
      <c r="AM79" s="94"/>
      <c r="AN79" s="94"/>
      <c r="AO79" s="82"/>
      <c r="AP79" s="82"/>
      <c r="AQ79" s="82"/>
      <c r="AR79" s="82"/>
      <c r="AS79" s="82"/>
      <c r="AT79" s="84" t="s">
        <v>12</v>
      </c>
      <c r="AU79" s="84"/>
      <c r="AV79" s="83">
        <f>AV73-4</f>
        <v>225</v>
      </c>
      <c r="AW79" s="83"/>
      <c r="AX79" s="83"/>
      <c r="AY79" s="83"/>
      <c r="AZ79" s="83">
        <f>AV79+8</f>
        <v>233</v>
      </c>
      <c r="BA79" s="83"/>
      <c r="BB79" s="83"/>
      <c r="BC79" s="83"/>
      <c r="BD79" s="83">
        <f>AZ79+8</f>
        <v>241</v>
      </c>
      <c r="BE79" s="83"/>
      <c r="BF79" s="83"/>
      <c r="BG79" s="83"/>
      <c r="BH79" s="83">
        <f>BD79+8</f>
        <v>249</v>
      </c>
      <c r="BI79" s="83"/>
      <c r="BJ79" s="83"/>
      <c r="BK79" s="83"/>
    </row>
    <row r="80" spans="1:63" ht="16.5" customHeight="1">
      <c r="A80" s="183"/>
      <c r="B80" s="183"/>
      <c r="C80" s="183"/>
      <c r="D80" s="183"/>
      <c r="E80" s="183"/>
      <c r="F80" s="165"/>
      <c r="G80" s="165"/>
      <c r="H80" s="165"/>
      <c r="I80" s="80" t="s">
        <v>66</v>
      </c>
      <c r="J80" s="80"/>
      <c r="K80" s="80"/>
      <c r="L80" s="80"/>
      <c r="M80" s="80"/>
      <c r="N80" s="81" t="s">
        <v>58</v>
      </c>
      <c r="O80" s="81"/>
      <c r="P80" s="89">
        <f>CEILING(P77*0.4+5,0.5)</f>
        <v>103</v>
      </c>
      <c r="Q80" s="89"/>
      <c r="R80" s="89"/>
      <c r="S80" s="89"/>
      <c r="T80" s="89">
        <f>CEILING(T77*0.4+5,0.5)</f>
        <v>106</v>
      </c>
      <c r="U80" s="89"/>
      <c r="V80" s="89"/>
      <c r="W80" s="89"/>
      <c r="X80" s="89">
        <f>CEILING(X77*0.4+5,0.5)</f>
        <v>109</v>
      </c>
      <c r="Y80" s="89"/>
      <c r="Z80" s="89"/>
      <c r="AA80" s="89"/>
      <c r="AB80" s="89">
        <f>CEILING(AB77*0.4+5,0.5)</f>
        <v>112.5</v>
      </c>
      <c r="AC80" s="89"/>
      <c r="AD80" s="89"/>
      <c r="AE80" s="89"/>
      <c r="AG80" s="183"/>
      <c r="AH80" s="183"/>
      <c r="AI80" s="183"/>
      <c r="AJ80" s="183"/>
      <c r="AK80" s="183"/>
      <c r="AL80" s="94"/>
      <c r="AM80" s="94"/>
      <c r="AN80" s="94"/>
      <c r="AO80" s="80" t="s">
        <v>23</v>
      </c>
      <c r="AP80" s="80"/>
      <c r="AQ80" s="80"/>
      <c r="AR80" s="80"/>
      <c r="AS80" s="80"/>
      <c r="AT80" s="81" t="s">
        <v>58</v>
      </c>
      <c r="AU80" s="81"/>
      <c r="AV80" s="89">
        <f>CEILING(AV77*0.47+5,0.5)</f>
        <v>123.5</v>
      </c>
      <c r="AW80" s="89"/>
      <c r="AX80" s="89"/>
      <c r="AY80" s="89"/>
      <c r="AZ80" s="89">
        <f>CEILING(AZ77*0.47+5,0.5)</f>
        <v>127</v>
      </c>
      <c r="BA80" s="89"/>
      <c r="BB80" s="89"/>
      <c r="BC80" s="89"/>
      <c r="BD80" s="89">
        <f>CEILING(BD77*0.47+5,0.5)</f>
        <v>131</v>
      </c>
      <c r="BE80" s="89"/>
      <c r="BF80" s="89"/>
      <c r="BG80" s="89"/>
      <c r="BH80" s="89">
        <f>CEILING(BH77*0.47+5,0.5)</f>
        <v>134.5</v>
      </c>
      <c r="BI80" s="89"/>
      <c r="BJ80" s="89"/>
      <c r="BK80" s="89"/>
    </row>
    <row r="81" spans="1:63" ht="16.5" customHeight="1">
      <c r="A81" s="183"/>
      <c r="B81" s="183"/>
      <c r="C81" s="183"/>
      <c r="D81" s="183"/>
      <c r="E81" s="183"/>
      <c r="F81" s="165"/>
      <c r="G81" s="165"/>
      <c r="H81" s="165"/>
      <c r="I81" s="80"/>
      <c r="J81" s="80"/>
      <c r="K81" s="80"/>
      <c r="L81" s="80"/>
      <c r="M81" s="80"/>
      <c r="N81" s="81" t="s">
        <v>11</v>
      </c>
      <c r="O81" s="81"/>
      <c r="P81" s="89">
        <f>CEILING(P80*0.95,0.5)</f>
        <v>98</v>
      </c>
      <c r="Q81" s="89"/>
      <c r="R81" s="89"/>
      <c r="S81" s="89"/>
      <c r="T81" s="89">
        <f>CEILING(T80*0.95,0.5)</f>
        <v>101</v>
      </c>
      <c r="U81" s="89"/>
      <c r="V81" s="89"/>
      <c r="W81" s="89"/>
      <c r="X81" s="89">
        <f>CEILING(X80*0.95,0.5)</f>
        <v>104</v>
      </c>
      <c r="Y81" s="89"/>
      <c r="Z81" s="89"/>
      <c r="AA81" s="89"/>
      <c r="AB81" s="89">
        <f>CEILING(AB80*0.95,0.5)</f>
        <v>107</v>
      </c>
      <c r="AC81" s="89"/>
      <c r="AD81" s="89"/>
      <c r="AE81" s="89"/>
      <c r="AG81" s="183"/>
      <c r="AH81" s="183"/>
      <c r="AI81" s="183"/>
      <c r="AJ81" s="183"/>
      <c r="AK81" s="183"/>
      <c r="AL81" s="94"/>
      <c r="AM81" s="94"/>
      <c r="AN81" s="94"/>
      <c r="AO81" s="80"/>
      <c r="AP81" s="80"/>
      <c r="AQ81" s="80"/>
      <c r="AR81" s="80"/>
      <c r="AS81" s="80"/>
      <c r="AT81" s="81" t="s">
        <v>11</v>
      </c>
      <c r="AU81" s="81"/>
      <c r="AV81" s="89">
        <f>CEILING(AV80*0.95,0.5)</f>
        <v>117.5</v>
      </c>
      <c r="AW81" s="89"/>
      <c r="AX81" s="89"/>
      <c r="AY81" s="89"/>
      <c r="AZ81" s="89">
        <f>CEILING(AZ80*0.95,0.5)</f>
        <v>121</v>
      </c>
      <c r="BA81" s="89"/>
      <c r="BB81" s="89"/>
      <c r="BC81" s="89"/>
      <c r="BD81" s="89">
        <f>CEILING(BD80*0.95,0.5)</f>
        <v>124.5</v>
      </c>
      <c r="BE81" s="89"/>
      <c r="BF81" s="89"/>
      <c r="BG81" s="89"/>
      <c r="BH81" s="89">
        <f>CEILING(BH80*0.95,0.5)</f>
        <v>128</v>
      </c>
      <c r="BI81" s="89"/>
      <c r="BJ81" s="89"/>
      <c r="BK81" s="89"/>
    </row>
    <row r="82" spans="1:63" ht="16.5" customHeight="1">
      <c r="A82" s="183"/>
      <c r="B82" s="183"/>
      <c r="C82" s="183"/>
      <c r="D82" s="183"/>
      <c r="E82" s="183"/>
      <c r="F82" s="165"/>
      <c r="G82" s="165"/>
      <c r="H82" s="165"/>
      <c r="I82" s="80"/>
      <c r="J82" s="80"/>
      <c r="K82" s="80"/>
      <c r="L82" s="80"/>
      <c r="M82" s="80"/>
      <c r="N82" s="81" t="s">
        <v>12</v>
      </c>
      <c r="O82" s="81"/>
      <c r="P82" s="89">
        <f>CEILING(P79*0.4+5,0.5)</f>
        <v>92</v>
      </c>
      <c r="Q82" s="89"/>
      <c r="R82" s="89"/>
      <c r="S82" s="89"/>
      <c r="T82" s="89">
        <f>CEILING(T79*0.4+5,0.5)</f>
        <v>95</v>
      </c>
      <c r="U82" s="89"/>
      <c r="V82" s="89"/>
      <c r="W82" s="89"/>
      <c r="X82" s="89">
        <f>CEILING(X79*0.4+5,0.5)</f>
        <v>98</v>
      </c>
      <c r="Y82" s="89"/>
      <c r="Z82" s="89"/>
      <c r="AA82" s="89"/>
      <c r="AB82" s="89">
        <f>CEILING(AB79*0.4+5,0.5)</f>
        <v>101.5</v>
      </c>
      <c r="AC82" s="89"/>
      <c r="AD82" s="89"/>
      <c r="AE82" s="89"/>
      <c r="AG82" s="183"/>
      <c r="AH82" s="183"/>
      <c r="AI82" s="183"/>
      <c r="AJ82" s="183"/>
      <c r="AK82" s="183"/>
      <c r="AL82" s="94"/>
      <c r="AM82" s="94"/>
      <c r="AN82" s="94"/>
      <c r="AO82" s="80"/>
      <c r="AP82" s="80"/>
      <c r="AQ82" s="80"/>
      <c r="AR82" s="80"/>
      <c r="AS82" s="80"/>
      <c r="AT82" s="81" t="s">
        <v>12</v>
      </c>
      <c r="AU82" s="81"/>
      <c r="AV82" s="89">
        <f>CEILING(AV79*0.47+5,0.5)</f>
        <v>111</v>
      </c>
      <c r="AW82" s="89"/>
      <c r="AX82" s="89"/>
      <c r="AY82" s="89"/>
      <c r="AZ82" s="89">
        <f>CEILING(AZ79*0.47+5,0.5)</f>
        <v>115</v>
      </c>
      <c r="BA82" s="89"/>
      <c r="BB82" s="89"/>
      <c r="BC82" s="89"/>
      <c r="BD82" s="89">
        <f>CEILING(BD79*0.47+5,0.5)</f>
        <v>118.5</v>
      </c>
      <c r="BE82" s="89"/>
      <c r="BF82" s="89"/>
      <c r="BG82" s="89"/>
      <c r="BH82" s="89">
        <f>CEILING(BH79*0.47+5,0.5)</f>
        <v>122.5</v>
      </c>
      <c r="BI82" s="89"/>
      <c r="BJ82" s="89"/>
      <c r="BK82" s="89"/>
    </row>
    <row r="83" spans="1:63" ht="16.5" customHeight="1">
      <c r="A83" s="185">
        <v>810</v>
      </c>
      <c r="B83" s="185"/>
      <c r="C83" s="185"/>
      <c r="D83" s="185"/>
      <c r="E83" s="185"/>
      <c r="F83" s="165">
        <v>10</v>
      </c>
      <c r="G83" s="165"/>
      <c r="H83" s="165"/>
      <c r="I83" s="95" t="s">
        <v>9</v>
      </c>
      <c r="J83" s="95"/>
      <c r="K83" s="95"/>
      <c r="L83" s="95"/>
      <c r="M83" s="95"/>
      <c r="N83" s="100" t="s">
        <v>10</v>
      </c>
      <c r="O83" s="100"/>
      <c r="P83" s="99">
        <f>P95+25</f>
        <v>300</v>
      </c>
      <c r="Q83" s="99"/>
      <c r="R83" s="99"/>
      <c r="S83" s="99"/>
      <c r="T83" s="99">
        <f>P83+30</f>
        <v>330</v>
      </c>
      <c r="U83" s="99"/>
      <c r="V83" s="99"/>
      <c r="W83" s="99"/>
      <c r="X83" s="99">
        <f>T83+30</f>
        <v>360</v>
      </c>
      <c r="Y83" s="99"/>
      <c r="Z83" s="99"/>
      <c r="AA83" s="99"/>
      <c r="AB83" s="99">
        <f>X83+30</f>
        <v>390</v>
      </c>
      <c r="AC83" s="99"/>
      <c r="AD83" s="99"/>
      <c r="AE83" s="99"/>
      <c r="AG83" s="9" t="s">
        <v>60</v>
      </c>
      <c r="AH83" s="31"/>
      <c r="AI83" s="31"/>
      <c r="AJ83" s="26"/>
      <c r="AK83" s="26"/>
      <c r="AL83" s="26"/>
      <c r="AM83" s="26"/>
      <c r="AN83" s="26"/>
    </row>
    <row r="84" spans="1:63" ht="16.5" customHeight="1">
      <c r="A84" s="185"/>
      <c r="B84" s="185"/>
      <c r="C84" s="185"/>
      <c r="D84" s="185"/>
      <c r="E84" s="185"/>
      <c r="F84" s="165"/>
      <c r="G84" s="165"/>
      <c r="H84" s="165"/>
      <c r="I84" s="95"/>
      <c r="J84" s="95"/>
      <c r="K84" s="95"/>
      <c r="L84" s="95"/>
      <c r="M84" s="95"/>
      <c r="N84" s="100" t="s">
        <v>11</v>
      </c>
      <c r="O84" s="100"/>
      <c r="P84" s="99">
        <f>CEILING(P83*0.95,0.5)</f>
        <v>285</v>
      </c>
      <c r="Q84" s="99"/>
      <c r="R84" s="99"/>
      <c r="S84" s="99"/>
      <c r="T84" s="99">
        <f>CEILING(T83*0.95,0.5)</f>
        <v>313.5</v>
      </c>
      <c r="U84" s="99"/>
      <c r="V84" s="99"/>
      <c r="W84" s="99"/>
      <c r="X84" s="99">
        <f>CEILING(X83*0.95,0.5)</f>
        <v>342</v>
      </c>
      <c r="Y84" s="99"/>
      <c r="Z84" s="99"/>
      <c r="AA84" s="99"/>
      <c r="AB84" s="99">
        <f>CEILING(AB83*0.95,0.5)</f>
        <v>370.5</v>
      </c>
      <c r="AC84" s="99"/>
      <c r="AD84" s="99"/>
      <c r="AE84" s="99"/>
      <c r="AG84" s="9" t="s">
        <v>68</v>
      </c>
      <c r="AH84" s="31"/>
      <c r="AI84" s="31"/>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row>
    <row r="85" spans="1:63" ht="16.5" customHeight="1">
      <c r="A85" s="185"/>
      <c r="B85" s="185"/>
      <c r="C85" s="185"/>
      <c r="D85" s="185"/>
      <c r="E85" s="185"/>
      <c r="F85" s="165"/>
      <c r="G85" s="165"/>
      <c r="H85" s="165"/>
      <c r="I85" s="95"/>
      <c r="J85" s="95"/>
      <c r="K85" s="95"/>
      <c r="L85" s="95"/>
      <c r="M85" s="95"/>
      <c r="N85" s="100" t="s">
        <v>12</v>
      </c>
      <c r="O85" s="100"/>
      <c r="P85" s="99">
        <f>P97+25</f>
        <v>272</v>
      </c>
      <c r="Q85" s="99"/>
      <c r="R85" s="99"/>
      <c r="S85" s="99"/>
      <c r="T85" s="99">
        <f>P85+30</f>
        <v>302</v>
      </c>
      <c r="U85" s="99"/>
      <c r="V85" s="99"/>
      <c r="W85" s="99"/>
      <c r="X85" s="99">
        <f>T85+30</f>
        <v>332</v>
      </c>
      <c r="Y85" s="99"/>
      <c r="Z85" s="99"/>
      <c r="AA85" s="99"/>
      <c r="AB85" s="99">
        <f>X85+30</f>
        <v>362</v>
      </c>
      <c r="AC85" s="99"/>
      <c r="AD85" s="99"/>
      <c r="AE85" s="99"/>
      <c r="AG85" s="9" t="s">
        <v>69</v>
      </c>
      <c r="AH85" s="31"/>
      <c r="AI85" s="31"/>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row>
    <row r="86" spans="1:63" ht="16.5" customHeight="1">
      <c r="A86" s="185"/>
      <c r="B86" s="185"/>
      <c r="C86" s="185"/>
      <c r="D86" s="185"/>
      <c r="E86" s="185"/>
      <c r="F86" s="165"/>
      <c r="G86" s="165"/>
      <c r="H86" s="165"/>
      <c r="I86" s="97" t="s">
        <v>70</v>
      </c>
      <c r="J86" s="97"/>
      <c r="K86" s="97"/>
      <c r="L86" s="97"/>
      <c r="M86" s="97"/>
      <c r="N86" s="98" t="s">
        <v>10</v>
      </c>
      <c r="O86" s="98"/>
      <c r="P86" s="96">
        <f>CEILING(P83*0.57+5,0.5)</f>
        <v>176</v>
      </c>
      <c r="Q86" s="96"/>
      <c r="R86" s="96"/>
      <c r="S86" s="96"/>
      <c r="T86" s="96">
        <f>CEILING(T83*0.57+5,0.5)</f>
        <v>193.5</v>
      </c>
      <c r="U86" s="96"/>
      <c r="V86" s="96"/>
      <c r="W86" s="96"/>
      <c r="X86" s="96">
        <f>CEILING(X83*0.57+5,0.5)</f>
        <v>210.5</v>
      </c>
      <c r="Y86" s="96"/>
      <c r="Z86" s="96"/>
      <c r="AA86" s="96"/>
      <c r="AB86" s="96">
        <f>CEILING(AB83*0.57+5,0.5)</f>
        <v>227.5</v>
      </c>
      <c r="AC86" s="96"/>
      <c r="AD86" s="96"/>
      <c r="AE86" s="96"/>
      <c r="AG86" s="9" t="s">
        <v>26</v>
      </c>
      <c r="AH86" s="9"/>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row>
    <row r="87" spans="1:63" ht="16.5" customHeight="1">
      <c r="A87" s="185"/>
      <c r="B87" s="185"/>
      <c r="C87" s="185"/>
      <c r="D87" s="185"/>
      <c r="E87" s="185"/>
      <c r="F87" s="165"/>
      <c r="G87" s="165"/>
      <c r="H87" s="165"/>
      <c r="I87" s="97"/>
      <c r="J87" s="97"/>
      <c r="K87" s="97"/>
      <c r="L87" s="97"/>
      <c r="M87" s="97"/>
      <c r="N87" s="98" t="s">
        <v>11</v>
      </c>
      <c r="O87" s="98"/>
      <c r="P87" s="96">
        <f>CEILING(P86*0.95,0.5)</f>
        <v>167.5</v>
      </c>
      <c r="Q87" s="96"/>
      <c r="R87" s="96"/>
      <c r="S87" s="96"/>
      <c r="T87" s="96">
        <f>CEILING(T86*0.95,0.5)</f>
        <v>184</v>
      </c>
      <c r="U87" s="96"/>
      <c r="V87" s="96"/>
      <c r="W87" s="96"/>
      <c r="X87" s="96">
        <f>CEILING(X86*0.95,0.5)</f>
        <v>200</v>
      </c>
      <c r="Y87" s="96"/>
      <c r="Z87" s="96"/>
      <c r="AA87" s="96"/>
      <c r="AB87" s="96">
        <f>CEILING(AB86*0.95,0.5)</f>
        <v>216.5</v>
      </c>
      <c r="AC87" s="96"/>
      <c r="AD87" s="96"/>
      <c r="AE87" s="96"/>
      <c r="AG87" s="9"/>
      <c r="AH87" s="9"/>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row>
    <row r="88" spans="1:63" ht="16.5" customHeight="1" thickBot="1">
      <c r="A88" s="185"/>
      <c r="B88" s="185"/>
      <c r="C88" s="185"/>
      <c r="D88" s="185"/>
      <c r="E88" s="185"/>
      <c r="F88" s="165"/>
      <c r="G88" s="165"/>
      <c r="H88" s="165"/>
      <c r="I88" s="97"/>
      <c r="J88" s="97"/>
      <c r="K88" s="97"/>
      <c r="L88" s="97"/>
      <c r="M88" s="97"/>
      <c r="N88" s="98" t="s">
        <v>12</v>
      </c>
      <c r="O88" s="98"/>
      <c r="P88" s="96">
        <f>CEILING(P85*0.57+5,0.5)</f>
        <v>160.5</v>
      </c>
      <c r="Q88" s="96"/>
      <c r="R88" s="96"/>
      <c r="S88" s="96"/>
      <c r="T88" s="96">
        <f>CEILING(T85*0.57+5,0.5)</f>
        <v>177.5</v>
      </c>
      <c r="U88" s="96"/>
      <c r="V88" s="96"/>
      <c r="W88" s="96"/>
      <c r="X88" s="96">
        <f>CEILING(X85*0.57+5,0.5)</f>
        <v>194.5</v>
      </c>
      <c r="Y88" s="96"/>
      <c r="Z88" s="96"/>
      <c r="AA88" s="96"/>
      <c r="AB88" s="96">
        <f>CEILING(AB85*0.57+5,0.5)</f>
        <v>211.5</v>
      </c>
      <c r="AC88" s="96"/>
      <c r="AD88" s="96"/>
      <c r="AE88" s="96"/>
    </row>
    <row r="89" spans="1:63" ht="16.5" customHeight="1" thickTop="1">
      <c r="A89" s="185"/>
      <c r="B89" s="185"/>
      <c r="C89" s="185"/>
      <c r="D89" s="185"/>
      <c r="E89" s="185"/>
      <c r="F89" s="165"/>
      <c r="G89" s="165"/>
      <c r="H89" s="165"/>
      <c r="I89" s="95" t="s">
        <v>15</v>
      </c>
      <c r="J89" s="95"/>
      <c r="K89" s="95"/>
      <c r="L89" s="95"/>
      <c r="M89" s="95"/>
      <c r="N89" s="100" t="s">
        <v>10</v>
      </c>
      <c r="O89" s="100"/>
      <c r="P89" s="99">
        <f>P95+15</f>
        <v>290</v>
      </c>
      <c r="Q89" s="99"/>
      <c r="R89" s="99"/>
      <c r="S89" s="99"/>
      <c r="T89" s="99">
        <f>P89+15</f>
        <v>305</v>
      </c>
      <c r="U89" s="99"/>
      <c r="V89" s="99"/>
      <c r="W89" s="99"/>
      <c r="X89" s="99">
        <f>T89+15</f>
        <v>320</v>
      </c>
      <c r="Y89" s="99"/>
      <c r="Z89" s="99"/>
      <c r="AA89" s="99"/>
      <c r="AB89" s="99">
        <f>X89+15</f>
        <v>335</v>
      </c>
      <c r="AC89" s="99"/>
      <c r="AD89" s="99"/>
      <c r="AE89" s="99"/>
      <c r="AP89" s="90" t="s">
        <v>27</v>
      </c>
      <c r="AQ89" s="91"/>
      <c r="AR89" s="91"/>
      <c r="AS89" s="91"/>
      <c r="AT89" s="91"/>
      <c r="AU89" s="91"/>
      <c r="AV89" s="91"/>
      <c r="AW89" s="91"/>
      <c r="AX89" s="91"/>
      <c r="AY89" s="91"/>
      <c r="AZ89" s="91"/>
      <c r="BA89" s="91"/>
      <c r="BB89" s="91"/>
      <c r="BC89" s="91"/>
      <c r="BD89" s="91"/>
      <c r="BE89" s="91"/>
      <c r="BF89" s="91"/>
      <c r="BG89" s="91"/>
      <c r="BH89" s="91"/>
      <c r="BI89" s="92"/>
    </row>
    <row r="90" spans="1:63" ht="16.5" customHeight="1">
      <c r="A90" s="185"/>
      <c r="B90" s="185"/>
      <c r="C90" s="185"/>
      <c r="D90" s="185"/>
      <c r="E90" s="185"/>
      <c r="F90" s="165"/>
      <c r="G90" s="165"/>
      <c r="H90" s="165"/>
      <c r="I90" s="95"/>
      <c r="J90" s="95"/>
      <c r="K90" s="95"/>
      <c r="L90" s="95"/>
      <c r="M90" s="95"/>
      <c r="N90" s="100" t="s">
        <v>11</v>
      </c>
      <c r="O90" s="100"/>
      <c r="P90" s="99">
        <f>CEILING(P89*0.95,0.5)</f>
        <v>275.5</v>
      </c>
      <c r="Q90" s="99"/>
      <c r="R90" s="99"/>
      <c r="S90" s="99"/>
      <c r="T90" s="99">
        <f>CEILING(T89*0.95,0.5)</f>
        <v>290</v>
      </c>
      <c r="U90" s="99"/>
      <c r="V90" s="99"/>
      <c r="W90" s="99"/>
      <c r="X90" s="99">
        <f>CEILING(X89*0.95,0.5)</f>
        <v>304</v>
      </c>
      <c r="Y90" s="99"/>
      <c r="Z90" s="99"/>
      <c r="AA90" s="99"/>
      <c r="AB90" s="99">
        <f>CEILING(AB89*0.95,0.5)</f>
        <v>318.5</v>
      </c>
      <c r="AC90" s="99"/>
      <c r="AD90" s="99"/>
      <c r="AE90" s="99"/>
      <c r="AP90" s="168" t="s">
        <v>71</v>
      </c>
      <c r="AQ90" s="169"/>
      <c r="AR90" s="169"/>
      <c r="AS90" s="169"/>
      <c r="AT90" s="169"/>
      <c r="AU90" s="169"/>
      <c r="AV90" s="169"/>
      <c r="AW90" s="170"/>
      <c r="AX90" s="169" t="s">
        <v>72</v>
      </c>
      <c r="AY90" s="169"/>
      <c r="AZ90" s="169"/>
      <c r="BA90" s="169"/>
      <c r="BB90" s="169"/>
      <c r="BC90" s="169"/>
      <c r="BD90" s="169"/>
      <c r="BE90" s="169"/>
      <c r="BF90" s="169"/>
      <c r="BG90" s="169"/>
      <c r="BH90" s="169"/>
      <c r="BI90" s="171"/>
    </row>
    <row r="91" spans="1:63" ht="16.5" customHeight="1">
      <c r="A91" s="185"/>
      <c r="B91" s="185"/>
      <c r="C91" s="185"/>
      <c r="D91" s="185"/>
      <c r="E91" s="185"/>
      <c r="F91" s="165"/>
      <c r="G91" s="165"/>
      <c r="H91" s="165"/>
      <c r="I91" s="95"/>
      <c r="J91" s="95"/>
      <c r="K91" s="95"/>
      <c r="L91" s="95"/>
      <c r="M91" s="95"/>
      <c r="N91" s="100" t="s">
        <v>12</v>
      </c>
      <c r="O91" s="100"/>
      <c r="P91" s="99">
        <f>P97+15</f>
        <v>262</v>
      </c>
      <c r="Q91" s="99"/>
      <c r="R91" s="99"/>
      <c r="S91" s="99"/>
      <c r="T91" s="99">
        <f>P91+15</f>
        <v>277</v>
      </c>
      <c r="U91" s="99"/>
      <c r="V91" s="99"/>
      <c r="W91" s="99"/>
      <c r="X91" s="99">
        <f>T91+15</f>
        <v>292</v>
      </c>
      <c r="Y91" s="99"/>
      <c r="Z91" s="99"/>
      <c r="AA91" s="99"/>
      <c r="AB91" s="99">
        <f>X91+15</f>
        <v>307</v>
      </c>
      <c r="AC91" s="99"/>
      <c r="AD91" s="99"/>
      <c r="AE91" s="99"/>
      <c r="AP91" s="168" t="s">
        <v>30</v>
      </c>
      <c r="AQ91" s="169"/>
      <c r="AR91" s="169"/>
      <c r="AS91" s="169"/>
      <c r="AT91" s="169"/>
      <c r="AU91" s="169"/>
      <c r="AV91" s="169"/>
      <c r="AW91" s="170"/>
      <c r="AX91" s="169" t="s">
        <v>31</v>
      </c>
      <c r="AY91" s="169"/>
      <c r="AZ91" s="169"/>
      <c r="BA91" s="169"/>
      <c r="BB91" s="169"/>
      <c r="BC91" s="169"/>
      <c r="BD91" s="169"/>
      <c r="BE91" s="169"/>
      <c r="BF91" s="169"/>
      <c r="BG91" s="169"/>
      <c r="BH91" s="169"/>
      <c r="BI91" s="171"/>
    </row>
    <row r="92" spans="1:63" ht="16.5" customHeight="1" thickBot="1">
      <c r="A92" s="185"/>
      <c r="B92" s="185"/>
      <c r="C92" s="185"/>
      <c r="D92" s="185"/>
      <c r="E92" s="185"/>
      <c r="F92" s="165"/>
      <c r="G92" s="165"/>
      <c r="H92" s="165"/>
      <c r="I92" s="97" t="s">
        <v>55</v>
      </c>
      <c r="J92" s="97"/>
      <c r="K92" s="97"/>
      <c r="L92" s="97"/>
      <c r="M92" s="97"/>
      <c r="N92" s="98" t="s">
        <v>10</v>
      </c>
      <c r="O92" s="98"/>
      <c r="P92" s="96">
        <f>CEILING(P89*0.57+5,0.5)</f>
        <v>170.5</v>
      </c>
      <c r="Q92" s="96"/>
      <c r="R92" s="96"/>
      <c r="S92" s="96"/>
      <c r="T92" s="96">
        <f>CEILING(T89*0.57+5,0.5)</f>
        <v>179</v>
      </c>
      <c r="U92" s="96"/>
      <c r="V92" s="96"/>
      <c r="W92" s="96"/>
      <c r="X92" s="96">
        <f>CEILING(X89*0.57+5,0.5)</f>
        <v>187.5</v>
      </c>
      <c r="Y92" s="96"/>
      <c r="Z92" s="96"/>
      <c r="AA92" s="96"/>
      <c r="AB92" s="96">
        <f>CEILING(AB89*0.57+5,0.5)</f>
        <v>196</v>
      </c>
      <c r="AC92" s="96"/>
      <c r="AD92" s="96"/>
      <c r="AE92" s="96"/>
      <c r="AP92" s="85" t="s">
        <v>73</v>
      </c>
      <c r="AQ92" s="86"/>
      <c r="AR92" s="86"/>
      <c r="AS92" s="86"/>
      <c r="AT92" s="86"/>
      <c r="AU92" s="86"/>
      <c r="AV92" s="86"/>
      <c r="AW92" s="87"/>
      <c r="AX92" s="86" t="s">
        <v>74</v>
      </c>
      <c r="AY92" s="86"/>
      <c r="AZ92" s="86"/>
      <c r="BA92" s="86"/>
      <c r="BB92" s="86"/>
      <c r="BC92" s="86"/>
      <c r="BD92" s="86"/>
      <c r="BE92" s="86"/>
      <c r="BF92" s="86"/>
      <c r="BG92" s="86"/>
      <c r="BH92" s="86"/>
      <c r="BI92" s="88"/>
    </row>
    <row r="93" spans="1:63" ht="16.5" customHeight="1" thickTop="1">
      <c r="A93" s="185"/>
      <c r="B93" s="185"/>
      <c r="C93" s="185"/>
      <c r="D93" s="185"/>
      <c r="E93" s="185"/>
      <c r="F93" s="165"/>
      <c r="G93" s="165"/>
      <c r="H93" s="165"/>
      <c r="I93" s="97"/>
      <c r="J93" s="97"/>
      <c r="K93" s="97"/>
      <c r="L93" s="97"/>
      <c r="M93" s="97"/>
      <c r="N93" s="98" t="s">
        <v>11</v>
      </c>
      <c r="O93" s="98"/>
      <c r="P93" s="96">
        <f>CEILING(P92*0.95,0.5)</f>
        <v>162</v>
      </c>
      <c r="Q93" s="96"/>
      <c r="R93" s="96"/>
      <c r="S93" s="96"/>
      <c r="T93" s="96">
        <f>CEILING(T92*0.95,0.5)</f>
        <v>170.5</v>
      </c>
      <c r="U93" s="96"/>
      <c r="V93" s="96"/>
      <c r="W93" s="96"/>
      <c r="X93" s="96">
        <f>CEILING(X92*0.95,0.5)</f>
        <v>178.5</v>
      </c>
      <c r="Y93" s="96"/>
      <c r="Z93" s="96"/>
      <c r="AA93" s="96"/>
      <c r="AB93" s="96">
        <f>CEILING(AB92*0.95,0.5)</f>
        <v>186.5</v>
      </c>
      <c r="AC93" s="96"/>
      <c r="AD93" s="96"/>
      <c r="AE93" s="96"/>
    </row>
    <row r="94" spans="1:63" ht="16.5" customHeight="1">
      <c r="A94" s="185"/>
      <c r="B94" s="185"/>
      <c r="C94" s="185"/>
      <c r="D94" s="185"/>
      <c r="E94" s="185"/>
      <c r="F94" s="165"/>
      <c r="G94" s="165"/>
      <c r="H94" s="165"/>
      <c r="I94" s="97"/>
      <c r="J94" s="97"/>
      <c r="K94" s="97"/>
      <c r="L94" s="97"/>
      <c r="M94" s="97"/>
      <c r="N94" s="98" t="s">
        <v>12</v>
      </c>
      <c r="O94" s="98"/>
      <c r="P94" s="96">
        <f>CEILING(P91*0.57+5,0.5)</f>
        <v>154.5</v>
      </c>
      <c r="Q94" s="96"/>
      <c r="R94" s="96"/>
      <c r="S94" s="96"/>
      <c r="T94" s="96">
        <f>CEILING(T91*0.57+5,0.5)</f>
        <v>163</v>
      </c>
      <c r="U94" s="96"/>
      <c r="V94" s="96"/>
      <c r="W94" s="96"/>
      <c r="X94" s="96">
        <f>CEILING(X91*0.57+5,0.5)</f>
        <v>171.5</v>
      </c>
      <c r="Y94" s="96"/>
      <c r="Z94" s="96"/>
      <c r="AA94" s="96"/>
      <c r="AB94" s="96">
        <f>CEILING(AB91*0.57+5,0.5)</f>
        <v>180</v>
      </c>
      <c r="AC94" s="96"/>
      <c r="AD94" s="96"/>
      <c r="AE94" s="96"/>
    </row>
    <row r="95" spans="1:63" ht="16.5" customHeight="1">
      <c r="A95" s="185"/>
      <c r="B95" s="185"/>
      <c r="C95" s="185"/>
      <c r="D95" s="185"/>
      <c r="E95" s="185"/>
      <c r="F95" s="165"/>
      <c r="G95" s="165"/>
      <c r="H95" s="165"/>
      <c r="I95" s="95" t="s">
        <v>18</v>
      </c>
      <c r="J95" s="95"/>
      <c r="K95" s="95"/>
      <c r="L95" s="95"/>
      <c r="M95" s="95"/>
      <c r="N95" s="100" t="s">
        <v>10</v>
      </c>
      <c r="O95" s="100"/>
      <c r="P95" s="101">
        <f>CEILING(211.5*1.3,0.5)</f>
        <v>275</v>
      </c>
      <c r="Q95" s="101"/>
      <c r="R95" s="101"/>
      <c r="S95" s="101"/>
      <c r="T95" s="99">
        <f>P95+10</f>
        <v>285</v>
      </c>
      <c r="U95" s="99"/>
      <c r="V95" s="99"/>
      <c r="W95" s="99"/>
      <c r="X95" s="99">
        <f>T95+10</f>
        <v>295</v>
      </c>
      <c r="Y95" s="99"/>
      <c r="Z95" s="99"/>
      <c r="AA95" s="99"/>
      <c r="AB95" s="99">
        <f>X95+10</f>
        <v>305</v>
      </c>
      <c r="AC95" s="99"/>
      <c r="AD95" s="99"/>
      <c r="AE95" s="99"/>
    </row>
    <row r="96" spans="1:63" ht="16.5" customHeight="1">
      <c r="A96" s="185"/>
      <c r="B96" s="185"/>
      <c r="C96" s="185"/>
      <c r="D96" s="185"/>
      <c r="E96" s="185"/>
      <c r="F96" s="165"/>
      <c r="G96" s="165"/>
      <c r="H96" s="165"/>
      <c r="I96" s="95"/>
      <c r="J96" s="95"/>
      <c r="K96" s="95"/>
      <c r="L96" s="95"/>
      <c r="M96" s="95"/>
      <c r="N96" s="100" t="s">
        <v>11</v>
      </c>
      <c r="O96" s="100"/>
      <c r="P96" s="99">
        <f>CEILING(P95*0.95,0.5)</f>
        <v>261.5</v>
      </c>
      <c r="Q96" s="99"/>
      <c r="R96" s="99"/>
      <c r="S96" s="99"/>
      <c r="T96" s="99">
        <f>CEILING(T95*0.95,0.5)</f>
        <v>271</v>
      </c>
      <c r="U96" s="99"/>
      <c r="V96" s="99"/>
      <c r="W96" s="99"/>
      <c r="X96" s="99">
        <f>CEILING(X95*0.95,0.5)</f>
        <v>280.5</v>
      </c>
      <c r="Y96" s="99"/>
      <c r="Z96" s="99"/>
      <c r="AA96" s="99"/>
      <c r="AB96" s="99">
        <f>CEILING(AB95*0.95,0.5)</f>
        <v>290</v>
      </c>
      <c r="AC96" s="99"/>
      <c r="AD96" s="99"/>
      <c r="AE96" s="99"/>
    </row>
    <row r="97" spans="1:31" ht="16.5" customHeight="1">
      <c r="A97" s="185"/>
      <c r="B97" s="185"/>
      <c r="C97" s="185"/>
      <c r="D97" s="185"/>
      <c r="E97" s="185"/>
      <c r="F97" s="165"/>
      <c r="G97" s="165"/>
      <c r="H97" s="165"/>
      <c r="I97" s="95"/>
      <c r="J97" s="95"/>
      <c r="K97" s="95"/>
      <c r="L97" s="95"/>
      <c r="M97" s="95"/>
      <c r="N97" s="100" t="s">
        <v>12</v>
      </c>
      <c r="O97" s="100"/>
      <c r="P97" s="101">
        <f>CEILING(190*1.3,0.5)</f>
        <v>247</v>
      </c>
      <c r="Q97" s="101"/>
      <c r="R97" s="101"/>
      <c r="S97" s="101"/>
      <c r="T97" s="99">
        <f>P97+10</f>
        <v>257</v>
      </c>
      <c r="U97" s="99"/>
      <c r="V97" s="99"/>
      <c r="W97" s="99"/>
      <c r="X97" s="99">
        <f>T97+10</f>
        <v>267</v>
      </c>
      <c r="Y97" s="99"/>
      <c r="Z97" s="99"/>
      <c r="AA97" s="99"/>
      <c r="AB97" s="99">
        <f>X97+10</f>
        <v>277</v>
      </c>
      <c r="AC97" s="99"/>
      <c r="AD97" s="99"/>
      <c r="AE97" s="99"/>
    </row>
    <row r="98" spans="1:31" ht="16.5" customHeight="1">
      <c r="A98" s="185"/>
      <c r="B98" s="185"/>
      <c r="C98" s="185"/>
      <c r="D98" s="185"/>
      <c r="E98" s="185"/>
      <c r="F98" s="165"/>
      <c r="G98" s="165"/>
      <c r="H98" s="165"/>
      <c r="I98" s="97" t="s">
        <v>64</v>
      </c>
      <c r="J98" s="97"/>
      <c r="K98" s="97"/>
      <c r="L98" s="97"/>
      <c r="M98" s="97"/>
      <c r="N98" s="98" t="s">
        <v>58</v>
      </c>
      <c r="O98" s="98"/>
      <c r="P98" s="96">
        <f>CEILING(P95*0.57+5,0.5)</f>
        <v>162</v>
      </c>
      <c r="Q98" s="96"/>
      <c r="R98" s="96"/>
      <c r="S98" s="96"/>
      <c r="T98" s="96">
        <f>CEILING(T95*0.57+5,0.5)</f>
        <v>167.5</v>
      </c>
      <c r="U98" s="96"/>
      <c r="V98" s="96"/>
      <c r="W98" s="96"/>
      <c r="X98" s="96">
        <f>CEILING(X95*0.57+5,0.5)</f>
        <v>173.5</v>
      </c>
      <c r="Y98" s="96"/>
      <c r="Z98" s="96"/>
      <c r="AA98" s="96"/>
      <c r="AB98" s="96">
        <f>CEILING(AB95*0.57+5,0.5)</f>
        <v>179</v>
      </c>
      <c r="AC98" s="96"/>
      <c r="AD98" s="96"/>
      <c r="AE98" s="96"/>
    </row>
    <row r="99" spans="1:31" ht="16.5" customHeight="1">
      <c r="A99" s="185"/>
      <c r="B99" s="185"/>
      <c r="C99" s="185"/>
      <c r="D99" s="185"/>
      <c r="E99" s="185"/>
      <c r="F99" s="165"/>
      <c r="G99" s="165"/>
      <c r="H99" s="165"/>
      <c r="I99" s="97"/>
      <c r="J99" s="97"/>
      <c r="K99" s="97"/>
      <c r="L99" s="97"/>
      <c r="M99" s="97"/>
      <c r="N99" s="98" t="s">
        <v>11</v>
      </c>
      <c r="O99" s="98"/>
      <c r="P99" s="96">
        <f>CEILING(P98*0.95,0.5)</f>
        <v>154</v>
      </c>
      <c r="Q99" s="96"/>
      <c r="R99" s="96"/>
      <c r="S99" s="96"/>
      <c r="T99" s="96">
        <f>CEILING(T98*0.95,0.5)</f>
        <v>159.5</v>
      </c>
      <c r="U99" s="96"/>
      <c r="V99" s="96"/>
      <c r="W99" s="96"/>
      <c r="X99" s="96">
        <f>CEILING(X98*0.95,0.5)</f>
        <v>165</v>
      </c>
      <c r="Y99" s="96"/>
      <c r="Z99" s="96"/>
      <c r="AA99" s="96"/>
      <c r="AB99" s="96">
        <f>CEILING(AB98*0.95,0.5)</f>
        <v>170.5</v>
      </c>
      <c r="AC99" s="96"/>
      <c r="AD99" s="96"/>
      <c r="AE99" s="96"/>
    </row>
    <row r="100" spans="1:31" ht="16.5" customHeight="1">
      <c r="A100" s="185"/>
      <c r="B100" s="185"/>
      <c r="C100" s="185"/>
      <c r="D100" s="185"/>
      <c r="E100" s="185"/>
      <c r="F100" s="165"/>
      <c r="G100" s="165"/>
      <c r="H100" s="165"/>
      <c r="I100" s="97"/>
      <c r="J100" s="97"/>
      <c r="K100" s="97"/>
      <c r="L100" s="97"/>
      <c r="M100" s="97"/>
      <c r="N100" s="98" t="s">
        <v>12</v>
      </c>
      <c r="O100" s="98"/>
      <c r="P100" s="96">
        <f>CEILING(P97*0.57+5,0.5)</f>
        <v>146</v>
      </c>
      <c r="Q100" s="96"/>
      <c r="R100" s="96"/>
      <c r="S100" s="96"/>
      <c r="T100" s="96">
        <f>CEILING(T97*0.57+5,0.5)</f>
        <v>151.5</v>
      </c>
      <c r="U100" s="96"/>
      <c r="V100" s="96"/>
      <c r="W100" s="96"/>
      <c r="X100" s="96">
        <f>CEILING(X97*0.57+5,0.5)</f>
        <v>157.5</v>
      </c>
      <c r="Y100" s="96"/>
      <c r="Z100" s="96"/>
      <c r="AA100" s="96"/>
      <c r="AB100" s="96">
        <f>CEILING(AB97*0.57+5,0.5)</f>
        <v>163</v>
      </c>
      <c r="AC100" s="96"/>
      <c r="AD100" s="96"/>
      <c r="AE100" s="96"/>
    </row>
    <row r="101" spans="1:31" ht="16.5" customHeight="1">
      <c r="A101" s="185"/>
      <c r="B101" s="185"/>
      <c r="C101" s="185"/>
      <c r="D101" s="185"/>
      <c r="E101" s="185"/>
      <c r="F101" s="165"/>
      <c r="G101" s="165"/>
      <c r="H101" s="165"/>
      <c r="I101" s="82" t="s">
        <v>21</v>
      </c>
      <c r="J101" s="82"/>
      <c r="K101" s="82"/>
      <c r="L101" s="82"/>
      <c r="M101" s="82"/>
      <c r="N101" s="84" t="s">
        <v>10</v>
      </c>
      <c r="O101" s="84"/>
      <c r="P101" s="83">
        <f>P95-4</f>
        <v>271</v>
      </c>
      <c r="Q101" s="83"/>
      <c r="R101" s="83"/>
      <c r="S101" s="83"/>
      <c r="T101" s="83">
        <f>P101+8</f>
        <v>279</v>
      </c>
      <c r="U101" s="83"/>
      <c r="V101" s="83"/>
      <c r="W101" s="83"/>
      <c r="X101" s="83">
        <f>T101+8</f>
        <v>287</v>
      </c>
      <c r="Y101" s="83"/>
      <c r="Z101" s="83"/>
      <c r="AA101" s="83"/>
      <c r="AB101" s="83">
        <f>X101+8</f>
        <v>295</v>
      </c>
      <c r="AC101" s="83"/>
      <c r="AD101" s="83"/>
      <c r="AE101" s="83"/>
    </row>
    <row r="102" spans="1:31" ht="16.5" customHeight="1">
      <c r="A102" s="185"/>
      <c r="B102" s="185"/>
      <c r="C102" s="185"/>
      <c r="D102" s="185"/>
      <c r="E102" s="185"/>
      <c r="F102" s="165"/>
      <c r="G102" s="165"/>
      <c r="H102" s="165"/>
      <c r="I102" s="82"/>
      <c r="J102" s="82"/>
      <c r="K102" s="82"/>
      <c r="L102" s="82"/>
      <c r="M102" s="82"/>
      <c r="N102" s="84" t="s">
        <v>11</v>
      </c>
      <c r="O102" s="84"/>
      <c r="P102" s="83">
        <f>CEILING(P101*0.95,0.5)</f>
        <v>257.5</v>
      </c>
      <c r="Q102" s="83"/>
      <c r="R102" s="83"/>
      <c r="S102" s="83"/>
      <c r="T102" s="83">
        <f>CEILING(T101*0.95,0.5)</f>
        <v>265.5</v>
      </c>
      <c r="U102" s="83"/>
      <c r="V102" s="83"/>
      <c r="W102" s="83"/>
      <c r="X102" s="83">
        <f>CEILING(X101*0.95,0.5)</f>
        <v>273</v>
      </c>
      <c r="Y102" s="83"/>
      <c r="Z102" s="83"/>
      <c r="AA102" s="83"/>
      <c r="AB102" s="83">
        <f>CEILING(AB101*0.95,0.5)</f>
        <v>280.5</v>
      </c>
      <c r="AC102" s="83"/>
      <c r="AD102" s="83"/>
      <c r="AE102" s="83"/>
    </row>
    <row r="103" spans="1:31" ht="16.5" customHeight="1">
      <c r="A103" s="185"/>
      <c r="B103" s="185"/>
      <c r="C103" s="185"/>
      <c r="D103" s="185"/>
      <c r="E103" s="185"/>
      <c r="F103" s="165"/>
      <c r="G103" s="165"/>
      <c r="H103" s="165"/>
      <c r="I103" s="82"/>
      <c r="J103" s="82"/>
      <c r="K103" s="82"/>
      <c r="L103" s="82"/>
      <c r="M103" s="82"/>
      <c r="N103" s="84" t="s">
        <v>12</v>
      </c>
      <c r="O103" s="84"/>
      <c r="P103" s="83">
        <f>P97-4</f>
        <v>243</v>
      </c>
      <c r="Q103" s="83"/>
      <c r="R103" s="83"/>
      <c r="S103" s="83"/>
      <c r="T103" s="83">
        <f>P103+8</f>
        <v>251</v>
      </c>
      <c r="U103" s="83"/>
      <c r="V103" s="83"/>
      <c r="W103" s="83"/>
      <c r="X103" s="83">
        <f>T103+8</f>
        <v>259</v>
      </c>
      <c r="Y103" s="83"/>
      <c r="Z103" s="83"/>
      <c r="AA103" s="83"/>
      <c r="AB103" s="83">
        <f>X103+8</f>
        <v>267</v>
      </c>
      <c r="AC103" s="83"/>
      <c r="AD103" s="83"/>
      <c r="AE103" s="83"/>
    </row>
    <row r="104" spans="1:31" ht="16.5" customHeight="1">
      <c r="A104" s="185"/>
      <c r="B104" s="185"/>
      <c r="C104" s="185"/>
      <c r="D104" s="185"/>
      <c r="E104" s="185"/>
      <c r="F104" s="165"/>
      <c r="G104" s="165"/>
      <c r="H104" s="165"/>
      <c r="I104" s="80" t="s">
        <v>75</v>
      </c>
      <c r="J104" s="80"/>
      <c r="K104" s="80"/>
      <c r="L104" s="80"/>
      <c r="M104" s="80"/>
      <c r="N104" s="81" t="s">
        <v>58</v>
      </c>
      <c r="O104" s="81"/>
      <c r="P104" s="89">
        <f>CEILING(P101*0.57+5,0.5)</f>
        <v>159.5</v>
      </c>
      <c r="Q104" s="89"/>
      <c r="R104" s="89"/>
      <c r="S104" s="89"/>
      <c r="T104" s="89">
        <f>CEILING(T101*0.57+5,0.5)</f>
        <v>164.5</v>
      </c>
      <c r="U104" s="89"/>
      <c r="V104" s="89"/>
      <c r="W104" s="89"/>
      <c r="X104" s="89">
        <f>CEILING(X101*0.57+5,0.5)</f>
        <v>169</v>
      </c>
      <c r="Y104" s="89"/>
      <c r="Z104" s="89"/>
      <c r="AA104" s="89"/>
      <c r="AB104" s="89">
        <f>CEILING(AB101*0.57+5,0.5)</f>
        <v>173.5</v>
      </c>
      <c r="AC104" s="89"/>
      <c r="AD104" s="89"/>
      <c r="AE104" s="89"/>
    </row>
    <row r="105" spans="1:31" ht="16.5" customHeight="1">
      <c r="A105" s="185"/>
      <c r="B105" s="185"/>
      <c r="C105" s="185"/>
      <c r="D105" s="185"/>
      <c r="E105" s="185"/>
      <c r="F105" s="165"/>
      <c r="G105" s="165"/>
      <c r="H105" s="165"/>
      <c r="I105" s="80"/>
      <c r="J105" s="80"/>
      <c r="K105" s="80"/>
      <c r="L105" s="80"/>
      <c r="M105" s="80"/>
      <c r="N105" s="81" t="s">
        <v>11</v>
      </c>
      <c r="O105" s="81"/>
      <c r="P105" s="89">
        <f>CEILING(P104*0.95,0.5)</f>
        <v>152</v>
      </c>
      <c r="Q105" s="89"/>
      <c r="R105" s="89"/>
      <c r="S105" s="89"/>
      <c r="T105" s="89">
        <f>CEILING(T104*0.95,0.5)</f>
        <v>156.5</v>
      </c>
      <c r="U105" s="89"/>
      <c r="V105" s="89"/>
      <c r="W105" s="89"/>
      <c r="X105" s="89">
        <f>CEILING(X104*0.95,0.5)</f>
        <v>161</v>
      </c>
      <c r="Y105" s="89"/>
      <c r="Z105" s="89"/>
      <c r="AA105" s="89"/>
      <c r="AB105" s="89">
        <f>CEILING(AB104*0.95,0.5)</f>
        <v>165</v>
      </c>
      <c r="AC105" s="89"/>
      <c r="AD105" s="89"/>
      <c r="AE105" s="89"/>
    </row>
    <row r="106" spans="1:31" ht="16.5" customHeight="1">
      <c r="A106" s="185"/>
      <c r="B106" s="185"/>
      <c r="C106" s="185"/>
      <c r="D106" s="185"/>
      <c r="E106" s="185"/>
      <c r="F106" s="167"/>
      <c r="G106" s="167"/>
      <c r="H106" s="167"/>
      <c r="I106" s="80"/>
      <c r="J106" s="80"/>
      <c r="K106" s="80"/>
      <c r="L106" s="80"/>
      <c r="M106" s="80"/>
      <c r="N106" s="81" t="s">
        <v>12</v>
      </c>
      <c r="O106" s="81"/>
      <c r="P106" s="89">
        <f>CEILING(P103*0.57+5,0.5)</f>
        <v>144</v>
      </c>
      <c r="Q106" s="89"/>
      <c r="R106" s="89"/>
      <c r="S106" s="89"/>
      <c r="T106" s="89">
        <f>CEILING(T103*0.57+5,0.5)</f>
        <v>148.5</v>
      </c>
      <c r="U106" s="89"/>
      <c r="V106" s="89"/>
      <c r="W106" s="89"/>
      <c r="X106" s="89">
        <f>CEILING(X103*0.57+5,0.5)</f>
        <v>153</v>
      </c>
      <c r="Y106" s="89"/>
      <c r="Z106" s="89"/>
      <c r="AA106" s="89"/>
      <c r="AB106" s="89">
        <f>CEILING(AB103*0.57+5,0.5)</f>
        <v>157.5</v>
      </c>
      <c r="AC106" s="89"/>
      <c r="AD106" s="89"/>
      <c r="AE106" s="89"/>
    </row>
    <row r="107" spans="1:31" ht="16.5" customHeight="1"/>
    <row r="108" spans="1:31" ht="16.5" customHeight="1"/>
    <row r="109" spans="1:31" ht="16.5" customHeight="1"/>
    <row r="110" spans="1:31" ht="16.5" customHeight="1"/>
    <row r="111" spans="1:31" ht="16.5" customHeight="1"/>
    <row r="112" spans="1:31" ht="16.149999999999999" customHeight="1"/>
    <row r="113" ht="16.149999999999999" customHeight="1"/>
    <row r="114" ht="16.149999999999999" customHeight="1"/>
    <row r="115" ht="16.149999999999999" customHeight="1"/>
    <row r="116" ht="16.149999999999999"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row r="310" ht="15.6" customHeight="1"/>
    <row r="311" ht="15.6" customHeight="1"/>
    <row r="312" ht="15.6" customHeight="1"/>
  </sheetData>
  <mergeCells count="695">
    <mergeCell ref="AB105:AE105"/>
    <mergeCell ref="N106:O106"/>
    <mergeCell ref="P106:S106"/>
    <mergeCell ref="T106:W106"/>
    <mergeCell ref="X106:AA106"/>
    <mergeCell ref="AB106:AE106"/>
    <mergeCell ref="I104:M106"/>
    <mergeCell ref="N104:O104"/>
    <mergeCell ref="P104:S104"/>
    <mergeCell ref="T104:W104"/>
    <mergeCell ref="X104:AA104"/>
    <mergeCell ref="AB104:AE104"/>
    <mergeCell ref="N105:O105"/>
    <mergeCell ref="P105:S105"/>
    <mergeCell ref="T105:W105"/>
    <mergeCell ref="X105:AA105"/>
    <mergeCell ref="AB102:AE102"/>
    <mergeCell ref="N103:O103"/>
    <mergeCell ref="P103:S103"/>
    <mergeCell ref="T103:W103"/>
    <mergeCell ref="X103:AA103"/>
    <mergeCell ref="AB103:AE103"/>
    <mergeCell ref="I101:M103"/>
    <mergeCell ref="N101:O101"/>
    <mergeCell ref="P101:S101"/>
    <mergeCell ref="T101:W101"/>
    <mergeCell ref="X101:AA101"/>
    <mergeCell ref="AB101:AE101"/>
    <mergeCell ref="N102:O102"/>
    <mergeCell ref="P102:S102"/>
    <mergeCell ref="T102:W102"/>
    <mergeCell ref="X102:AA102"/>
    <mergeCell ref="AB99:AE99"/>
    <mergeCell ref="N100:O100"/>
    <mergeCell ref="P100:S100"/>
    <mergeCell ref="T100:W100"/>
    <mergeCell ref="X100:AA100"/>
    <mergeCell ref="AB100:AE100"/>
    <mergeCell ref="I98:M100"/>
    <mergeCell ref="N98:O98"/>
    <mergeCell ref="P98:S98"/>
    <mergeCell ref="T98:W98"/>
    <mergeCell ref="X98:AA98"/>
    <mergeCell ref="AB98:AE98"/>
    <mergeCell ref="N99:O99"/>
    <mergeCell ref="P99:S99"/>
    <mergeCell ref="T99:W99"/>
    <mergeCell ref="X99:AA99"/>
    <mergeCell ref="AB96:AE96"/>
    <mergeCell ref="N97:O97"/>
    <mergeCell ref="P97:S97"/>
    <mergeCell ref="T97:W97"/>
    <mergeCell ref="X97:AA97"/>
    <mergeCell ref="AB97:AE97"/>
    <mergeCell ref="I95:M97"/>
    <mergeCell ref="N95:O95"/>
    <mergeCell ref="P95:S95"/>
    <mergeCell ref="T95:W95"/>
    <mergeCell ref="X95:AA95"/>
    <mergeCell ref="AB95:AE95"/>
    <mergeCell ref="N96:O96"/>
    <mergeCell ref="P96:S96"/>
    <mergeCell ref="T96:W96"/>
    <mergeCell ref="X96:AA96"/>
    <mergeCell ref="I92:M94"/>
    <mergeCell ref="N92:O92"/>
    <mergeCell ref="P92:S92"/>
    <mergeCell ref="T92:W92"/>
    <mergeCell ref="X92:AA92"/>
    <mergeCell ref="AB92:AE92"/>
    <mergeCell ref="AP92:AW92"/>
    <mergeCell ref="AX92:BI92"/>
    <mergeCell ref="N93:O93"/>
    <mergeCell ref="P93:S93"/>
    <mergeCell ref="T93:W93"/>
    <mergeCell ref="X93:AA93"/>
    <mergeCell ref="AB93:AE93"/>
    <mergeCell ref="N94:O94"/>
    <mergeCell ref="P94:S94"/>
    <mergeCell ref="T94:W94"/>
    <mergeCell ref="X94:AA94"/>
    <mergeCell ref="AB94:AE94"/>
    <mergeCell ref="AP89:BI89"/>
    <mergeCell ref="N90:O90"/>
    <mergeCell ref="P90:S90"/>
    <mergeCell ref="T90:W90"/>
    <mergeCell ref="X90:AA90"/>
    <mergeCell ref="AB90:AE90"/>
    <mergeCell ref="AP90:AW90"/>
    <mergeCell ref="AX90:BI90"/>
    <mergeCell ref="AX91:BI91"/>
    <mergeCell ref="N91:O91"/>
    <mergeCell ref="P91:S91"/>
    <mergeCell ref="T91:W91"/>
    <mergeCell ref="X91:AA91"/>
    <mergeCell ref="AB91:AE91"/>
    <mergeCell ref="AP91:AW91"/>
    <mergeCell ref="N88:O88"/>
    <mergeCell ref="P88:S88"/>
    <mergeCell ref="T88:W88"/>
    <mergeCell ref="X88:AA88"/>
    <mergeCell ref="AB88:AE88"/>
    <mergeCell ref="I89:M91"/>
    <mergeCell ref="N89:O89"/>
    <mergeCell ref="P89:S89"/>
    <mergeCell ref="T89:W89"/>
    <mergeCell ref="X89:AA89"/>
    <mergeCell ref="I86:M88"/>
    <mergeCell ref="AB89:AE89"/>
    <mergeCell ref="AB86:AE86"/>
    <mergeCell ref="N87:O87"/>
    <mergeCell ref="P87:S87"/>
    <mergeCell ref="T87:W87"/>
    <mergeCell ref="X87:AA87"/>
    <mergeCell ref="AB87:AE87"/>
    <mergeCell ref="N85:O85"/>
    <mergeCell ref="P85:S85"/>
    <mergeCell ref="T85:W85"/>
    <mergeCell ref="X85:AA85"/>
    <mergeCell ref="AB85:AE85"/>
    <mergeCell ref="N86:O86"/>
    <mergeCell ref="P86:S86"/>
    <mergeCell ref="T86:W86"/>
    <mergeCell ref="X86:AA86"/>
    <mergeCell ref="BD82:BG82"/>
    <mergeCell ref="BH82:BK82"/>
    <mergeCell ref="A83:E106"/>
    <mergeCell ref="F83:H106"/>
    <mergeCell ref="I83:M85"/>
    <mergeCell ref="N83:O83"/>
    <mergeCell ref="P83:S83"/>
    <mergeCell ref="T83:W83"/>
    <mergeCell ref="N82:O82"/>
    <mergeCell ref="P82:S82"/>
    <mergeCell ref="T82:W82"/>
    <mergeCell ref="X82:AA82"/>
    <mergeCell ref="AB82:AE82"/>
    <mergeCell ref="AT82:AU82"/>
    <mergeCell ref="I80:M82"/>
    <mergeCell ref="X83:AA83"/>
    <mergeCell ref="AB83:AE83"/>
    <mergeCell ref="N84:O84"/>
    <mergeCell ref="P84:S84"/>
    <mergeCell ref="T84:W84"/>
    <mergeCell ref="X84:AA84"/>
    <mergeCell ref="AB84:AE84"/>
    <mergeCell ref="AV82:AY82"/>
    <mergeCell ref="AZ82:BC82"/>
    <mergeCell ref="N81:O81"/>
    <mergeCell ref="P81:S81"/>
    <mergeCell ref="T81:W81"/>
    <mergeCell ref="X81:AA81"/>
    <mergeCell ref="AB81:AE81"/>
    <mergeCell ref="AT81:AU81"/>
    <mergeCell ref="AO80:AS82"/>
    <mergeCell ref="AT80:AU80"/>
    <mergeCell ref="AV80:AY80"/>
    <mergeCell ref="N80:O80"/>
    <mergeCell ref="P80:S80"/>
    <mergeCell ref="T80:W80"/>
    <mergeCell ref="X80:AA80"/>
    <mergeCell ref="AB80:AE80"/>
    <mergeCell ref="AZ80:BC80"/>
    <mergeCell ref="BD80:BG80"/>
    <mergeCell ref="BH80:BK80"/>
    <mergeCell ref="AV81:AY81"/>
    <mergeCell ref="AZ81:BC81"/>
    <mergeCell ref="BD81:BG81"/>
    <mergeCell ref="BH81:BK81"/>
    <mergeCell ref="AV79:AY79"/>
    <mergeCell ref="AZ79:BC79"/>
    <mergeCell ref="BD79:BG79"/>
    <mergeCell ref="BH79:BK79"/>
    <mergeCell ref="AT79:AU79"/>
    <mergeCell ref="N78:O78"/>
    <mergeCell ref="P78:S78"/>
    <mergeCell ref="T78:W78"/>
    <mergeCell ref="X78:AA78"/>
    <mergeCell ref="AB78:AE78"/>
    <mergeCell ref="AT78:AU78"/>
    <mergeCell ref="AO77:AS79"/>
    <mergeCell ref="AT77:AU77"/>
    <mergeCell ref="AV77:AY77"/>
    <mergeCell ref="AZ77:BC77"/>
    <mergeCell ref="BD77:BG77"/>
    <mergeCell ref="BH77:BK77"/>
    <mergeCell ref="AV78:AY78"/>
    <mergeCell ref="AZ78:BC78"/>
    <mergeCell ref="BD78:BG78"/>
    <mergeCell ref="BH78:BK78"/>
    <mergeCell ref="AV76:AY76"/>
    <mergeCell ref="AZ76:BC76"/>
    <mergeCell ref="BD76:BG76"/>
    <mergeCell ref="BH76:BK76"/>
    <mergeCell ref="I77:M79"/>
    <mergeCell ref="N77:O77"/>
    <mergeCell ref="P77:S77"/>
    <mergeCell ref="T77:W77"/>
    <mergeCell ref="X77:AA77"/>
    <mergeCell ref="AB77:AE77"/>
    <mergeCell ref="N76:O76"/>
    <mergeCell ref="P76:S76"/>
    <mergeCell ref="T76:W76"/>
    <mergeCell ref="X76:AA76"/>
    <mergeCell ref="AB76:AE76"/>
    <mergeCell ref="I74:M76"/>
    <mergeCell ref="N79:O79"/>
    <mergeCell ref="P79:S79"/>
    <mergeCell ref="T79:W79"/>
    <mergeCell ref="X79:AA79"/>
    <mergeCell ref="AB79:AE79"/>
    <mergeCell ref="AT76:AU76"/>
    <mergeCell ref="N75:O75"/>
    <mergeCell ref="P75:S75"/>
    <mergeCell ref="T75:W75"/>
    <mergeCell ref="X75:AA75"/>
    <mergeCell ref="AB75:AE75"/>
    <mergeCell ref="AT75:AU75"/>
    <mergeCell ref="AO74:AS76"/>
    <mergeCell ref="AT74:AU74"/>
    <mergeCell ref="N74:O74"/>
    <mergeCell ref="P74:S74"/>
    <mergeCell ref="T74:W74"/>
    <mergeCell ref="X74:AA74"/>
    <mergeCell ref="AB74:AE74"/>
    <mergeCell ref="AV74:AY74"/>
    <mergeCell ref="AZ74:BC74"/>
    <mergeCell ref="BD74:BG74"/>
    <mergeCell ref="BH74:BK74"/>
    <mergeCell ref="AV75:AY75"/>
    <mergeCell ref="AZ75:BC75"/>
    <mergeCell ref="BD75:BG75"/>
    <mergeCell ref="BH75:BK75"/>
    <mergeCell ref="AV73:AY73"/>
    <mergeCell ref="AZ73:BC73"/>
    <mergeCell ref="BD73:BG73"/>
    <mergeCell ref="BH73:BK73"/>
    <mergeCell ref="AT73:AU73"/>
    <mergeCell ref="N72:O72"/>
    <mergeCell ref="P72:S72"/>
    <mergeCell ref="T72:W72"/>
    <mergeCell ref="X72:AA72"/>
    <mergeCell ref="AB72:AE72"/>
    <mergeCell ref="AT72:AU72"/>
    <mergeCell ref="AO71:AS73"/>
    <mergeCell ref="AT71:AU71"/>
    <mergeCell ref="AV71:AY71"/>
    <mergeCell ref="AZ71:BC71"/>
    <mergeCell ref="BD71:BG71"/>
    <mergeCell ref="BH71:BK71"/>
    <mergeCell ref="AV72:AY72"/>
    <mergeCell ref="AZ72:BC72"/>
    <mergeCell ref="BD72:BG72"/>
    <mergeCell ref="BH72:BK72"/>
    <mergeCell ref="AV70:AY70"/>
    <mergeCell ref="AZ70:BC70"/>
    <mergeCell ref="BD70:BG70"/>
    <mergeCell ref="BH70:BK70"/>
    <mergeCell ref="I71:M73"/>
    <mergeCell ref="N71:O71"/>
    <mergeCell ref="P71:S71"/>
    <mergeCell ref="T71:W71"/>
    <mergeCell ref="X71:AA71"/>
    <mergeCell ref="AB71:AE71"/>
    <mergeCell ref="N70:O70"/>
    <mergeCell ref="P70:S70"/>
    <mergeCell ref="T70:W70"/>
    <mergeCell ref="X70:AA70"/>
    <mergeCell ref="AB70:AE70"/>
    <mergeCell ref="I68:M70"/>
    <mergeCell ref="N73:O73"/>
    <mergeCell ref="P73:S73"/>
    <mergeCell ref="T73:W73"/>
    <mergeCell ref="X73:AA73"/>
    <mergeCell ref="AB73:AE73"/>
    <mergeCell ref="AT70:AU70"/>
    <mergeCell ref="N69:O69"/>
    <mergeCell ref="P69:S69"/>
    <mergeCell ref="T69:W69"/>
    <mergeCell ref="X69:AA69"/>
    <mergeCell ref="AB69:AE69"/>
    <mergeCell ref="AT69:AU69"/>
    <mergeCell ref="AO68:AS70"/>
    <mergeCell ref="AT68:AU68"/>
    <mergeCell ref="N68:O68"/>
    <mergeCell ref="P68:S68"/>
    <mergeCell ref="T68:W68"/>
    <mergeCell ref="X68:AA68"/>
    <mergeCell ref="AB68:AE68"/>
    <mergeCell ref="AV68:AY68"/>
    <mergeCell ref="AZ68:BC68"/>
    <mergeCell ref="BD68:BG68"/>
    <mergeCell ref="BH68:BK68"/>
    <mergeCell ref="AV69:AY69"/>
    <mergeCell ref="AZ69:BC69"/>
    <mergeCell ref="BD69:BG69"/>
    <mergeCell ref="BH69:BK69"/>
    <mergeCell ref="AV67:AY67"/>
    <mergeCell ref="AZ67:BC67"/>
    <mergeCell ref="BD67:BG67"/>
    <mergeCell ref="BH67:BK67"/>
    <mergeCell ref="BH65:BK65"/>
    <mergeCell ref="N66:O66"/>
    <mergeCell ref="P66:S66"/>
    <mergeCell ref="T66:W66"/>
    <mergeCell ref="X66:AA66"/>
    <mergeCell ref="AB66:AE66"/>
    <mergeCell ref="AT66:AU66"/>
    <mergeCell ref="AV66:AY66"/>
    <mergeCell ref="AZ66:BC66"/>
    <mergeCell ref="BD66:BG66"/>
    <mergeCell ref="BH66:BK66"/>
    <mergeCell ref="I65:M67"/>
    <mergeCell ref="N65:O65"/>
    <mergeCell ref="P65:S65"/>
    <mergeCell ref="T65:W65"/>
    <mergeCell ref="X65:AA65"/>
    <mergeCell ref="AB65:AE65"/>
    <mergeCell ref="AV65:AY65"/>
    <mergeCell ref="AZ65:BC65"/>
    <mergeCell ref="BD65:BG65"/>
    <mergeCell ref="N67:O67"/>
    <mergeCell ref="P67:S67"/>
    <mergeCell ref="T67:W67"/>
    <mergeCell ref="X67:AA67"/>
    <mergeCell ref="AB67:AE67"/>
    <mergeCell ref="AT67:AU67"/>
    <mergeCell ref="AV63:AY63"/>
    <mergeCell ref="AZ63:BC63"/>
    <mergeCell ref="BD63:BG63"/>
    <mergeCell ref="BH63:BK63"/>
    <mergeCell ref="N64:O64"/>
    <mergeCell ref="P64:S64"/>
    <mergeCell ref="T64:W64"/>
    <mergeCell ref="X64:AA64"/>
    <mergeCell ref="AB64:AE64"/>
    <mergeCell ref="AT64:AU64"/>
    <mergeCell ref="AV64:AY64"/>
    <mergeCell ref="AZ64:BC64"/>
    <mergeCell ref="BD64:BG64"/>
    <mergeCell ref="BH64:BK64"/>
    <mergeCell ref="T61:W61"/>
    <mergeCell ref="X61:AA61"/>
    <mergeCell ref="AB61:AE61"/>
    <mergeCell ref="AT61:AU61"/>
    <mergeCell ref="AV61:AY61"/>
    <mergeCell ref="AZ61:BC61"/>
    <mergeCell ref="BD61:BG61"/>
    <mergeCell ref="BH61:BK61"/>
    <mergeCell ref="I62:M64"/>
    <mergeCell ref="N62:O62"/>
    <mergeCell ref="P62:S62"/>
    <mergeCell ref="T62:W62"/>
    <mergeCell ref="X62:AA62"/>
    <mergeCell ref="AB62:AE62"/>
    <mergeCell ref="AV62:AY62"/>
    <mergeCell ref="AZ62:BC62"/>
    <mergeCell ref="BD62:BG62"/>
    <mergeCell ref="BH62:BK62"/>
    <mergeCell ref="N63:O63"/>
    <mergeCell ref="P63:S63"/>
    <mergeCell ref="T63:W63"/>
    <mergeCell ref="X63:AA63"/>
    <mergeCell ref="AB63:AE63"/>
    <mergeCell ref="AT63:AU63"/>
    <mergeCell ref="BD59:BG59"/>
    <mergeCell ref="BH59:BK59"/>
    <mergeCell ref="N60:O60"/>
    <mergeCell ref="P60:S60"/>
    <mergeCell ref="T60:W60"/>
    <mergeCell ref="X60:AA60"/>
    <mergeCell ref="AB60:AE60"/>
    <mergeCell ref="AT60:AU60"/>
    <mergeCell ref="X59:AA59"/>
    <mergeCell ref="AB59:AE59"/>
    <mergeCell ref="AG59:AK82"/>
    <mergeCell ref="AL59:AN82"/>
    <mergeCell ref="AO59:AS61"/>
    <mergeCell ref="AT59:AU59"/>
    <mergeCell ref="AO62:AS64"/>
    <mergeCell ref="AT62:AU62"/>
    <mergeCell ref="AO65:AS67"/>
    <mergeCell ref="AT65:AU65"/>
    <mergeCell ref="AV60:AY60"/>
    <mergeCell ref="AZ60:BC60"/>
    <mergeCell ref="BD60:BG60"/>
    <mergeCell ref="BH60:BK60"/>
    <mergeCell ref="N61:O61"/>
    <mergeCell ref="P61:S61"/>
    <mergeCell ref="AV58:AY58"/>
    <mergeCell ref="AZ58:BC58"/>
    <mergeCell ref="BD58:BG58"/>
    <mergeCell ref="BH58:BK58"/>
    <mergeCell ref="A59:E82"/>
    <mergeCell ref="F59:H82"/>
    <mergeCell ref="I59:M61"/>
    <mergeCell ref="N59:O59"/>
    <mergeCell ref="P59:S59"/>
    <mergeCell ref="T59:W59"/>
    <mergeCell ref="X58:AA58"/>
    <mergeCell ref="AB58:AE58"/>
    <mergeCell ref="AG58:AK58"/>
    <mergeCell ref="AL58:AN58"/>
    <mergeCell ref="AO58:AS58"/>
    <mergeCell ref="AT58:AU58"/>
    <mergeCell ref="A58:E58"/>
    <mergeCell ref="F58:H58"/>
    <mergeCell ref="I58:M58"/>
    <mergeCell ref="N58:O58"/>
    <mergeCell ref="P58:S58"/>
    <mergeCell ref="T58:W58"/>
    <mergeCell ref="AV59:AY59"/>
    <mergeCell ref="AZ59:BC59"/>
    <mergeCell ref="AV33:AY33"/>
    <mergeCell ref="AZ33:BC33"/>
    <mergeCell ref="BD33:BG33"/>
    <mergeCell ref="BH33:BK33"/>
    <mergeCell ref="AP35:BI35"/>
    <mergeCell ref="AP36:AW36"/>
    <mergeCell ref="AX36:BI36"/>
    <mergeCell ref="N33:O33"/>
    <mergeCell ref="P33:S33"/>
    <mergeCell ref="T33:W33"/>
    <mergeCell ref="X33:AA33"/>
    <mergeCell ref="AB33:AE33"/>
    <mergeCell ref="AT33:AU33"/>
    <mergeCell ref="P29:S29"/>
    <mergeCell ref="T29:W29"/>
    <mergeCell ref="X29:AA29"/>
    <mergeCell ref="AB29:AE29"/>
    <mergeCell ref="AZ31:BC31"/>
    <mergeCell ref="BD31:BG31"/>
    <mergeCell ref="BH31:BK31"/>
    <mergeCell ref="AV32:AY32"/>
    <mergeCell ref="AZ32:BC32"/>
    <mergeCell ref="BD32:BG32"/>
    <mergeCell ref="BH32:BK32"/>
    <mergeCell ref="AV30:AY30"/>
    <mergeCell ref="AZ30:BC30"/>
    <mergeCell ref="BD30:BG30"/>
    <mergeCell ref="BH30:BK30"/>
    <mergeCell ref="AV31:AY31"/>
    <mergeCell ref="N28:O28"/>
    <mergeCell ref="P28:S28"/>
    <mergeCell ref="T28:W28"/>
    <mergeCell ref="X28:AA28"/>
    <mergeCell ref="AB28:AE28"/>
    <mergeCell ref="AV28:AY28"/>
    <mergeCell ref="I31:M33"/>
    <mergeCell ref="N31:O31"/>
    <mergeCell ref="P31:S31"/>
    <mergeCell ref="T31:W31"/>
    <mergeCell ref="X31:AA31"/>
    <mergeCell ref="AB31:AE31"/>
    <mergeCell ref="N30:O30"/>
    <mergeCell ref="P30:S30"/>
    <mergeCell ref="T30:W30"/>
    <mergeCell ref="X30:AA30"/>
    <mergeCell ref="AB30:AE30"/>
    <mergeCell ref="I28:M30"/>
    <mergeCell ref="N32:O32"/>
    <mergeCell ref="P32:S32"/>
    <mergeCell ref="T32:W32"/>
    <mergeCell ref="X32:AA32"/>
    <mergeCell ref="AB32:AE32"/>
    <mergeCell ref="N29:O29"/>
    <mergeCell ref="AZ28:BC28"/>
    <mergeCell ref="BD28:BG28"/>
    <mergeCell ref="BH28:BK28"/>
    <mergeCell ref="AV29:AY29"/>
    <mergeCell ref="AZ29:BC29"/>
    <mergeCell ref="BD29:BG29"/>
    <mergeCell ref="BH29:BK29"/>
    <mergeCell ref="AV27:AY27"/>
    <mergeCell ref="AZ27:BC27"/>
    <mergeCell ref="BD27:BG27"/>
    <mergeCell ref="BH27:BK27"/>
    <mergeCell ref="AV25:AY25"/>
    <mergeCell ref="AZ25:BC25"/>
    <mergeCell ref="BD25:BG25"/>
    <mergeCell ref="BH25:BK25"/>
    <mergeCell ref="AV26:AY26"/>
    <mergeCell ref="AZ26:BC26"/>
    <mergeCell ref="BD26:BG26"/>
    <mergeCell ref="BH26:BK26"/>
    <mergeCell ref="AV24:AY24"/>
    <mergeCell ref="AZ24:BC24"/>
    <mergeCell ref="BD24:BG24"/>
    <mergeCell ref="BH24:BK24"/>
    <mergeCell ref="I25:M27"/>
    <mergeCell ref="N25:O25"/>
    <mergeCell ref="P25:S25"/>
    <mergeCell ref="T25:W25"/>
    <mergeCell ref="X25:AA25"/>
    <mergeCell ref="AB25:AE25"/>
    <mergeCell ref="N24:O24"/>
    <mergeCell ref="P24:S24"/>
    <mergeCell ref="T24:W24"/>
    <mergeCell ref="X24:AA24"/>
    <mergeCell ref="AB24:AE24"/>
    <mergeCell ref="I22:M24"/>
    <mergeCell ref="N27:O27"/>
    <mergeCell ref="P27:S27"/>
    <mergeCell ref="T27:W27"/>
    <mergeCell ref="X27:AA27"/>
    <mergeCell ref="AB27:AE27"/>
    <mergeCell ref="N26:O26"/>
    <mergeCell ref="P26:S26"/>
    <mergeCell ref="T26:W26"/>
    <mergeCell ref="X26:AA26"/>
    <mergeCell ref="AB26:AE26"/>
    <mergeCell ref="N23:O23"/>
    <mergeCell ref="P23:S23"/>
    <mergeCell ref="T23:W23"/>
    <mergeCell ref="X23:AA23"/>
    <mergeCell ref="AB23:AE23"/>
    <mergeCell ref="AT23:AU23"/>
    <mergeCell ref="AO22:AS24"/>
    <mergeCell ref="AT22:AU22"/>
    <mergeCell ref="N22:O22"/>
    <mergeCell ref="P22:S22"/>
    <mergeCell ref="T22:W22"/>
    <mergeCell ref="X22:AA22"/>
    <mergeCell ref="AB22:AE22"/>
    <mergeCell ref="AV22:AY22"/>
    <mergeCell ref="AZ22:BC22"/>
    <mergeCell ref="BD22:BG22"/>
    <mergeCell ref="BH22:BK22"/>
    <mergeCell ref="AV23:AY23"/>
    <mergeCell ref="AZ23:BC23"/>
    <mergeCell ref="BD23:BG23"/>
    <mergeCell ref="BH23:BK23"/>
    <mergeCell ref="AV21:AY21"/>
    <mergeCell ref="AZ21:BC21"/>
    <mergeCell ref="BD21:BG21"/>
    <mergeCell ref="BH21:BK21"/>
    <mergeCell ref="BH19:BK19"/>
    <mergeCell ref="AV20:AY20"/>
    <mergeCell ref="AZ20:BC20"/>
    <mergeCell ref="BD20:BG20"/>
    <mergeCell ref="BH20:BK20"/>
    <mergeCell ref="AV18:AY18"/>
    <mergeCell ref="AZ18:BC18"/>
    <mergeCell ref="BD18:BG18"/>
    <mergeCell ref="BH18:BK18"/>
    <mergeCell ref="I19:M21"/>
    <mergeCell ref="N19:O19"/>
    <mergeCell ref="P19:S19"/>
    <mergeCell ref="T19:W19"/>
    <mergeCell ref="X19:AA19"/>
    <mergeCell ref="AB19:AE19"/>
    <mergeCell ref="AV17:AY17"/>
    <mergeCell ref="AZ17:BC17"/>
    <mergeCell ref="BD17:BG17"/>
    <mergeCell ref="AV19:AY19"/>
    <mergeCell ref="AZ19:BC19"/>
    <mergeCell ref="BD19:BG19"/>
    <mergeCell ref="N21:O21"/>
    <mergeCell ref="P21:S21"/>
    <mergeCell ref="T21:W21"/>
    <mergeCell ref="X21:AA21"/>
    <mergeCell ref="AB21:AE21"/>
    <mergeCell ref="AT21:AU21"/>
    <mergeCell ref="N20:O20"/>
    <mergeCell ref="P20:S20"/>
    <mergeCell ref="T20:W20"/>
    <mergeCell ref="X20:AA20"/>
    <mergeCell ref="AB20:AE20"/>
    <mergeCell ref="AT20:AU20"/>
    <mergeCell ref="BH15:BK15"/>
    <mergeCell ref="I16:M18"/>
    <mergeCell ref="N16:O16"/>
    <mergeCell ref="P16:S16"/>
    <mergeCell ref="T16:W16"/>
    <mergeCell ref="X16:AA16"/>
    <mergeCell ref="AB16:AE16"/>
    <mergeCell ref="BH17:BK17"/>
    <mergeCell ref="N18:O18"/>
    <mergeCell ref="P18:S18"/>
    <mergeCell ref="T18:W18"/>
    <mergeCell ref="X18:AA18"/>
    <mergeCell ref="AB18:AE18"/>
    <mergeCell ref="AT18:AU18"/>
    <mergeCell ref="AV16:AY16"/>
    <mergeCell ref="AZ16:BC16"/>
    <mergeCell ref="BD16:BG16"/>
    <mergeCell ref="BH16:BK16"/>
    <mergeCell ref="N17:O17"/>
    <mergeCell ref="P17:S17"/>
    <mergeCell ref="T17:W17"/>
    <mergeCell ref="X17:AA17"/>
    <mergeCell ref="AB17:AE17"/>
    <mergeCell ref="AT17:AU17"/>
    <mergeCell ref="BH13:BK13"/>
    <mergeCell ref="N14:O14"/>
    <mergeCell ref="P14:S14"/>
    <mergeCell ref="T14:W14"/>
    <mergeCell ref="X14:AA14"/>
    <mergeCell ref="AB14:AE14"/>
    <mergeCell ref="AT14:AU14"/>
    <mergeCell ref="AV14:AY14"/>
    <mergeCell ref="AZ14:BC14"/>
    <mergeCell ref="BD14:BG14"/>
    <mergeCell ref="BH14:BK14"/>
    <mergeCell ref="I13:M15"/>
    <mergeCell ref="N13:O13"/>
    <mergeCell ref="P13:S13"/>
    <mergeCell ref="T13:W13"/>
    <mergeCell ref="X13:AA13"/>
    <mergeCell ref="AB13:AE13"/>
    <mergeCell ref="AV13:AY13"/>
    <mergeCell ref="AZ13:BC13"/>
    <mergeCell ref="BD13:BG13"/>
    <mergeCell ref="N15:O15"/>
    <mergeCell ref="P15:S15"/>
    <mergeCell ref="T15:W15"/>
    <mergeCell ref="X15:AA15"/>
    <mergeCell ref="AB15:AE15"/>
    <mergeCell ref="AT15:AU15"/>
    <mergeCell ref="AV15:AY15"/>
    <mergeCell ref="AZ15:BC15"/>
    <mergeCell ref="BD15:BG15"/>
    <mergeCell ref="AV11:AY11"/>
    <mergeCell ref="AZ11:BC11"/>
    <mergeCell ref="BD11:BG11"/>
    <mergeCell ref="BH11:BK11"/>
    <mergeCell ref="N12:O12"/>
    <mergeCell ref="P12:S12"/>
    <mergeCell ref="T12:W12"/>
    <mergeCell ref="X12:AA12"/>
    <mergeCell ref="AB12:AE12"/>
    <mergeCell ref="AT12:AU12"/>
    <mergeCell ref="AV12:AY12"/>
    <mergeCell ref="AZ12:BC12"/>
    <mergeCell ref="BD12:BG12"/>
    <mergeCell ref="BH12:BK12"/>
    <mergeCell ref="AT11:AU11"/>
    <mergeCell ref="AB11:AE11"/>
    <mergeCell ref="X10:AA10"/>
    <mergeCell ref="AB10:AE10"/>
    <mergeCell ref="AG10:AK33"/>
    <mergeCell ref="AL10:AN33"/>
    <mergeCell ref="AO10:AS12"/>
    <mergeCell ref="AT10:AU10"/>
    <mergeCell ref="AO13:AS15"/>
    <mergeCell ref="AT13:AU13"/>
    <mergeCell ref="AO16:AS18"/>
    <mergeCell ref="AT16:AU16"/>
    <mergeCell ref="AO19:AS21"/>
    <mergeCell ref="AT19:AU19"/>
    <mergeCell ref="AT24:AU24"/>
    <mergeCell ref="AT27:AU27"/>
    <mergeCell ref="AT26:AU26"/>
    <mergeCell ref="AO25:AS27"/>
    <mergeCell ref="AT25:AU25"/>
    <mergeCell ref="AT30:AU30"/>
    <mergeCell ref="AT32:AU32"/>
    <mergeCell ref="AO31:AS33"/>
    <mergeCell ref="AT31:AU31"/>
    <mergeCell ref="AT29:AU29"/>
    <mergeCell ref="AO28:AS30"/>
    <mergeCell ref="AT28:AU28"/>
    <mergeCell ref="AV9:AY9"/>
    <mergeCell ref="AZ9:BC9"/>
    <mergeCell ref="BD9:BG9"/>
    <mergeCell ref="BH9:BK9"/>
    <mergeCell ref="A10:E33"/>
    <mergeCell ref="F10:H33"/>
    <mergeCell ref="I10:M12"/>
    <mergeCell ref="N10:O10"/>
    <mergeCell ref="P10:S10"/>
    <mergeCell ref="T10:W10"/>
    <mergeCell ref="X9:AA9"/>
    <mergeCell ref="AB9:AE9"/>
    <mergeCell ref="AG9:AK9"/>
    <mergeCell ref="AL9:AN9"/>
    <mergeCell ref="AO9:AS9"/>
    <mergeCell ref="AT9:AU9"/>
    <mergeCell ref="AV10:AY10"/>
    <mergeCell ref="AZ10:BC10"/>
    <mergeCell ref="BD10:BG10"/>
    <mergeCell ref="BH10:BK10"/>
    <mergeCell ref="N11:O11"/>
    <mergeCell ref="P11:S11"/>
    <mergeCell ref="T11:W11"/>
    <mergeCell ref="X11:AA11"/>
    <mergeCell ref="A4:K5"/>
    <mergeCell ref="L4:AE7"/>
    <mergeCell ref="A6:K7"/>
    <mergeCell ref="A9:E9"/>
    <mergeCell ref="F9:H9"/>
    <mergeCell ref="I9:M9"/>
    <mergeCell ref="N9:O9"/>
    <mergeCell ref="P9:S9"/>
    <mergeCell ref="T9:W9"/>
  </mergeCells>
  <phoneticPr fontId="2"/>
  <pageMargins left="0.39370078740157483" right="0.39370078740157483" top="0.59055118110236227" bottom="0.39370078740157483" header="0.51181102362204722" footer="0.19685039370078741"/>
  <pageSetup paperSize="9" scale="90" firstPageNumber="4" orientation="portrait" useFirstPageNumber="1" r:id="rId1"/>
  <headerFooter alignWithMargins="0">
    <oddFooter xml:space="preserve">&amp;C20260511臨時改定価格_SP_和紙雲竜&amp;R&amp;P/&amp;N </oddFooter>
  </headerFooter>
  <rowBreaks count="1" manualBreakCount="1">
    <brk id="54" max="6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F4C-9E3C-4996-BFC9-2A1D5DC94B6B}">
  <sheetPr>
    <tabColor indexed="10"/>
  </sheetPr>
  <dimension ref="A1:BN254"/>
  <sheetViews>
    <sheetView tabSelected="1" view="pageBreakPreview" zoomScaleNormal="100" zoomScaleSheetLayoutView="100" workbookViewId="0">
      <selection activeCell="BS8" sqref="BS8"/>
    </sheetView>
  </sheetViews>
  <sheetFormatPr defaultColWidth="8.875" defaultRowHeight="13.5"/>
  <cols>
    <col min="1" max="153" width="1.625" style="1" customWidth="1"/>
    <col min="154" max="16384" width="8.875" style="1"/>
  </cols>
  <sheetData>
    <row r="1" spans="1:66"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6"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6" ht="16.5" customHeight="1"/>
    <row r="4" spans="1:66" ht="16.5" customHeight="1">
      <c r="A4" s="109" t="s">
        <v>0</v>
      </c>
      <c r="B4" s="110"/>
      <c r="C4" s="110"/>
      <c r="D4" s="110"/>
      <c r="E4" s="110"/>
      <c r="F4" s="110"/>
      <c r="G4" s="110"/>
      <c r="H4" s="110"/>
      <c r="I4" s="110"/>
      <c r="J4" s="110"/>
      <c r="K4" s="172"/>
      <c r="L4" s="174" t="s">
        <v>76</v>
      </c>
      <c r="M4" s="175"/>
      <c r="N4" s="175"/>
      <c r="O4" s="175"/>
      <c r="P4" s="175"/>
      <c r="Q4" s="175"/>
      <c r="R4" s="175"/>
      <c r="S4" s="175"/>
      <c r="T4" s="175"/>
      <c r="U4" s="175"/>
      <c r="V4" s="175"/>
      <c r="W4" s="175"/>
      <c r="X4" s="175"/>
      <c r="Y4" s="175"/>
      <c r="Z4" s="175"/>
      <c r="AA4" s="175"/>
      <c r="AB4" s="175"/>
      <c r="AC4" s="175"/>
      <c r="AD4" s="175"/>
      <c r="AE4" s="175"/>
      <c r="AF4" s="19"/>
      <c r="AG4" s="19"/>
      <c r="AH4" s="19"/>
      <c r="AL4" s="119">
        <v>812</v>
      </c>
      <c r="AM4" s="119"/>
      <c r="AN4" s="119"/>
      <c r="AO4" s="120" t="s">
        <v>77</v>
      </c>
      <c r="AP4" s="120"/>
      <c r="AQ4" s="120"/>
      <c r="AR4" s="120"/>
      <c r="AS4" s="120"/>
      <c r="AT4" s="120"/>
      <c r="AU4" s="120"/>
      <c r="AV4" s="120"/>
      <c r="AW4" s="120"/>
      <c r="AX4" s="120"/>
      <c r="AY4" s="43"/>
    </row>
    <row r="5" spans="1:66" ht="16.5" customHeight="1">
      <c r="A5" s="111"/>
      <c r="B5" s="112"/>
      <c r="C5" s="112"/>
      <c r="D5" s="112"/>
      <c r="E5" s="112"/>
      <c r="F5" s="112"/>
      <c r="G5" s="112"/>
      <c r="H5" s="112"/>
      <c r="I5" s="112"/>
      <c r="J5" s="112"/>
      <c r="K5" s="173"/>
      <c r="L5" s="176"/>
      <c r="M5" s="177"/>
      <c r="N5" s="177"/>
      <c r="O5" s="177"/>
      <c r="P5" s="177"/>
      <c r="Q5" s="177"/>
      <c r="R5" s="177"/>
      <c r="S5" s="177"/>
      <c r="T5" s="177"/>
      <c r="U5" s="177"/>
      <c r="V5" s="177"/>
      <c r="W5" s="177"/>
      <c r="X5" s="177"/>
      <c r="Y5" s="177"/>
      <c r="Z5" s="177"/>
      <c r="AA5" s="177"/>
      <c r="AB5" s="177"/>
      <c r="AC5" s="177"/>
      <c r="AD5" s="177"/>
      <c r="AE5" s="177"/>
      <c r="AF5" s="19"/>
      <c r="AG5" s="19"/>
      <c r="AH5" s="19"/>
      <c r="AL5" s="141">
        <v>814</v>
      </c>
      <c r="AM5" s="141"/>
      <c r="AN5" s="141"/>
      <c r="AO5" s="148" t="s">
        <v>78</v>
      </c>
      <c r="AP5" s="148"/>
      <c r="AQ5" s="148"/>
      <c r="AR5" s="148"/>
      <c r="AS5" s="148"/>
      <c r="AT5" s="148"/>
      <c r="AU5" s="148"/>
      <c r="AV5" s="148"/>
      <c r="AW5" s="148"/>
      <c r="AX5" s="148"/>
      <c r="AY5" s="21"/>
      <c r="AZ5" s="3"/>
      <c r="BA5" s="3"/>
      <c r="BB5" s="3"/>
      <c r="BC5" s="3"/>
      <c r="BD5" s="3"/>
      <c r="BE5" s="3"/>
      <c r="BF5" s="3"/>
      <c r="BG5" s="3"/>
      <c r="BH5" s="3"/>
      <c r="BI5" s="3"/>
      <c r="BJ5" s="3"/>
      <c r="BK5" s="3"/>
    </row>
    <row r="6" spans="1:66" ht="16.5" customHeight="1">
      <c r="A6" s="180" t="s">
        <v>2</v>
      </c>
      <c r="B6" s="181"/>
      <c r="C6" s="181"/>
      <c r="D6" s="181"/>
      <c r="E6" s="181"/>
      <c r="F6" s="181"/>
      <c r="G6" s="181"/>
      <c r="H6" s="181"/>
      <c r="I6" s="181"/>
      <c r="J6" s="181"/>
      <c r="K6" s="182"/>
      <c r="L6" s="176"/>
      <c r="M6" s="177"/>
      <c r="N6" s="177"/>
      <c r="O6" s="177"/>
      <c r="P6" s="177"/>
      <c r="Q6" s="177"/>
      <c r="R6" s="177"/>
      <c r="S6" s="177"/>
      <c r="T6" s="177"/>
      <c r="U6" s="177"/>
      <c r="V6" s="177"/>
      <c r="W6" s="177"/>
      <c r="X6" s="177"/>
      <c r="Y6" s="177"/>
      <c r="Z6" s="177"/>
      <c r="AA6" s="177"/>
      <c r="AB6" s="177"/>
      <c r="AC6" s="177"/>
      <c r="AD6" s="177"/>
      <c r="AE6" s="177"/>
      <c r="AF6" s="19"/>
      <c r="AG6" s="19"/>
      <c r="AH6" s="19"/>
      <c r="AL6" s="151">
        <v>860</v>
      </c>
      <c r="AM6" s="151"/>
      <c r="AN6" s="151"/>
      <c r="AO6" s="190" t="s">
        <v>79</v>
      </c>
      <c r="AP6" s="190"/>
      <c r="AQ6" s="190"/>
      <c r="AR6" s="190"/>
      <c r="AS6" s="190"/>
      <c r="AT6" s="190"/>
      <c r="AU6" s="190"/>
      <c r="AV6" s="190"/>
      <c r="AW6" s="190"/>
      <c r="AX6" s="190"/>
      <c r="AY6" s="21"/>
      <c r="AZ6" s="3"/>
      <c r="BA6" s="3"/>
      <c r="BB6" s="3"/>
      <c r="BC6" s="3"/>
      <c r="BD6" s="3"/>
      <c r="BE6" s="3"/>
      <c r="BF6" s="3"/>
      <c r="BG6" s="3"/>
      <c r="BH6" s="3"/>
      <c r="BI6" s="3"/>
      <c r="BJ6" s="3"/>
      <c r="BK6" s="3"/>
    </row>
    <row r="7" spans="1:66" ht="16.5" customHeight="1">
      <c r="A7" s="106"/>
      <c r="B7" s="107"/>
      <c r="C7" s="107"/>
      <c r="D7" s="107"/>
      <c r="E7" s="107"/>
      <c r="F7" s="107"/>
      <c r="G7" s="107"/>
      <c r="H7" s="107"/>
      <c r="I7" s="107"/>
      <c r="J7" s="107"/>
      <c r="K7" s="108"/>
      <c r="L7" s="178"/>
      <c r="M7" s="179"/>
      <c r="N7" s="179"/>
      <c r="O7" s="179"/>
      <c r="P7" s="179"/>
      <c r="Q7" s="179"/>
      <c r="R7" s="179"/>
      <c r="S7" s="179"/>
      <c r="T7" s="179"/>
      <c r="U7" s="179"/>
      <c r="V7" s="179"/>
      <c r="W7" s="179"/>
      <c r="X7" s="179"/>
      <c r="Y7" s="179"/>
      <c r="Z7" s="179"/>
      <c r="AA7" s="179"/>
      <c r="AB7" s="179"/>
      <c r="AC7" s="179"/>
      <c r="AD7" s="179"/>
      <c r="AE7" s="179"/>
      <c r="AF7" s="19"/>
      <c r="AG7" s="19"/>
      <c r="AH7" s="19"/>
      <c r="AY7" s="3"/>
      <c r="AZ7" s="3"/>
      <c r="BA7" s="3"/>
      <c r="BB7" s="3"/>
      <c r="BC7" s="3"/>
      <c r="BD7" s="3"/>
      <c r="BE7" s="3"/>
      <c r="BF7" s="3"/>
      <c r="BG7" s="3"/>
      <c r="BH7" s="3"/>
      <c r="BI7" s="3"/>
      <c r="BJ7" s="3"/>
      <c r="BK7" s="3"/>
    </row>
    <row r="8" spans="1:66" ht="16.5" customHeight="1">
      <c r="A8" s="34"/>
      <c r="B8" s="34"/>
      <c r="C8" s="34"/>
      <c r="D8" s="34"/>
      <c r="E8" s="34"/>
      <c r="F8" s="34"/>
      <c r="G8" s="34"/>
      <c r="H8" s="34"/>
      <c r="I8" s="34"/>
      <c r="J8" s="34"/>
      <c r="K8" s="34"/>
      <c r="L8" s="35"/>
      <c r="M8" s="35"/>
      <c r="N8" s="35"/>
      <c r="O8" s="35"/>
      <c r="P8" s="35"/>
      <c r="Q8" s="35"/>
      <c r="R8" s="35"/>
      <c r="S8" s="35"/>
      <c r="T8" s="35"/>
      <c r="U8" s="35"/>
      <c r="V8" s="35"/>
      <c r="W8" s="35"/>
      <c r="X8" s="35"/>
      <c r="Y8" s="35"/>
    </row>
    <row r="9" spans="1:66"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c r="AG9" s="98" t="s">
        <v>3</v>
      </c>
      <c r="AH9" s="98"/>
      <c r="AI9" s="98"/>
      <c r="AJ9" s="98"/>
      <c r="AK9" s="98"/>
      <c r="AL9" s="98" t="s">
        <v>4</v>
      </c>
      <c r="AM9" s="98"/>
      <c r="AN9" s="98"/>
      <c r="AO9" s="98" t="s">
        <v>5</v>
      </c>
      <c r="AP9" s="98"/>
      <c r="AQ9" s="98"/>
      <c r="AR9" s="98"/>
      <c r="AS9" s="98"/>
      <c r="AT9" s="98"/>
      <c r="AU9" s="98"/>
      <c r="AV9" s="98" t="s">
        <v>6</v>
      </c>
      <c r="AW9" s="98"/>
      <c r="AX9" s="98"/>
      <c r="AY9" s="98"/>
      <c r="AZ9" s="98" t="s">
        <v>7</v>
      </c>
      <c r="BA9" s="98"/>
      <c r="BB9" s="98"/>
      <c r="BC9" s="98"/>
      <c r="BD9" s="98" t="s">
        <v>8</v>
      </c>
      <c r="BE9" s="98"/>
      <c r="BF9" s="98"/>
      <c r="BG9" s="98"/>
      <c r="BH9" s="98" t="s">
        <v>52</v>
      </c>
      <c r="BI9" s="98"/>
      <c r="BJ9" s="98"/>
      <c r="BK9" s="98"/>
    </row>
    <row r="10" spans="1:66" ht="16.5" customHeight="1">
      <c r="A10" s="184">
        <v>814</v>
      </c>
      <c r="B10" s="184"/>
      <c r="C10" s="184"/>
      <c r="D10" s="184"/>
      <c r="E10" s="184"/>
      <c r="F10" s="164">
        <v>2</v>
      </c>
      <c r="G10" s="164"/>
      <c r="H10" s="164"/>
      <c r="I10" s="156" t="s">
        <v>9</v>
      </c>
      <c r="J10" s="156"/>
      <c r="K10" s="156"/>
      <c r="L10" s="156"/>
      <c r="M10" s="156"/>
      <c r="N10" s="100" t="s">
        <v>10</v>
      </c>
      <c r="O10" s="100"/>
      <c r="P10" s="99">
        <f>P22+25</f>
        <v>250</v>
      </c>
      <c r="Q10" s="99"/>
      <c r="R10" s="99"/>
      <c r="S10" s="99"/>
      <c r="T10" s="99">
        <f>P10+30</f>
        <v>280</v>
      </c>
      <c r="U10" s="99"/>
      <c r="V10" s="99"/>
      <c r="W10" s="99"/>
      <c r="X10" s="99">
        <f>T10+30</f>
        <v>310</v>
      </c>
      <c r="Y10" s="99"/>
      <c r="Z10" s="99"/>
      <c r="AA10" s="99"/>
      <c r="AB10" s="99">
        <f>X10+30</f>
        <v>340</v>
      </c>
      <c r="AC10" s="99"/>
      <c r="AD10" s="99"/>
      <c r="AE10" s="99"/>
      <c r="AG10" s="184" t="s">
        <v>80</v>
      </c>
      <c r="AH10" s="185"/>
      <c r="AI10" s="185"/>
      <c r="AJ10" s="185"/>
      <c r="AK10" s="185"/>
      <c r="AL10" s="94">
        <v>5</v>
      </c>
      <c r="AM10" s="94"/>
      <c r="AN10" s="94"/>
      <c r="AO10" s="95" t="s">
        <v>9</v>
      </c>
      <c r="AP10" s="95"/>
      <c r="AQ10" s="95"/>
      <c r="AR10" s="95"/>
      <c r="AS10" s="95"/>
      <c r="AT10" s="100" t="s">
        <v>10</v>
      </c>
      <c r="AU10" s="100"/>
      <c r="AV10" s="99">
        <f>AV22+25</f>
        <v>267.5</v>
      </c>
      <c r="AW10" s="99"/>
      <c r="AX10" s="99"/>
      <c r="AY10" s="99"/>
      <c r="AZ10" s="99">
        <f>AV10+30</f>
        <v>297.5</v>
      </c>
      <c r="BA10" s="99"/>
      <c r="BB10" s="99"/>
      <c r="BC10" s="99"/>
      <c r="BD10" s="99">
        <f>AZ10+30</f>
        <v>327.5</v>
      </c>
      <c r="BE10" s="99"/>
      <c r="BF10" s="99"/>
      <c r="BG10" s="99"/>
      <c r="BH10" s="99">
        <f>BD10+30</f>
        <v>357.5</v>
      </c>
      <c r="BI10" s="99"/>
      <c r="BJ10" s="99"/>
      <c r="BK10" s="99"/>
      <c r="BN10" s="8"/>
    </row>
    <row r="11" spans="1:66" ht="16.5" customHeight="1">
      <c r="A11" s="184"/>
      <c r="B11" s="184"/>
      <c r="C11" s="184"/>
      <c r="D11" s="184"/>
      <c r="E11" s="184"/>
      <c r="F11" s="165"/>
      <c r="G11" s="165"/>
      <c r="H11" s="165"/>
      <c r="I11" s="156"/>
      <c r="J11" s="156"/>
      <c r="K11" s="156"/>
      <c r="L11" s="156"/>
      <c r="M11" s="156"/>
      <c r="N11" s="100" t="s">
        <v>11</v>
      </c>
      <c r="O11" s="100"/>
      <c r="P11" s="99">
        <f>CEILING(P10*0.95,0.5)</f>
        <v>237.5</v>
      </c>
      <c r="Q11" s="99"/>
      <c r="R11" s="99"/>
      <c r="S11" s="99"/>
      <c r="T11" s="99">
        <f>CEILING(T10*0.95,0.5)</f>
        <v>266</v>
      </c>
      <c r="U11" s="99"/>
      <c r="V11" s="99"/>
      <c r="W11" s="99"/>
      <c r="X11" s="99">
        <f>CEILING(X10*0.95,0.5)</f>
        <v>294.5</v>
      </c>
      <c r="Y11" s="99"/>
      <c r="Z11" s="99"/>
      <c r="AA11" s="99"/>
      <c r="AB11" s="99">
        <f>CEILING(AB10*0.95,0.5)</f>
        <v>323</v>
      </c>
      <c r="AC11" s="99"/>
      <c r="AD11" s="99"/>
      <c r="AE11" s="99"/>
      <c r="AG11" s="185"/>
      <c r="AH11" s="185"/>
      <c r="AI11" s="185"/>
      <c r="AJ11" s="185"/>
      <c r="AK11" s="185"/>
      <c r="AL11" s="94"/>
      <c r="AM11" s="94"/>
      <c r="AN11" s="94"/>
      <c r="AO11" s="95"/>
      <c r="AP11" s="95"/>
      <c r="AQ11" s="95"/>
      <c r="AR11" s="95"/>
      <c r="AS11" s="95"/>
      <c r="AT11" s="100" t="s">
        <v>11</v>
      </c>
      <c r="AU11" s="100"/>
      <c r="AV11" s="99">
        <f>CEILING(AV10*0.95,0.5)</f>
        <v>254.5</v>
      </c>
      <c r="AW11" s="99"/>
      <c r="AX11" s="99"/>
      <c r="AY11" s="99"/>
      <c r="AZ11" s="99">
        <f>CEILING(AZ10*0.95,0.5)</f>
        <v>283</v>
      </c>
      <c r="BA11" s="99"/>
      <c r="BB11" s="99"/>
      <c r="BC11" s="99"/>
      <c r="BD11" s="99">
        <f>CEILING(BD10*0.95,0.5)</f>
        <v>311.5</v>
      </c>
      <c r="BE11" s="99"/>
      <c r="BF11" s="99"/>
      <c r="BG11" s="99"/>
      <c r="BH11" s="99">
        <f>CEILING(BH10*0.95,0.5)</f>
        <v>340</v>
      </c>
      <c r="BI11" s="99"/>
      <c r="BJ11" s="99"/>
      <c r="BK11" s="99"/>
      <c r="BN11" s="8"/>
    </row>
    <row r="12" spans="1:66" ht="16.5" customHeight="1">
      <c r="A12" s="184"/>
      <c r="B12" s="184"/>
      <c r="C12" s="184"/>
      <c r="D12" s="184"/>
      <c r="E12" s="184"/>
      <c r="F12" s="165"/>
      <c r="G12" s="165"/>
      <c r="H12" s="165"/>
      <c r="I12" s="156"/>
      <c r="J12" s="156"/>
      <c r="K12" s="156"/>
      <c r="L12" s="156"/>
      <c r="M12" s="156"/>
      <c r="N12" s="100" t="s">
        <v>12</v>
      </c>
      <c r="O12" s="100"/>
      <c r="P12" s="99">
        <f>P24+25</f>
        <v>226</v>
      </c>
      <c r="Q12" s="99"/>
      <c r="R12" s="99"/>
      <c r="S12" s="99"/>
      <c r="T12" s="99">
        <f>P12+30</f>
        <v>256</v>
      </c>
      <c r="U12" s="99"/>
      <c r="V12" s="99"/>
      <c r="W12" s="99"/>
      <c r="X12" s="99">
        <f>T12+30</f>
        <v>286</v>
      </c>
      <c r="Y12" s="99"/>
      <c r="Z12" s="99"/>
      <c r="AA12" s="99"/>
      <c r="AB12" s="99">
        <f>X12+30</f>
        <v>316</v>
      </c>
      <c r="AC12" s="99"/>
      <c r="AD12" s="99"/>
      <c r="AE12" s="99"/>
      <c r="AG12" s="185"/>
      <c r="AH12" s="185"/>
      <c r="AI12" s="185"/>
      <c r="AJ12" s="185"/>
      <c r="AK12" s="185"/>
      <c r="AL12" s="94"/>
      <c r="AM12" s="94"/>
      <c r="AN12" s="94"/>
      <c r="AO12" s="95"/>
      <c r="AP12" s="95"/>
      <c r="AQ12" s="95"/>
      <c r="AR12" s="95"/>
      <c r="AS12" s="95"/>
      <c r="AT12" s="100" t="s">
        <v>12</v>
      </c>
      <c r="AU12" s="100"/>
      <c r="AV12" s="99">
        <f>AV24+25</f>
        <v>238.5</v>
      </c>
      <c r="AW12" s="99"/>
      <c r="AX12" s="99"/>
      <c r="AY12" s="99"/>
      <c r="AZ12" s="99">
        <f>AV12+30</f>
        <v>268.5</v>
      </c>
      <c r="BA12" s="99"/>
      <c r="BB12" s="99"/>
      <c r="BC12" s="99"/>
      <c r="BD12" s="99">
        <f>AZ12+30</f>
        <v>298.5</v>
      </c>
      <c r="BE12" s="99"/>
      <c r="BF12" s="99"/>
      <c r="BG12" s="99"/>
      <c r="BH12" s="99">
        <f>BD12+30</f>
        <v>328.5</v>
      </c>
      <c r="BI12" s="99"/>
      <c r="BJ12" s="99"/>
      <c r="BK12" s="99"/>
      <c r="BN12" s="8"/>
    </row>
    <row r="13" spans="1:66" ht="16.5" customHeight="1">
      <c r="A13" s="184"/>
      <c r="B13" s="184"/>
      <c r="C13" s="184"/>
      <c r="D13" s="184"/>
      <c r="E13" s="184"/>
      <c r="F13" s="165"/>
      <c r="G13" s="165"/>
      <c r="H13" s="165"/>
      <c r="I13" s="97" t="s">
        <v>13</v>
      </c>
      <c r="J13" s="97"/>
      <c r="K13" s="97"/>
      <c r="L13" s="97"/>
      <c r="M13" s="97"/>
      <c r="N13" s="98" t="s">
        <v>10</v>
      </c>
      <c r="O13" s="98"/>
      <c r="P13" s="96">
        <f>CEILING(P10*0.35+5,0.5)</f>
        <v>92.5</v>
      </c>
      <c r="Q13" s="96"/>
      <c r="R13" s="96"/>
      <c r="S13" s="96"/>
      <c r="T13" s="96">
        <f>CEILING(T10*0.35+5,0.5)</f>
        <v>103</v>
      </c>
      <c r="U13" s="96"/>
      <c r="V13" s="96"/>
      <c r="W13" s="96"/>
      <c r="X13" s="96">
        <f>CEILING(X10*0.35+5,0.5)</f>
        <v>113.5</v>
      </c>
      <c r="Y13" s="96"/>
      <c r="Z13" s="96"/>
      <c r="AA13" s="96"/>
      <c r="AB13" s="96">
        <f>CEILING(AB10*0.35+5,0.5)</f>
        <v>124</v>
      </c>
      <c r="AC13" s="96"/>
      <c r="AD13" s="96"/>
      <c r="AE13" s="96"/>
      <c r="AG13" s="185"/>
      <c r="AH13" s="185"/>
      <c r="AI13" s="185"/>
      <c r="AJ13" s="185"/>
      <c r="AK13" s="185"/>
      <c r="AL13" s="94"/>
      <c r="AM13" s="94"/>
      <c r="AN13" s="94"/>
      <c r="AO13" s="97" t="s">
        <v>14</v>
      </c>
      <c r="AP13" s="97"/>
      <c r="AQ13" s="97"/>
      <c r="AR13" s="97"/>
      <c r="AS13" s="97"/>
      <c r="AT13" s="98" t="s">
        <v>10</v>
      </c>
      <c r="AU13" s="98"/>
      <c r="AV13" s="96">
        <f>CEILING(AV10*0.47+5,0.5)</f>
        <v>131</v>
      </c>
      <c r="AW13" s="96"/>
      <c r="AX13" s="96"/>
      <c r="AY13" s="96"/>
      <c r="AZ13" s="96">
        <f>CEILING(AZ10*0.47+5,0.5)</f>
        <v>145</v>
      </c>
      <c r="BA13" s="96"/>
      <c r="BB13" s="96"/>
      <c r="BC13" s="96"/>
      <c r="BD13" s="96">
        <f>CEILING(BD10*0.47+5,0.5)</f>
        <v>159</v>
      </c>
      <c r="BE13" s="96"/>
      <c r="BF13" s="96"/>
      <c r="BG13" s="96"/>
      <c r="BH13" s="96">
        <f>CEILING(BH10*0.47+5,0.5)</f>
        <v>173.5</v>
      </c>
      <c r="BI13" s="96"/>
      <c r="BJ13" s="96"/>
      <c r="BK13" s="96"/>
    </row>
    <row r="14" spans="1:66" ht="16.5" customHeight="1">
      <c r="A14" s="184"/>
      <c r="B14" s="184"/>
      <c r="C14" s="184"/>
      <c r="D14" s="184"/>
      <c r="E14" s="184"/>
      <c r="F14" s="165"/>
      <c r="G14" s="165"/>
      <c r="H14" s="165"/>
      <c r="I14" s="97"/>
      <c r="J14" s="97"/>
      <c r="K14" s="97"/>
      <c r="L14" s="97"/>
      <c r="M14" s="97"/>
      <c r="N14" s="98" t="s">
        <v>11</v>
      </c>
      <c r="O14" s="98"/>
      <c r="P14" s="96">
        <f>CEILING(P13*0.95,0.5)</f>
        <v>88</v>
      </c>
      <c r="Q14" s="96"/>
      <c r="R14" s="96"/>
      <c r="S14" s="96"/>
      <c r="T14" s="96">
        <f>CEILING(T13*0.95,0.5)</f>
        <v>98</v>
      </c>
      <c r="U14" s="96"/>
      <c r="V14" s="96"/>
      <c r="W14" s="96"/>
      <c r="X14" s="96">
        <f>CEILING(X13*0.95,0.5)</f>
        <v>108</v>
      </c>
      <c r="Y14" s="96"/>
      <c r="Z14" s="96"/>
      <c r="AA14" s="96"/>
      <c r="AB14" s="96">
        <f>CEILING(AB13*0.95,0.5)</f>
        <v>118</v>
      </c>
      <c r="AC14" s="96"/>
      <c r="AD14" s="96"/>
      <c r="AE14" s="96"/>
      <c r="AG14" s="185"/>
      <c r="AH14" s="185"/>
      <c r="AI14" s="185"/>
      <c r="AJ14" s="185"/>
      <c r="AK14" s="185"/>
      <c r="AL14" s="94"/>
      <c r="AM14" s="94"/>
      <c r="AN14" s="94"/>
      <c r="AO14" s="97"/>
      <c r="AP14" s="97"/>
      <c r="AQ14" s="97"/>
      <c r="AR14" s="97"/>
      <c r="AS14" s="97"/>
      <c r="AT14" s="98" t="s">
        <v>11</v>
      </c>
      <c r="AU14" s="98"/>
      <c r="AV14" s="96">
        <f>CEILING(AV13*0.95,0.5)</f>
        <v>124.5</v>
      </c>
      <c r="AW14" s="96"/>
      <c r="AX14" s="96"/>
      <c r="AY14" s="96"/>
      <c r="AZ14" s="96">
        <f>CEILING(AZ13*0.95,0.5)</f>
        <v>138</v>
      </c>
      <c r="BA14" s="96"/>
      <c r="BB14" s="96"/>
      <c r="BC14" s="96"/>
      <c r="BD14" s="96">
        <f>CEILING(BD13*0.95,0.5)</f>
        <v>151.5</v>
      </c>
      <c r="BE14" s="96"/>
      <c r="BF14" s="96"/>
      <c r="BG14" s="96"/>
      <c r="BH14" s="96">
        <f>CEILING(BH13*0.95,0.5)</f>
        <v>165</v>
      </c>
      <c r="BI14" s="96"/>
      <c r="BJ14" s="96"/>
      <c r="BK14" s="96"/>
    </row>
    <row r="15" spans="1:66" ht="16.5" customHeight="1">
      <c r="A15" s="184"/>
      <c r="B15" s="184"/>
      <c r="C15" s="184"/>
      <c r="D15" s="184"/>
      <c r="E15" s="184"/>
      <c r="F15" s="165"/>
      <c r="G15" s="165"/>
      <c r="H15" s="165"/>
      <c r="I15" s="97"/>
      <c r="J15" s="97"/>
      <c r="K15" s="97"/>
      <c r="L15" s="97"/>
      <c r="M15" s="97"/>
      <c r="N15" s="98" t="s">
        <v>12</v>
      </c>
      <c r="O15" s="98"/>
      <c r="P15" s="96">
        <f>CEILING(P12*0.35+5,0.5)</f>
        <v>84.5</v>
      </c>
      <c r="Q15" s="96"/>
      <c r="R15" s="96"/>
      <c r="S15" s="96"/>
      <c r="T15" s="96">
        <f>CEILING(T12*0.35+5,0.5)</f>
        <v>95</v>
      </c>
      <c r="U15" s="96"/>
      <c r="V15" s="96"/>
      <c r="W15" s="96"/>
      <c r="X15" s="96">
        <f>CEILING(X12*0.35+5,0.5)</f>
        <v>105.5</v>
      </c>
      <c r="Y15" s="96"/>
      <c r="Z15" s="96"/>
      <c r="AA15" s="96"/>
      <c r="AB15" s="96">
        <f>CEILING(AB12*0.35+5,0.5)</f>
        <v>116</v>
      </c>
      <c r="AC15" s="96"/>
      <c r="AD15" s="96"/>
      <c r="AE15" s="96"/>
      <c r="AG15" s="185"/>
      <c r="AH15" s="185"/>
      <c r="AI15" s="185"/>
      <c r="AJ15" s="185"/>
      <c r="AK15" s="185"/>
      <c r="AL15" s="94"/>
      <c r="AM15" s="94"/>
      <c r="AN15" s="94"/>
      <c r="AO15" s="97"/>
      <c r="AP15" s="97"/>
      <c r="AQ15" s="97"/>
      <c r="AR15" s="97"/>
      <c r="AS15" s="97"/>
      <c r="AT15" s="98" t="s">
        <v>12</v>
      </c>
      <c r="AU15" s="98"/>
      <c r="AV15" s="96">
        <f>CEILING(AV12*0.47+5,0.5)</f>
        <v>117.5</v>
      </c>
      <c r="AW15" s="96"/>
      <c r="AX15" s="96"/>
      <c r="AY15" s="96"/>
      <c r="AZ15" s="96">
        <f>CEILING(AZ12*0.47+5,0.5)</f>
        <v>131.5</v>
      </c>
      <c r="BA15" s="96"/>
      <c r="BB15" s="96"/>
      <c r="BC15" s="96"/>
      <c r="BD15" s="96">
        <f>CEILING(BD12*0.47+5,0.5)</f>
        <v>145.5</v>
      </c>
      <c r="BE15" s="96"/>
      <c r="BF15" s="96"/>
      <c r="BG15" s="96"/>
      <c r="BH15" s="96">
        <f>CEILING(BH12*0.47+5,0.5)</f>
        <v>159.5</v>
      </c>
      <c r="BI15" s="96"/>
      <c r="BJ15" s="96"/>
      <c r="BK15" s="96"/>
    </row>
    <row r="16" spans="1:66" ht="16.5" customHeight="1">
      <c r="A16" s="184"/>
      <c r="B16" s="184"/>
      <c r="C16" s="184"/>
      <c r="D16" s="184"/>
      <c r="E16" s="184"/>
      <c r="F16" s="165"/>
      <c r="G16" s="165"/>
      <c r="H16" s="165"/>
      <c r="I16" s="156" t="s">
        <v>15</v>
      </c>
      <c r="J16" s="156"/>
      <c r="K16" s="156"/>
      <c r="L16" s="156"/>
      <c r="M16" s="156"/>
      <c r="N16" s="100" t="s">
        <v>10</v>
      </c>
      <c r="O16" s="100"/>
      <c r="P16" s="99">
        <f>P22+15</f>
        <v>240</v>
      </c>
      <c r="Q16" s="99"/>
      <c r="R16" s="99"/>
      <c r="S16" s="99"/>
      <c r="T16" s="99">
        <f>P16+15</f>
        <v>255</v>
      </c>
      <c r="U16" s="99"/>
      <c r="V16" s="99"/>
      <c r="W16" s="99"/>
      <c r="X16" s="99">
        <f>T16+15</f>
        <v>270</v>
      </c>
      <c r="Y16" s="99"/>
      <c r="Z16" s="99"/>
      <c r="AA16" s="99"/>
      <c r="AB16" s="99">
        <f>X16+15</f>
        <v>285</v>
      </c>
      <c r="AC16" s="99"/>
      <c r="AD16" s="99"/>
      <c r="AE16" s="99"/>
      <c r="AG16" s="185"/>
      <c r="AH16" s="185"/>
      <c r="AI16" s="185"/>
      <c r="AJ16" s="185"/>
      <c r="AK16" s="185"/>
      <c r="AL16" s="94"/>
      <c r="AM16" s="94"/>
      <c r="AN16" s="94"/>
      <c r="AO16" s="95" t="s">
        <v>15</v>
      </c>
      <c r="AP16" s="95"/>
      <c r="AQ16" s="95"/>
      <c r="AR16" s="95"/>
      <c r="AS16" s="95"/>
      <c r="AT16" s="100" t="s">
        <v>58</v>
      </c>
      <c r="AU16" s="100"/>
      <c r="AV16" s="99">
        <f>AV22+15</f>
        <v>257.5</v>
      </c>
      <c r="AW16" s="99"/>
      <c r="AX16" s="99"/>
      <c r="AY16" s="99"/>
      <c r="AZ16" s="99">
        <f>AV16+15</f>
        <v>272.5</v>
      </c>
      <c r="BA16" s="99"/>
      <c r="BB16" s="99"/>
      <c r="BC16" s="99"/>
      <c r="BD16" s="99">
        <f>AZ16+15</f>
        <v>287.5</v>
      </c>
      <c r="BE16" s="99"/>
      <c r="BF16" s="99"/>
      <c r="BG16" s="99"/>
      <c r="BH16" s="99">
        <f>BD16+15</f>
        <v>302.5</v>
      </c>
      <c r="BI16" s="99"/>
      <c r="BJ16" s="99"/>
      <c r="BK16" s="99"/>
    </row>
    <row r="17" spans="1:63" ht="16.5" customHeight="1">
      <c r="A17" s="184"/>
      <c r="B17" s="184"/>
      <c r="C17" s="184"/>
      <c r="D17" s="184"/>
      <c r="E17" s="184"/>
      <c r="F17" s="165"/>
      <c r="G17" s="165"/>
      <c r="H17" s="165"/>
      <c r="I17" s="156"/>
      <c r="J17" s="156"/>
      <c r="K17" s="156"/>
      <c r="L17" s="156"/>
      <c r="M17" s="156"/>
      <c r="N17" s="100" t="s">
        <v>11</v>
      </c>
      <c r="O17" s="100"/>
      <c r="P17" s="99">
        <f>CEILING(P16*0.95,0.5)</f>
        <v>228</v>
      </c>
      <c r="Q17" s="99"/>
      <c r="R17" s="99"/>
      <c r="S17" s="99"/>
      <c r="T17" s="99">
        <f>CEILING(T16*0.95,0.5)</f>
        <v>242.5</v>
      </c>
      <c r="U17" s="99"/>
      <c r="V17" s="99"/>
      <c r="W17" s="99"/>
      <c r="X17" s="99">
        <f>CEILING(X16*0.95,0.5)</f>
        <v>256.5</v>
      </c>
      <c r="Y17" s="99"/>
      <c r="Z17" s="99"/>
      <c r="AA17" s="99"/>
      <c r="AB17" s="99">
        <f>CEILING(AB16*0.95,0.5)</f>
        <v>271</v>
      </c>
      <c r="AC17" s="99"/>
      <c r="AD17" s="99"/>
      <c r="AE17" s="99"/>
      <c r="AG17" s="185"/>
      <c r="AH17" s="185"/>
      <c r="AI17" s="185"/>
      <c r="AJ17" s="185"/>
      <c r="AK17" s="185"/>
      <c r="AL17" s="94"/>
      <c r="AM17" s="94"/>
      <c r="AN17" s="94"/>
      <c r="AO17" s="95"/>
      <c r="AP17" s="95"/>
      <c r="AQ17" s="95"/>
      <c r="AR17" s="95"/>
      <c r="AS17" s="95"/>
      <c r="AT17" s="100" t="s">
        <v>11</v>
      </c>
      <c r="AU17" s="100"/>
      <c r="AV17" s="99">
        <f>CEILING(AV16*0.95,0.5)</f>
        <v>245</v>
      </c>
      <c r="AW17" s="99"/>
      <c r="AX17" s="99"/>
      <c r="AY17" s="99"/>
      <c r="AZ17" s="99">
        <f>CEILING(AZ16*0.95,0.5)</f>
        <v>259</v>
      </c>
      <c r="BA17" s="99"/>
      <c r="BB17" s="99"/>
      <c r="BC17" s="99"/>
      <c r="BD17" s="99">
        <f>CEILING(BD16*0.95,0.5)</f>
        <v>273.5</v>
      </c>
      <c r="BE17" s="99"/>
      <c r="BF17" s="99"/>
      <c r="BG17" s="99"/>
      <c r="BH17" s="99">
        <f>CEILING(BH16*0.95,0.5)</f>
        <v>287.5</v>
      </c>
      <c r="BI17" s="99"/>
      <c r="BJ17" s="99"/>
      <c r="BK17" s="99"/>
    </row>
    <row r="18" spans="1:63" ht="16.5" customHeight="1">
      <c r="A18" s="184"/>
      <c r="B18" s="184"/>
      <c r="C18" s="184"/>
      <c r="D18" s="184"/>
      <c r="E18" s="184"/>
      <c r="F18" s="165"/>
      <c r="G18" s="165"/>
      <c r="H18" s="165"/>
      <c r="I18" s="156"/>
      <c r="J18" s="156"/>
      <c r="K18" s="156"/>
      <c r="L18" s="156"/>
      <c r="M18" s="156"/>
      <c r="N18" s="100" t="s">
        <v>12</v>
      </c>
      <c r="O18" s="100"/>
      <c r="P18" s="99">
        <f>P24+15</f>
        <v>216</v>
      </c>
      <c r="Q18" s="99"/>
      <c r="R18" s="99"/>
      <c r="S18" s="99"/>
      <c r="T18" s="99">
        <f>P18+15</f>
        <v>231</v>
      </c>
      <c r="U18" s="99"/>
      <c r="V18" s="99"/>
      <c r="W18" s="99"/>
      <c r="X18" s="99">
        <f>T18+15</f>
        <v>246</v>
      </c>
      <c r="Y18" s="99"/>
      <c r="Z18" s="99"/>
      <c r="AA18" s="99"/>
      <c r="AB18" s="99">
        <f>X18+15</f>
        <v>261</v>
      </c>
      <c r="AC18" s="99"/>
      <c r="AD18" s="99"/>
      <c r="AE18" s="99"/>
      <c r="AG18" s="185"/>
      <c r="AH18" s="185"/>
      <c r="AI18" s="185"/>
      <c r="AJ18" s="185"/>
      <c r="AK18" s="185"/>
      <c r="AL18" s="94"/>
      <c r="AM18" s="94"/>
      <c r="AN18" s="94"/>
      <c r="AO18" s="95"/>
      <c r="AP18" s="95"/>
      <c r="AQ18" s="95"/>
      <c r="AR18" s="95"/>
      <c r="AS18" s="95"/>
      <c r="AT18" s="100" t="s">
        <v>12</v>
      </c>
      <c r="AU18" s="100"/>
      <c r="AV18" s="99">
        <f>AV24+15</f>
        <v>228.5</v>
      </c>
      <c r="AW18" s="99"/>
      <c r="AX18" s="99"/>
      <c r="AY18" s="99"/>
      <c r="AZ18" s="99">
        <f>AV18+15</f>
        <v>243.5</v>
      </c>
      <c r="BA18" s="99"/>
      <c r="BB18" s="99"/>
      <c r="BC18" s="99"/>
      <c r="BD18" s="99">
        <f>AZ18+15</f>
        <v>258.5</v>
      </c>
      <c r="BE18" s="99"/>
      <c r="BF18" s="99"/>
      <c r="BG18" s="99"/>
      <c r="BH18" s="99">
        <f>BD18+15</f>
        <v>273.5</v>
      </c>
      <c r="BI18" s="99"/>
      <c r="BJ18" s="99"/>
      <c r="BK18" s="99"/>
    </row>
    <row r="19" spans="1:63" ht="16.5" customHeight="1">
      <c r="A19" s="184"/>
      <c r="B19" s="184"/>
      <c r="C19" s="184"/>
      <c r="D19" s="184"/>
      <c r="E19" s="184"/>
      <c r="F19" s="165"/>
      <c r="G19" s="165"/>
      <c r="H19" s="165"/>
      <c r="I19" s="97" t="s">
        <v>16</v>
      </c>
      <c r="J19" s="97"/>
      <c r="K19" s="97"/>
      <c r="L19" s="97"/>
      <c r="M19" s="97"/>
      <c r="N19" s="98" t="s">
        <v>10</v>
      </c>
      <c r="O19" s="98"/>
      <c r="P19" s="96">
        <f>CEILING(P16*0.35+5,0.5)</f>
        <v>89</v>
      </c>
      <c r="Q19" s="96"/>
      <c r="R19" s="96"/>
      <c r="S19" s="96"/>
      <c r="T19" s="96">
        <f>CEILING(T16*0.35+5,0.5)</f>
        <v>94.5</v>
      </c>
      <c r="U19" s="96"/>
      <c r="V19" s="96"/>
      <c r="W19" s="96"/>
      <c r="X19" s="96">
        <f>CEILING(X16*0.35+5,0.5)</f>
        <v>99.5</v>
      </c>
      <c r="Y19" s="96"/>
      <c r="Z19" s="96"/>
      <c r="AA19" s="96"/>
      <c r="AB19" s="96">
        <f>CEILING(AB16*0.35+5,0.5)</f>
        <v>105</v>
      </c>
      <c r="AC19" s="96"/>
      <c r="AD19" s="96"/>
      <c r="AE19" s="96"/>
      <c r="AG19" s="185"/>
      <c r="AH19" s="185"/>
      <c r="AI19" s="185"/>
      <c r="AJ19" s="185"/>
      <c r="AK19" s="185"/>
      <c r="AL19" s="94"/>
      <c r="AM19" s="94"/>
      <c r="AN19" s="94"/>
      <c r="AO19" s="191" t="s">
        <v>17</v>
      </c>
      <c r="AP19" s="191"/>
      <c r="AQ19" s="191"/>
      <c r="AR19" s="191"/>
      <c r="AS19" s="191"/>
      <c r="AT19" s="192" t="s">
        <v>10</v>
      </c>
      <c r="AU19" s="192"/>
      <c r="AV19" s="96">
        <f>CEILING(AV16*0.47+5,0.5)</f>
        <v>126.5</v>
      </c>
      <c r="AW19" s="96"/>
      <c r="AX19" s="96"/>
      <c r="AY19" s="96"/>
      <c r="AZ19" s="96">
        <f>CEILING(AZ16*0.47+5,0.5)</f>
        <v>133.5</v>
      </c>
      <c r="BA19" s="96"/>
      <c r="BB19" s="96"/>
      <c r="BC19" s="96"/>
      <c r="BD19" s="96">
        <f>CEILING(BD16*0.47+5,0.5)</f>
        <v>140.5</v>
      </c>
      <c r="BE19" s="96"/>
      <c r="BF19" s="96"/>
      <c r="BG19" s="96"/>
      <c r="BH19" s="96">
        <f>CEILING(BH16*0.47+5,0.5)</f>
        <v>147.5</v>
      </c>
      <c r="BI19" s="96"/>
      <c r="BJ19" s="96"/>
      <c r="BK19" s="96"/>
    </row>
    <row r="20" spans="1:63" ht="16.5" customHeight="1">
      <c r="A20" s="184"/>
      <c r="B20" s="184"/>
      <c r="C20" s="184"/>
      <c r="D20" s="184"/>
      <c r="E20" s="184"/>
      <c r="F20" s="165"/>
      <c r="G20" s="165"/>
      <c r="H20" s="165"/>
      <c r="I20" s="97"/>
      <c r="J20" s="97"/>
      <c r="K20" s="97"/>
      <c r="L20" s="97"/>
      <c r="M20" s="97"/>
      <c r="N20" s="98" t="s">
        <v>11</v>
      </c>
      <c r="O20" s="98"/>
      <c r="P20" s="96">
        <f>CEILING(P19*0.95,0.5)</f>
        <v>85</v>
      </c>
      <c r="Q20" s="96"/>
      <c r="R20" s="96"/>
      <c r="S20" s="96"/>
      <c r="T20" s="96">
        <f>CEILING(T19*0.95,0.5)</f>
        <v>90</v>
      </c>
      <c r="U20" s="96"/>
      <c r="V20" s="96"/>
      <c r="W20" s="96"/>
      <c r="X20" s="96">
        <f>CEILING(X19*0.95,0.5)</f>
        <v>95</v>
      </c>
      <c r="Y20" s="96"/>
      <c r="Z20" s="96"/>
      <c r="AA20" s="96"/>
      <c r="AB20" s="96">
        <f>CEILING(AB19*0.95,0.5)</f>
        <v>100</v>
      </c>
      <c r="AC20" s="96"/>
      <c r="AD20" s="96"/>
      <c r="AE20" s="96"/>
      <c r="AG20" s="185"/>
      <c r="AH20" s="185"/>
      <c r="AI20" s="185"/>
      <c r="AJ20" s="185"/>
      <c r="AK20" s="185"/>
      <c r="AL20" s="94"/>
      <c r="AM20" s="94"/>
      <c r="AN20" s="94"/>
      <c r="AO20" s="191"/>
      <c r="AP20" s="191"/>
      <c r="AQ20" s="191"/>
      <c r="AR20" s="191"/>
      <c r="AS20" s="191"/>
      <c r="AT20" s="98" t="s">
        <v>11</v>
      </c>
      <c r="AU20" s="98"/>
      <c r="AV20" s="96">
        <f>CEILING(AV19*0.95,0.5)</f>
        <v>120.5</v>
      </c>
      <c r="AW20" s="96"/>
      <c r="AX20" s="96"/>
      <c r="AY20" s="96"/>
      <c r="AZ20" s="96">
        <f>CEILING(AZ19*0.95,0.5)</f>
        <v>127</v>
      </c>
      <c r="BA20" s="96"/>
      <c r="BB20" s="96"/>
      <c r="BC20" s="96"/>
      <c r="BD20" s="96">
        <f>CEILING(BD19*0.95,0.5)</f>
        <v>133.5</v>
      </c>
      <c r="BE20" s="96"/>
      <c r="BF20" s="96"/>
      <c r="BG20" s="96"/>
      <c r="BH20" s="96">
        <f>CEILING(BH19*0.95,0.5)</f>
        <v>140.5</v>
      </c>
      <c r="BI20" s="96"/>
      <c r="BJ20" s="96"/>
      <c r="BK20" s="96"/>
    </row>
    <row r="21" spans="1:63" ht="16.5" customHeight="1">
      <c r="A21" s="184"/>
      <c r="B21" s="184"/>
      <c r="C21" s="184"/>
      <c r="D21" s="184"/>
      <c r="E21" s="184"/>
      <c r="F21" s="165"/>
      <c r="G21" s="165"/>
      <c r="H21" s="165"/>
      <c r="I21" s="97"/>
      <c r="J21" s="97"/>
      <c r="K21" s="97"/>
      <c r="L21" s="97"/>
      <c r="M21" s="97"/>
      <c r="N21" s="98" t="s">
        <v>12</v>
      </c>
      <c r="O21" s="98"/>
      <c r="P21" s="96">
        <f>CEILING(P18*0.35+5,0.5)</f>
        <v>81</v>
      </c>
      <c r="Q21" s="96"/>
      <c r="R21" s="96"/>
      <c r="S21" s="96"/>
      <c r="T21" s="96">
        <f>CEILING(T18*0.35+5,0.5)</f>
        <v>86</v>
      </c>
      <c r="U21" s="96"/>
      <c r="V21" s="96"/>
      <c r="W21" s="96"/>
      <c r="X21" s="96">
        <f>CEILING(X18*0.35+5,0.5)</f>
        <v>91.5</v>
      </c>
      <c r="Y21" s="96"/>
      <c r="Z21" s="96"/>
      <c r="AA21" s="96"/>
      <c r="AB21" s="96">
        <f>CEILING(AB18*0.35+5,0.5)</f>
        <v>96.5</v>
      </c>
      <c r="AC21" s="96"/>
      <c r="AD21" s="96"/>
      <c r="AE21" s="96"/>
      <c r="AG21" s="185"/>
      <c r="AH21" s="185"/>
      <c r="AI21" s="185"/>
      <c r="AJ21" s="185"/>
      <c r="AK21" s="185"/>
      <c r="AL21" s="94"/>
      <c r="AM21" s="94"/>
      <c r="AN21" s="94"/>
      <c r="AO21" s="191"/>
      <c r="AP21" s="191"/>
      <c r="AQ21" s="191"/>
      <c r="AR21" s="191"/>
      <c r="AS21" s="191"/>
      <c r="AT21" s="98" t="s">
        <v>12</v>
      </c>
      <c r="AU21" s="98"/>
      <c r="AV21" s="96">
        <f>CEILING(AV18*0.47+5,0.5)</f>
        <v>112.5</v>
      </c>
      <c r="AW21" s="96"/>
      <c r="AX21" s="96"/>
      <c r="AY21" s="96"/>
      <c r="AZ21" s="96">
        <f>CEILING(AZ18*0.47+5,0.5)</f>
        <v>119.5</v>
      </c>
      <c r="BA21" s="96"/>
      <c r="BB21" s="96"/>
      <c r="BC21" s="96"/>
      <c r="BD21" s="96">
        <f>CEILING(BD18*0.47+5,0.5)</f>
        <v>126.5</v>
      </c>
      <c r="BE21" s="96"/>
      <c r="BF21" s="96"/>
      <c r="BG21" s="96"/>
      <c r="BH21" s="96">
        <f>CEILING(BH18*0.47+5,0.5)</f>
        <v>134</v>
      </c>
      <c r="BI21" s="96"/>
      <c r="BJ21" s="96"/>
      <c r="BK21" s="96"/>
    </row>
    <row r="22" spans="1:63" ht="16.5" customHeight="1">
      <c r="A22" s="184"/>
      <c r="B22" s="184"/>
      <c r="C22" s="184"/>
      <c r="D22" s="184"/>
      <c r="E22" s="184"/>
      <c r="F22" s="165"/>
      <c r="G22" s="165"/>
      <c r="H22" s="165"/>
      <c r="I22" s="156" t="s">
        <v>18</v>
      </c>
      <c r="J22" s="156"/>
      <c r="K22" s="156"/>
      <c r="L22" s="156"/>
      <c r="M22" s="156"/>
      <c r="N22" s="100" t="s">
        <v>10</v>
      </c>
      <c r="O22" s="100"/>
      <c r="P22" s="101">
        <f>CEILING(173*1.3,0.5)</f>
        <v>225</v>
      </c>
      <c r="Q22" s="101"/>
      <c r="R22" s="101"/>
      <c r="S22" s="101"/>
      <c r="T22" s="99">
        <f>P22+10</f>
        <v>235</v>
      </c>
      <c r="U22" s="99"/>
      <c r="V22" s="99"/>
      <c r="W22" s="99"/>
      <c r="X22" s="99">
        <f>T22+10</f>
        <v>245</v>
      </c>
      <c r="Y22" s="99"/>
      <c r="Z22" s="99"/>
      <c r="AA22" s="99"/>
      <c r="AB22" s="99">
        <f>X22+10</f>
        <v>255</v>
      </c>
      <c r="AC22" s="99"/>
      <c r="AD22" s="99"/>
      <c r="AE22" s="99"/>
      <c r="AG22" s="185"/>
      <c r="AH22" s="185"/>
      <c r="AI22" s="185"/>
      <c r="AJ22" s="185"/>
      <c r="AK22" s="185"/>
      <c r="AL22" s="94"/>
      <c r="AM22" s="94"/>
      <c r="AN22" s="94"/>
      <c r="AO22" s="95" t="s">
        <v>18</v>
      </c>
      <c r="AP22" s="95"/>
      <c r="AQ22" s="95"/>
      <c r="AR22" s="95"/>
      <c r="AS22" s="95"/>
      <c r="AT22" s="100" t="s">
        <v>10</v>
      </c>
      <c r="AU22" s="100"/>
      <c r="AV22" s="101">
        <f>CEILING(186.5*1.3,0.5)</f>
        <v>242.5</v>
      </c>
      <c r="AW22" s="101"/>
      <c r="AX22" s="101"/>
      <c r="AY22" s="101"/>
      <c r="AZ22" s="99">
        <f>AV22+10</f>
        <v>252.5</v>
      </c>
      <c r="BA22" s="99"/>
      <c r="BB22" s="99"/>
      <c r="BC22" s="99"/>
      <c r="BD22" s="99">
        <f>AZ22+10</f>
        <v>262.5</v>
      </c>
      <c r="BE22" s="99"/>
      <c r="BF22" s="99"/>
      <c r="BG22" s="99"/>
      <c r="BH22" s="99">
        <f>BD22+10</f>
        <v>272.5</v>
      </c>
      <c r="BI22" s="99"/>
      <c r="BJ22" s="99"/>
      <c r="BK22" s="99"/>
    </row>
    <row r="23" spans="1:63" ht="16.5" customHeight="1">
      <c r="A23" s="184"/>
      <c r="B23" s="184"/>
      <c r="C23" s="184"/>
      <c r="D23" s="184"/>
      <c r="E23" s="184"/>
      <c r="F23" s="165"/>
      <c r="G23" s="165"/>
      <c r="H23" s="165"/>
      <c r="I23" s="156"/>
      <c r="J23" s="156"/>
      <c r="K23" s="156"/>
      <c r="L23" s="156"/>
      <c r="M23" s="156"/>
      <c r="N23" s="100" t="s">
        <v>11</v>
      </c>
      <c r="O23" s="100"/>
      <c r="P23" s="99">
        <f>CEILING(P22*0.95,0.5)</f>
        <v>214</v>
      </c>
      <c r="Q23" s="99"/>
      <c r="R23" s="99"/>
      <c r="S23" s="99"/>
      <c r="T23" s="99">
        <f>CEILING(T22*0.95,0.5)</f>
        <v>223.5</v>
      </c>
      <c r="U23" s="99"/>
      <c r="V23" s="99"/>
      <c r="W23" s="99"/>
      <c r="X23" s="99">
        <f>CEILING(X22*0.95,0.5)</f>
        <v>233</v>
      </c>
      <c r="Y23" s="99"/>
      <c r="Z23" s="99"/>
      <c r="AA23" s="99"/>
      <c r="AB23" s="99">
        <f>CEILING(AB22*0.95,0.5)</f>
        <v>242.5</v>
      </c>
      <c r="AC23" s="99"/>
      <c r="AD23" s="99"/>
      <c r="AE23" s="99"/>
      <c r="AG23" s="185"/>
      <c r="AH23" s="185"/>
      <c r="AI23" s="185"/>
      <c r="AJ23" s="185"/>
      <c r="AK23" s="185"/>
      <c r="AL23" s="94"/>
      <c r="AM23" s="94"/>
      <c r="AN23" s="94"/>
      <c r="AO23" s="95"/>
      <c r="AP23" s="95"/>
      <c r="AQ23" s="95"/>
      <c r="AR23" s="95"/>
      <c r="AS23" s="95"/>
      <c r="AT23" s="100" t="s">
        <v>11</v>
      </c>
      <c r="AU23" s="100"/>
      <c r="AV23" s="99">
        <f>CEILING(AV22*0.95,0.5)</f>
        <v>230.5</v>
      </c>
      <c r="AW23" s="99"/>
      <c r="AX23" s="99"/>
      <c r="AY23" s="99"/>
      <c r="AZ23" s="99">
        <f>CEILING(AZ22*0.95,0.5)</f>
        <v>240</v>
      </c>
      <c r="BA23" s="99"/>
      <c r="BB23" s="99"/>
      <c r="BC23" s="99"/>
      <c r="BD23" s="99">
        <f>CEILING(BD22*0.95,0.5)</f>
        <v>249.5</v>
      </c>
      <c r="BE23" s="99"/>
      <c r="BF23" s="99"/>
      <c r="BG23" s="99"/>
      <c r="BH23" s="99">
        <f>CEILING(BH22*0.95,0.5)</f>
        <v>259</v>
      </c>
      <c r="BI23" s="99"/>
      <c r="BJ23" s="99"/>
      <c r="BK23" s="99"/>
    </row>
    <row r="24" spans="1:63" ht="16.5" customHeight="1">
      <c r="A24" s="184"/>
      <c r="B24" s="184"/>
      <c r="C24" s="184"/>
      <c r="D24" s="184"/>
      <c r="E24" s="184"/>
      <c r="F24" s="165"/>
      <c r="G24" s="165"/>
      <c r="H24" s="165"/>
      <c r="I24" s="156"/>
      <c r="J24" s="156"/>
      <c r="K24" s="156"/>
      <c r="L24" s="156"/>
      <c r="M24" s="156"/>
      <c r="N24" s="100" t="s">
        <v>12</v>
      </c>
      <c r="O24" s="100"/>
      <c r="P24" s="101">
        <f>CEILING(154.5*1.3,0.5)</f>
        <v>201</v>
      </c>
      <c r="Q24" s="101"/>
      <c r="R24" s="101"/>
      <c r="S24" s="101"/>
      <c r="T24" s="99">
        <f>P24+10</f>
        <v>211</v>
      </c>
      <c r="U24" s="99"/>
      <c r="V24" s="99"/>
      <c r="W24" s="99"/>
      <c r="X24" s="99">
        <f>T24+10</f>
        <v>221</v>
      </c>
      <c r="Y24" s="99"/>
      <c r="Z24" s="99"/>
      <c r="AA24" s="99"/>
      <c r="AB24" s="99">
        <f>X24+10</f>
        <v>231</v>
      </c>
      <c r="AC24" s="99"/>
      <c r="AD24" s="99"/>
      <c r="AE24" s="99"/>
      <c r="AG24" s="185"/>
      <c r="AH24" s="185"/>
      <c r="AI24" s="185"/>
      <c r="AJ24" s="185"/>
      <c r="AK24" s="185"/>
      <c r="AL24" s="94"/>
      <c r="AM24" s="94"/>
      <c r="AN24" s="94"/>
      <c r="AO24" s="95"/>
      <c r="AP24" s="95"/>
      <c r="AQ24" s="95"/>
      <c r="AR24" s="95"/>
      <c r="AS24" s="95"/>
      <c r="AT24" s="100" t="s">
        <v>12</v>
      </c>
      <c r="AU24" s="100"/>
      <c r="AV24" s="101">
        <f>CEILING(164*1.3,0.5)</f>
        <v>213.5</v>
      </c>
      <c r="AW24" s="101"/>
      <c r="AX24" s="101"/>
      <c r="AY24" s="101"/>
      <c r="AZ24" s="99">
        <f>AV24+10</f>
        <v>223.5</v>
      </c>
      <c r="BA24" s="99"/>
      <c r="BB24" s="99"/>
      <c r="BC24" s="99"/>
      <c r="BD24" s="99">
        <f>AZ24+10</f>
        <v>233.5</v>
      </c>
      <c r="BE24" s="99"/>
      <c r="BF24" s="99"/>
      <c r="BG24" s="99"/>
      <c r="BH24" s="99">
        <f>BD24+10</f>
        <v>243.5</v>
      </c>
      <c r="BI24" s="99"/>
      <c r="BJ24" s="99"/>
      <c r="BK24" s="99"/>
    </row>
    <row r="25" spans="1:63" ht="16.5" customHeight="1">
      <c r="A25" s="184"/>
      <c r="B25" s="184"/>
      <c r="C25" s="184"/>
      <c r="D25" s="184"/>
      <c r="E25" s="184"/>
      <c r="F25" s="165"/>
      <c r="G25" s="165"/>
      <c r="H25" s="165"/>
      <c r="I25" s="97" t="s">
        <v>19</v>
      </c>
      <c r="J25" s="97"/>
      <c r="K25" s="97"/>
      <c r="L25" s="97"/>
      <c r="M25" s="97"/>
      <c r="N25" s="98" t="s">
        <v>58</v>
      </c>
      <c r="O25" s="98"/>
      <c r="P25" s="96">
        <f>CEILING(P22*0.35+5,0.5)</f>
        <v>84</v>
      </c>
      <c r="Q25" s="96"/>
      <c r="R25" s="96"/>
      <c r="S25" s="96"/>
      <c r="T25" s="96">
        <f>CEILING(T22*0.35+5,0.5)</f>
        <v>87.5</v>
      </c>
      <c r="U25" s="96"/>
      <c r="V25" s="96"/>
      <c r="W25" s="96"/>
      <c r="X25" s="96">
        <f>CEILING(X22*0.35+5,0.5)</f>
        <v>91</v>
      </c>
      <c r="Y25" s="96"/>
      <c r="Z25" s="96"/>
      <c r="AA25" s="96"/>
      <c r="AB25" s="96">
        <f>CEILING(AB22*0.35+5,0.5)</f>
        <v>94.5</v>
      </c>
      <c r="AC25" s="96"/>
      <c r="AD25" s="96"/>
      <c r="AE25" s="96"/>
      <c r="AG25" s="185"/>
      <c r="AH25" s="185"/>
      <c r="AI25" s="185"/>
      <c r="AJ25" s="185"/>
      <c r="AK25" s="185"/>
      <c r="AL25" s="94"/>
      <c r="AM25" s="94"/>
      <c r="AN25" s="94"/>
      <c r="AO25" s="97" t="s">
        <v>20</v>
      </c>
      <c r="AP25" s="97"/>
      <c r="AQ25" s="97"/>
      <c r="AR25" s="97"/>
      <c r="AS25" s="97"/>
      <c r="AT25" s="98" t="s">
        <v>58</v>
      </c>
      <c r="AU25" s="98"/>
      <c r="AV25" s="96">
        <f>CEILING(AV22*0.47+5,0.5)</f>
        <v>119</v>
      </c>
      <c r="AW25" s="96"/>
      <c r="AX25" s="96"/>
      <c r="AY25" s="96"/>
      <c r="AZ25" s="96">
        <f>CEILING(AZ22*0.47+5,0.5)</f>
        <v>124</v>
      </c>
      <c r="BA25" s="96"/>
      <c r="BB25" s="96"/>
      <c r="BC25" s="96"/>
      <c r="BD25" s="96">
        <f>CEILING(BD22*0.47+5,0.5)</f>
        <v>128.5</v>
      </c>
      <c r="BE25" s="96"/>
      <c r="BF25" s="96"/>
      <c r="BG25" s="96"/>
      <c r="BH25" s="96">
        <f>CEILING(BH22*0.47+5,0.5)</f>
        <v>133.5</v>
      </c>
      <c r="BI25" s="96"/>
      <c r="BJ25" s="96"/>
      <c r="BK25" s="96"/>
    </row>
    <row r="26" spans="1:63" ht="16.5" customHeight="1">
      <c r="A26" s="184"/>
      <c r="B26" s="184"/>
      <c r="C26" s="184"/>
      <c r="D26" s="184"/>
      <c r="E26" s="184"/>
      <c r="F26" s="165"/>
      <c r="G26" s="165"/>
      <c r="H26" s="165"/>
      <c r="I26" s="97"/>
      <c r="J26" s="97"/>
      <c r="K26" s="97"/>
      <c r="L26" s="97"/>
      <c r="M26" s="97"/>
      <c r="N26" s="98" t="s">
        <v>11</v>
      </c>
      <c r="O26" s="98"/>
      <c r="P26" s="96">
        <f>CEILING(P25*0.95,0.5)</f>
        <v>80</v>
      </c>
      <c r="Q26" s="96"/>
      <c r="R26" s="96"/>
      <c r="S26" s="96"/>
      <c r="T26" s="96">
        <f>CEILING(T25*0.95,0.5)</f>
        <v>83.5</v>
      </c>
      <c r="U26" s="96"/>
      <c r="V26" s="96"/>
      <c r="W26" s="96"/>
      <c r="X26" s="96">
        <f>CEILING(X25*0.95,0.5)</f>
        <v>86.5</v>
      </c>
      <c r="Y26" s="96"/>
      <c r="Z26" s="96"/>
      <c r="AA26" s="96"/>
      <c r="AB26" s="96">
        <f>CEILING(AB25*0.95,0.5)</f>
        <v>90</v>
      </c>
      <c r="AC26" s="96"/>
      <c r="AD26" s="96"/>
      <c r="AE26" s="96"/>
      <c r="AG26" s="185"/>
      <c r="AH26" s="185"/>
      <c r="AI26" s="185"/>
      <c r="AJ26" s="185"/>
      <c r="AK26" s="185"/>
      <c r="AL26" s="94"/>
      <c r="AM26" s="94"/>
      <c r="AN26" s="94"/>
      <c r="AO26" s="97"/>
      <c r="AP26" s="97"/>
      <c r="AQ26" s="97"/>
      <c r="AR26" s="97"/>
      <c r="AS26" s="97"/>
      <c r="AT26" s="98" t="s">
        <v>11</v>
      </c>
      <c r="AU26" s="98"/>
      <c r="AV26" s="96">
        <f>CEILING(AV25*0.95,0.5)</f>
        <v>113.5</v>
      </c>
      <c r="AW26" s="96"/>
      <c r="AX26" s="96"/>
      <c r="AY26" s="96"/>
      <c r="AZ26" s="96">
        <f>CEILING(AZ25*0.95,0.5)</f>
        <v>118</v>
      </c>
      <c r="BA26" s="96"/>
      <c r="BB26" s="96"/>
      <c r="BC26" s="96"/>
      <c r="BD26" s="96">
        <f>CEILING(BD25*0.95,0.5)</f>
        <v>122.5</v>
      </c>
      <c r="BE26" s="96"/>
      <c r="BF26" s="96"/>
      <c r="BG26" s="96"/>
      <c r="BH26" s="96">
        <f>CEILING(BH25*0.95,0.5)</f>
        <v>127</v>
      </c>
      <c r="BI26" s="96"/>
      <c r="BJ26" s="96"/>
      <c r="BK26" s="96"/>
    </row>
    <row r="27" spans="1:63" ht="16.5" customHeight="1">
      <c r="A27" s="184"/>
      <c r="B27" s="184"/>
      <c r="C27" s="184"/>
      <c r="D27" s="184"/>
      <c r="E27" s="184"/>
      <c r="F27" s="165"/>
      <c r="G27" s="165"/>
      <c r="H27" s="165"/>
      <c r="I27" s="97"/>
      <c r="J27" s="97"/>
      <c r="K27" s="97"/>
      <c r="L27" s="97"/>
      <c r="M27" s="97"/>
      <c r="N27" s="98" t="s">
        <v>12</v>
      </c>
      <c r="O27" s="98"/>
      <c r="P27" s="96">
        <f>CEILING(P24*0.35+5,0.5)</f>
        <v>75.5</v>
      </c>
      <c r="Q27" s="96"/>
      <c r="R27" s="96"/>
      <c r="S27" s="96"/>
      <c r="T27" s="96">
        <f>CEILING(T24*0.35+5,0.5)</f>
        <v>79</v>
      </c>
      <c r="U27" s="96"/>
      <c r="V27" s="96"/>
      <c r="W27" s="96"/>
      <c r="X27" s="96">
        <f>CEILING(X24*0.35+5,0.5)</f>
        <v>82.5</v>
      </c>
      <c r="Y27" s="96"/>
      <c r="Z27" s="96"/>
      <c r="AA27" s="96"/>
      <c r="AB27" s="96">
        <f>CEILING(AB24*0.35+5,0.5)</f>
        <v>86</v>
      </c>
      <c r="AC27" s="96"/>
      <c r="AD27" s="96"/>
      <c r="AE27" s="96"/>
      <c r="AG27" s="185"/>
      <c r="AH27" s="185"/>
      <c r="AI27" s="185"/>
      <c r="AJ27" s="185"/>
      <c r="AK27" s="185"/>
      <c r="AL27" s="94"/>
      <c r="AM27" s="94"/>
      <c r="AN27" s="94"/>
      <c r="AO27" s="97"/>
      <c r="AP27" s="97"/>
      <c r="AQ27" s="97"/>
      <c r="AR27" s="97"/>
      <c r="AS27" s="97"/>
      <c r="AT27" s="98" t="s">
        <v>12</v>
      </c>
      <c r="AU27" s="98"/>
      <c r="AV27" s="96">
        <f>CEILING(AV24*0.47+5,0.5)</f>
        <v>105.5</v>
      </c>
      <c r="AW27" s="96"/>
      <c r="AX27" s="96"/>
      <c r="AY27" s="96"/>
      <c r="AZ27" s="96">
        <f>CEILING(AZ24*0.47+5,0.5)</f>
        <v>110.5</v>
      </c>
      <c r="BA27" s="96"/>
      <c r="BB27" s="96"/>
      <c r="BC27" s="96"/>
      <c r="BD27" s="96">
        <f>CEILING(BD24*0.47+5,0.5)</f>
        <v>115</v>
      </c>
      <c r="BE27" s="96"/>
      <c r="BF27" s="96"/>
      <c r="BG27" s="96"/>
      <c r="BH27" s="96">
        <f>CEILING(BH24*0.47+5,0.5)</f>
        <v>119.5</v>
      </c>
      <c r="BI27" s="96"/>
      <c r="BJ27" s="96"/>
      <c r="BK27" s="96"/>
    </row>
    <row r="28" spans="1:63" ht="16.5" customHeight="1">
      <c r="A28" s="184"/>
      <c r="B28" s="184"/>
      <c r="C28" s="184"/>
      <c r="D28" s="184"/>
      <c r="E28" s="184"/>
      <c r="F28" s="165"/>
      <c r="G28" s="165"/>
      <c r="H28" s="165"/>
      <c r="I28" s="158" t="s">
        <v>21</v>
      </c>
      <c r="J28" s="158"/>
      <c r="K28" s="158"/>
      <c r="L28" s="158"/>
      <c r="M28" s="158"/>
      <c r="N28" s="84" t="s">
        <v>10</v>
      </c>
      <c r="O28" s="84"/>
      <c r="P28" s="83">
        <f>P22-4</f>
        <v>221</v>
      </c>
      <c r="Q28" s="83"/>
      <c r="R28" s="83"/>
      <c r="S28" s="83"/>
      <c r="T28" s="83">
        <f>P28+8</f>
        <v>229</v>
      </c>
      <c r="U28" s="83"/>
      <c r="V28" s="83"/>
      <c r="W28" s="83"/>
      <c r="X28" s="83">
        <f>T28+8</f>
        <v>237</v>
      </c>
      <c r="Y28" s="83"/>
      <c r="Z28" s="83"/>
      <c r="AA28" s="83"/>
      <c r="AB28" s="83">
        <f>X28+8</f>
        <v>245</v>
      </c>
      <c r="AC28" s="83"/>
      <c r="AD28" s="83"/>
      <c r="AE28" s="83"/>
      <c r="AG28" s="185"/>
      <c r="AH28" s="185"/>
      <c r="AI28" s="185"/>
      <c r="AJ28" s="185"/>
      <c r="AK28" s="185"/>
      <c r="AL28" s="94"/>
      <c r="AM28" s="94"/>
      <c r="AN28" s="94"/>
      <c r="AO28" s="82" t="s">
        <v>21</v>
      </c>
      <c r="AP28" s="82"/>
      <c r="AQ28" s="82"/>
      <c r="AR28" s="82"/>
      <c r="AS28" s="82"/>
      <c r="AT28" s="84" t="s">
        <v>10</v>
      </c>
      <c r="AU28" s="84"/>
      <c r="AV28" s="83">
        <f>AV22-4</f>
        <v>238.5</v>
      </c>
      <c r="AW28" s="83"/>
      <c r="AX28" s="83"/>
      <c r="AY28" s="83"/>
      <c r="AZ28" s="83">
        <f>AV28+8</f>
        <v>246.5</v>
      </c>
      <c r="BA28" s="83"/>
      <c r="BB28" s="83"/>
      <c r="BC28" s="83"/>
      <c r="BD28" s="83">
        <f>AZ28+8</f>
        <v>254.5</v>
      </c>
      <c r="BE28" s="83"/>
      <c r="BF28" s="83"/>
      <c r="BG28" s="83"/>
      <c r="BH28" s="83">
        <f>BD28+8</f>
        <v>262.5</v>
      </c>
      <c r="BI28" s="83"/>
      <c r="BJ28" s="83"/>
      <c r="BK28" s="83"/>
    </row>
    <row r="29" spans="1:63" ht="16.5" customHeight="1">
      <c r="A29" s="184"/>
      <c r="B29" s="184"/>
      <c r="C29" s="184"/>
      <c r="D29" s="184"/>
      <c r="E29" s="184"/>
      <c r="F29" s="165"/>
      <c r="G29" s="165"/>
      <c r="H29" s="165"/>
      <c r="I29" s="158"/>
      <c r="J29" s="158"/>
      <c r="K29" s="158"/>
      <c r="L29" s="158"/>
      <c r="M29" s="158"/>
      <c r="N29" s="84" t="s">
        <v>11</v>
      </c>
      <c r="O29" s="84"/>
      <c r="P29" s="83">
        <f>CEILING(P28*0.95,0.5)</f>
        <v>210</v>
      </c>
      <c r="Q29" s="83"/>
      <c r="R29" s="83"/>
      <c r="S29" s="83"/>
      <c r="T29" s="83">
        <f>CEILING(T28*0.95,0.5)</f>
        <v>218</v>
      </c>
      <c r="U29" s="83"/>
      <c r="V29" s="83"/>
      <c r="W29" s="83"/>
      <c r="X29" s="83">
        <f>CEILING(X28*0.95,0.5)</f>
        <v>225.5</v>
      </c>
      <c r="Y29" s="83"/>
      <c r="Z29" s="83"/>
      <c r="AA29" s="83"/>
      <c r="AB29" s="83">
        <f>CEILING(AB28*0.95,0.5)</f>
        <v>233</v>
      </c>
      <c r="AC29" s="83"/>
      <c r="AD29" s="83"/>
      <c r="AE29" s="83"/>
      <c r="AG29" s="185"/>
      <c r="AH29" s="185"/>
      <c r="AI29" s="185"/>
      <c r="AJ29" s="185"/>
      <c r="AK29" s="185"/>
      <c r="AL29" s="94"/>
      <c r="AM29" s="94"/>
      <c r="AN29" s="94"/>
      <c r="AO29" s="82"/>
      <c r="AP29" s="82"/>
      <c r="AQ29" s="82"/>
      <c r="AR29" s="82"/>
      <c r="AS29" s="82"/>
      <c r="AT29" s="84" t="s">
        <v>11</v>
      </c>
      <c r="AU29" s="84"/>
      <c r="AV29" s="83">
        <f>CEILING(AV28*0.95,0.5)</f>
        <v>227</v>
      </c>
      <c r="AW29" s="83"/>
      <c r="AX29" s="83"/>
      <c r="AY29" s="83"/>
      <c r="AZ29" s="83">
        <f>CEILING(AZ28*0.95,0.5)</f>
        <v>234.5</v>
      </c>
      <c r="BA29" s="83"/>
      <c r="BB29" s="83"/>
      <c r="BC29" s="83"/>
      <c r="BD29" s="83">
        <f>CEILING(BD28*0.95,0.5)</f>
        <v>242</v>
      </c>
      <c r="BE29" s="83"/>
      <c r="BF29" s="83"/>
      <c r="BG29" s="83"/>
      <c r="BH29" s="83">
        <f>CEILING(BH28*0.95,0.5)</f>
        <v>249.5</v>
      </c>
      <c r="BI29" s="83"/>
      <c r="BJ29" s="83"/>
      <c r="BK29" s="83"/>
    </row>
    <row r="30" spans="1:63" ht="16.5" customHeight="1">
      <c r="A30" s="184"/>
      <c r="B30" s="184"/>
      <c r="C30" s="184"/>
      <c r="D30" s="184"/>
      <c r="E30" s="184"/>
      <c r="F30" s="165"/>
      <c r="G30" s="165"/>
      <c r="H30" s="165"/>
      <c r="I30" s="158"/>
      <c r="J30" s="158"/>
      <c r="K30" s="158"/>
      <c r="L30" s="158"/>
      <c r="M30" s="158"/>
      <c r="N30" s="84" t="s">
        <v>12</v>
      </c>
      <c r="O30" s="84"/>
      <c r="P30" s="83">
        <f>P24-4</f>
        <v>197</v>
      </c>
      <c r="Q30" s="83"/>
      <c r="R30" s="83"/>
      <c r="S30" s="83"/>
      <c r="T30" s="83">
        <f>P30+8</f>
        <v>205</v>
      </c>
      <c r="U30" s="83"/>
      <c r="V30" s="83"/>
      <c r="W30" s="83"/>
      <c r="X30" s="83">
        <f>T30+8</f>
        <v>213</v>
      </c>
      <c r="Y30" s="83"/>
      <c r="Z30" s="83"/>
      <c r="AA30" s="83"/>
      <c r="AB30" s="83">
        <f>X30+8</f>
        <v>221</v>
      </c>
      <c r="AC30" s="83"/>
      <c r="AD30" s="83"/>
      <c r="AE30" s="83"/>
      <c r="AG30" s="185"/>
      <c r="AH30" s="185"/>
      <c r="AI30" s="185"/>
      <c r="AJ30" s="185"/>
      <c r="AK30" s="185"/>
      <c r="AL30" s="94"/>
      <c r="AM30" s="94"/>
      <c r="AN30" s="94"/>
      <c r="AO30" s="82"/>
      <c r="AP30" s="82"/>
      <c r="AQ30" s="82"/>
      <c r="AR30" s="82"/>
      <c r="AS30" s="82"/>
      <c r="AT30" s="84" t="s">
        <v>12</v>
      </c>
      <c r="AU30" s="84"/>
      <c r="AV30" s="83">
        <f>AV24-4</f>
        <v>209.5</v>
      </c>
      <c r="AW30" s="83"/>
      <c r="AX30" s="83"/>
      <c r="AY30" s="83"/>
      <c r="AZ30" s="83">
        <f>AV30+8</f>
        <v>217.5</v>
      </c>
      <c r="BA30" s="83"/>
      <c r="BB30" s="83"/>
      <c r="BC30" s="83"/>
      <c r="BD30" s="83">
        <f>AZ30+8</f>
        <v>225.5</v>
      </c>
      <c r="BE30" s="83"/>
      <c r="BF30" s="83"/>
      <c r="BG30" s="83"/>
      <c r="BH30" s="83">
        <f>BD30+8</f>
        <v>233.5</v>
      </c>
      <c r="BI30" s="83"/>
      <c r="BJ30" s="83"/>
      <c r="BK30" s="83"/>
    </row>
    <row r="31" spans="1:63" ht="16.5" customHeight="1">
      <c r="A31" s="184"/>
      <c r="B31" s="184"/>
      <c r="C31" s="184"/>
      <c r="D31" s="184"/>
      <c r="E31" s="184"/>
      <c r="F31" s="165"/>
      <c r="G31" s="165"/>
      <c r="H31" s="165"/>
      <c r="I31" s="80" t="s">
        <v>22</v>
      </c>
      <c r="J31" s="80"/>
      <c r="K31" s="80"/>
      <c r="L31" s="80"/>
      <c r="M31" s="80"/>
      <c r="N31" s="81" t="s">
        <v>58</v>
      </c>
      <c r="O31" s="81"/>
      <c r="P31" s="89">
        <f>CEILING(P28*0.35+5,0.5)</f>
        <v>82.5</v>
      </c>
      <c r="Q31" s="89"/>
      <c r="R31" s="89"/>
      <c r="S31" s="89"/>
      <c r="T31" s="89">
        <f>CEILING(T28*0.35+5,0.5)</f>
        <v>85.5</v>
      </c>
      <c r="U31" s="89"/>
      <c r="V31" s="89"/>
      <c r="W31" s="89"/>
      <c r="X31" s="89">
        <f>CEILING(X28*0.35+5,0.5)</f>
        <v>88</v>
      </c>
      <c r="Y31" s="89"/>
      <c r="Z31" s="89"/>
      <c r="AA31" s="89"/>
      <c r="AB31" s="89">
        <f>CEILING(AB28*0.35+5,0.5)</f>
        <v>91</v>
      </c>
      <c r="AC31" s="89"/>
      <c r="AD31" s="89"/>
      <c r="AE31" s="89"/>
      <c r="AG31" s="185"/>
      <c r="AH31" s="185"/>
      <c r="AI31" s="185"/>
      <c r="AJ31" s="185"/>
      <c r="AK31" s="185"/>
      <c r="AL31" s="94"/>
      <c r="AM31" s="94"/>
      <c r="AN31" s="94"/>
      <c r="AO31" s="80" t="s">
        <v>23</v>
      </c>
      <c r="AP31" s="80"/>
      <c r="AQ31" s="80"/>
      <c r="AR31" s="80"/>
      <c r="AS31" s="80"/>
      <c r="AT31" s="81" t="s">
        <v>58</v>
      </c>
      <c r="AU31" s="81"/>
      <c r="AV31" s="89">
        <f>CEILING(AV28*0.47+5,0.5)</f>
        <v>117.5</v>
      </c>
      <c r="AW31" s="89"/>
      <c r="AX31" s="89"/>
      <c r="AY31" s="89"/>
      <c r="AZ31" s="89">
        <f>CEILING(AZ28*0.47+5,0.5)</f>
        <v>121</v>
      </c>
      <c r="BA31" s="89"/>
      <c r="BB31" s="89"/>
      <c r="BC31" s="89"/>
      <c r="BD31" s="89">
        <f>CEILING(BD28*0.47+5,0.5)</f>
        <v>125</v>
      </c>
      <c r="BE31" s="89"/>
      <c r="BF31" s="89"/>
      <c r="BG31" s="89"/>
      <c r="BH31" s="89">
        <f>CEILING(BH28*0.47+5,0.5)</f>
        <v>128.5</v>
      </c>
      <c r="BI31" s="89"/>
      <c r="BJ31" s="89"/>
      <c r="BK31" s="89"/>
    </row>
    <row r="32" spans="1:63" ht="16.5" customHeight="1">
      <c r="A32" s="184"/>
      <c r="B32" s="184"/>
      <c r="C32" s="184"/>
      <c r="D32" s="184"/>
      <c r="E32" s="184"/>
      <c r="F32" s="165"/>
      <c r="G32" s="165"/>
      <c r="H32" s="165"/>
      <c r="I32" s="80"/>
      <c r="J32" s="80"/>
      <c r="K32" s="80"/>
      <c r="L32" s="80"/>
      <c r="M32" s="80"/>
      <c r="N32" s="81" t="s">
        <v>11</v>
      </c>
      <c r="O32" s="81"/>
      <c r="P32" s="89">
        <f>CEILING(P31*0.95,0.5)</f>
        <v>78.5</v>
      </c>
      <c r="Q32" s="89"/>
      <c r="R32" s="89"/>
      <c r="S32" s="89"/>
      <c r="T32" s="89">
        <f>CEILING(T31*0.95,0.5)</f>
        <v>81.5</v>
      </c>
      <c r="U32" s="89"/>
      <c r="V32" s="89"/>
      <c r="W32" s="89"/>
      <c r="X32" s="89">
        <f>CEILING(X31*0.95,0.5)</f>
        <v>84</v>
      </c>
      <c r="Y32" s="89"/>
      <c r="Z32" s="89"/>
      <c r="AA32" s="89"/>
      <c r="AB32" s="89">
        <f>CEILING(AB31*0.95,0.5)</f>
        <v>86.5</v>
      </c>
      <c r="AC32" s="89"/>
      <c r="AD32" s="89"/>
      <c r="AE32" s="89"/>
      <c r="AG32" s="185"/>
      <c r="AH32" s="185"/>
      <c r="AI32" s="185"/>
      <c r="AJ32" s="185"/>
      <c r="AK32" s="185"/>
      <c r="AL32" s="94"/>
      <c r="AM32" s="94"/>
      <c r="AN32" s="94"/>
      <c r="AO32" s="80"/>
      <c r="AP32" s="80"/>
      <c r="AQ32" s="80"/>
      <c r="AR32" s="80"/>
      <c r="AS32" s="80"/>
      <c r="AT32" s="81" t="s">
        <v>11</v>
      </c>
      <c r="AU32" s="81"/>
      <c r="AV32" s="89">
        <f>CEILING(AV31*0.95,0.5)</f>
        <v>112</v>
      </c>
      <c r="AW32" s="89"/>
      <c r="AX32" s="89"/>
      <c r="AY32" s="89"/>
      <c r="AZ32" s="89">
        <f>CEILING(AZ31*0.95,0.5)</f>
        <v>115</v>
      </c>
      <c r="BA32" s="89"/>
      <c r="BB32" s="89"/>
      <c r="BC32" s="89"/>
      <c r="BD32" s="89">
        <f>CEILING(BD31*0.95,0.5)</f>
        <v>119</v>
      </c>
      <c r="BE32" s="89"/>
      <c r="BF32" s="89"/>
      <c r="BG32" s="89"/>
      <c r="BH32" s="89">
        <f>CEILING(BH31*0.95,0.5)</f>
        <v>122.5</v>
      </c>
      <c r="BI32" s="89"/>
      <c r="BJ32" s="89"/>
      <c r="BK32" s="89"/>
    </row>
    <row r="33" spans="1:63" ht="16.5" customHeight="1">
      <c r="A33" s="184"/>
      <c r="B33" s="184"/>
      <c r="C33" s="184"/>
      <c r="D33" s="184"/>
      <c r="E33" s="184"/>
      <c r="F33" s="167"/>
      <c r="G33" s="167"/>
      <c r="H33" s="167"/>
      <c r="I33" s="80"/>
      <c r="J33" s="80"/>
      <c r="K33" s="80"/>
      <c r="L33" s="80"/>
      <c r="M33" s="80"/>
      <c r="N33" s="81" t="s">
        <v>12</v>
      </c>
      <c r="O33" s="81"/>
      <c r="P33" s="89">
        <f>CEILING(P30*0.35+5,0.5)</f>
        <v>74</v>
      </c>
      <c r="Q33" s="89"/>
      <c r="R33" s="89"/>
      <c r="S33" s="89"/>
      <c r="T33" s="89">
        <f>CEILING(T30*0.35+5,0.5)</f>
        <v>77</v>
      </c>
      <c r="U33" s="89"/>
      <c r="V33" s="89"/>
      <c r="W33" s="89"/>
      <c r="X33" s="89">
        <f>CEILING(X30*0.35+5,0.5)</f>
        <v>80</v>
      </c>
      <c r="Y33" s="89"/>
      <c r="Z33" s="89"/>
      <c r="AA33" s="89"/>
      <c r="AB33" s="89">
        <f>CEILING(AB30*0.35+5,0.5)</f>
        <v>82.5</v>
      </c>
      <c r="AC33" s="89"/>
      <c r="AD33" s="89"/>
      <c r="AE33" s="89"/>
      <c r="AG33" s="185"/>
      <c r="AH33" s="185"/>
      <c r="AI33" s="185"/>
      <c r="AJ33" s="185"/>
      <c r="AK33" s="185"/>
      <c r="AL33" s="94"/>
      <c r="AM33" s="94"/>
      <c r="AN33" s="94"/>
      <c r="AO33" s="80"/>
      <c r="AP33" s="80"/>
      <c r="AQ33" s="80"/>
      <c r="AR33" s="80"/>
      <c r="AS33" s="80"/>
      <c r="AT33" s="81" t="s">
        <v>12</v>
      </c>
      <c r="AU33" s="81"/>
      <c r="AV33" s="89">
        <f>CEILING(AV30*0.47+5,0.5)</f>
        <v>103.5</v>
      </c>
      <c r="AW33" s="89"/>
      <c r="AX33" s="89"/>
      <c r="AY33" s="89"/>
      <c r="AZ33" s="89">
        <f>CEILING(AZ30*0.47+5,0.5)</f>
        <v>107.5</v>
      </c>
      <c r="BA33" s="89"/>
      <c r="BB33" s="89"/>
      <c r="BC33" s="89"/>
      <c r="BD33" s="89">
        <f>CEILING(BD30*0.47+5,0.5)</f>
        <v>111</v>
      </c>
      <c r="BE33" s="89"/>
      <c r="BF33" s="89"/>
      <c r="BG33" s="89"/>
      <c r="BH33" s="89">
        <f>CEILING(BH30*0.47+5,0.5)</f>
        <v>115</v>
      </c>
      <c r="BI33" s="89"/>
      <c r="BJ33" s="89"/>
      <c r="BK33" s="89"/>
    </row>
    <row r="34" spans="1:63" ht="16.5" customHeight="1" thickBot="1">
      <c r="A34" s="9" t="s">
        <v>60</v>
      </c>
      <c r="E34" s="44"/>
      <c r="F34" s="27"/>
      <c r="G34" s="27"/>
      <c r="H34" s="27"/>
      <c r="I34" s="28"/>
      <c r="J34" s="28"/>
      <c r="K34" s="28"/>
      <c r="L34" s="28"/>
      <c r="M34" s="28"/>
      <c r="N34" s="22"/>
      <c r="O34" s="22"/>
      <c r="P34" s="29"/>
      <c r="Q34" s="29"/>
      <c r="R34" s="29"/>
      <c r="S34" s="29"/>
      <c r="T34" s="29"/>
      <c r="U34" s="29"/>
      <c r="V34" s="29"/>
      <c r="W34" s="29"/>
      <c r="X34" s="29"/>
      <c r="Y34" s="29"/>
      <c r="Z34" s="29"/>
      <c r="AA34" s="29"/>
      <c r="AB34" s="75"/>
      <c r="AC34" s="75"/>
      <c r="AD34" s="75"/>
      <c r="AE34" s="75"/>
      <c r="AG34" s="40"/>
      <c r="AH34" s="40"/>
      <c r="AI34" s="40"/>
      <c r="AJ34" s="40"/>
      <c r="AK34" s="40"/>
      <c r="AL34" s="27"/>
      <c r="AM34" s="27"/>
      <c r="AN34" s="27"/>
      <c r="AO34" s="77"/>
      <c r="AP34" s="77"/>
      <c r="AQ34" s="77"/>
      <c r="AR34" s="77"/>
      <c r="AS34" s="77"/>
      <c r="AT34" s="78"/>
      <c r="AU34" s="78"/>
      <c r="AV34" s="75"/>
      <c r="AW34" s="75"/>
      <c r="AX34" s="75"/>
      <c r="AY34" s="75"/>
      <c r="AZ34" s="75"/>
      <c r="BA34" s="75"/>
      <c r="BB34" s="75"/>
      <c r="BC34" s="75"/>
      <c r="BD34" s="75"/>
      <c r="BE34" s="75"/>
      <c r="BF34" s="75"/>
      <c r="BG34" s="75"/>
      <c r="BH34" s="75"/>
      <c r="BI34" s="75"/>
      <c r="BJ34" s="75"/>
      <c r="BK34" s="75"/>
    </row>
    <row r="35" spans="1:63" ht="16.5" customHeight="1" thickTop="1">
      <c r="A35" s="9" t="s">
        <v>81</v>
      </c>
      <c r="E35" s="44"/>
      <c r="F35" s="27"/>
      <c r="G35" s="27"/>
      <c r="H35" s="27"/>
      <c r="I35" s="28"/>
      <c r="J35" s="28"/>
      <c r="K35" s="28"/>
      <c r="L35" s="28"/>
      <c r="M35" s="28"/>
      <c r="N35" s="22"/>
      <c r="O35" s="22"/>
      <c r="P35" s="29"/>
      <c r="Q35" s="29"/>
      <c r="R35" s="29"/>
      <c r="S35" s="29"/>
      <c r="T35" s="29"/>
      <c r="U35" s="29"/>
      <c r="V35" s="29"/>
      <c r="W35" s="29"/>
      <c r="X35" s="29"/>
      <c r="Y35" s="29"/>
      <c r="Z35" s="29"/>
      <c r="AA35" s="29"/>
      <c r="AB35" s="75"/>
      <c r="AC35" s="75"/>
      <c r="AD35" s="75"/>
      <c r="AE35" s="75"/>
      <c r="AG35" s="40"/>
      <c r="AH35" s="40"/>
      <c r="AI35" s="40"/>
      <c r="AJ35" s="40"/>
      <c r="AK35" s="40"/>
      <c r="AL35" s="27"/>
      <c r="AM35" s="27"/>
      <c r="AN35" s="27"/>
      <c r="AO35" s="77"/>
      <c r="AP35" s="90" t="s">
        <v>27</v>
      </c>
      <c r="AQ35" s="91"/>
      <c r="AR35" s="91"/>
      <c r="AS35" s="91"/>
      <c r="AT35" s="91"/>
      <c r="AU35" s="91"/>
      <c r="AV35" s="91"/>
      <c r="AW35" s="91"/>
      <c r="AX35" s="91"/>
      <c r="AY35" s="91"/>
      <c r="AZ35" s="91"/>
      <c r="BA35" s="91"/>
      <c r="BB35" s="91"/>
      <c r="BC35" s="91"/>
      <c r="BD35" s="91"/>
      <c r="BE35" s="91"/>
      <c r="BF35" s="91"/>
      <c r="BG35" s="91"/>
      <c r="BH35" s="91"/>
      <c r="BI35" s="92"/>
      <c r="BJ35" s="75"/>
      <c r="BK35" s="75"/>
    </row>
    <row r="36" spans="1:63" ht="16.5" customHeight="1">
      <c r="B36" s="45" t="s">
        <v>82</v>
      </c>
      <c r="E36" s="44"/>
      <c r="F36" s="27"/>
      <c r="G36" s="27"/>
      <c r="H36" s="27"/>
      <c r="I36" s="28"/>
      <c r="J36" s="28"/>
      <c r="K36" s="28"/>
      <c r="L36" s="28"/>
      <c r="M36" s="28"/>
      <c r="N36" s="22"/>
      <c r="O36" s="22"/>
      <c r="P36" s="29"/>
      <c r="Q36" s="29"/>
      <c r="R36" s="29"/>
      <c r="S36" s="29"/>
      <c r="T36" s="29"/>
      <c r="U36" s="29"/>
      <c r="V36" s="29"/>
      <c r="W36" s="29"/>
      <c r="X36" s="29"/>
      <c r="Y36" s="29"/>
      <c r="Z36" s="29"/>
      <c r="AA36" s="29"/>
      <c r="AB36" s="75"/>
      <c r="AC36" s="75"/>
      <c r="AD36" s="75"/>
      <c r="AE36" s="75"/>
      <c r="AG36" s="40"/>
      <c r="AH36" s="40"/>
      <c r="AI36" s="40"/>
      <c r="AJ36" s="40"/>
      <c r="AK36" s="40"/>
      <c r="AL36" s="27"/>
      <c r="AM36" s="27"/>
      <c r="AN36" s="27"/>
      <c r="AO36" s="77"/>
      <c r="AP36" s="186" t="s">
        <v>28</v>
      </c>
      <c r="AQ36" s="187"/>
      <c r="AR36" s="187"/>
      <c r="AS36" s="187"/>
      <c r="AT36" s="187"/>
      <c r="AU36" s="187"/>
      <c r="AV36" s="187"/>
      <c r="AW36" s="188"/>
      <c r="AX36" s="187" t="s">
        <v>29</v>
      </c>
      <c r="AY36" s="187"/>
      <c r="AZ36" s="187"/>
      <c r="BA36" s="187"/>
      <c r="BB36" s="187"/>
      <c r="BC36" s="187"/>
      <c r="BD36" s="187"/>
      <c r="BE36" s="187"/>
      <c r="BF36" s="187"/>
      <c r="BG36" s="187"/>
      <c r="BH36" s="187"/>
      <c r="BI36" s="189"/>
      <c r="BJ36" s="75"/>
      <c r="BK36" s="75"/>
    </row>
    <row r="37" spans="1:63" ht="16.5" customHeight="1" thickBot="1">
      <c r="A37" s="9" t="s">
        <v>26</v>
      </c>
      <c r="B37" s="15"/>
      <c r="E37" s="44"/>
      <c r="F37" s="27"/>
      <c r="G37" s="27"/>
      <c r="H37" s="27"/>
      <c r="I37" s="28"/>
      <c r="J37" s="28"/>
      <c r="K37" s="28"/>
      <c r="L37" s="28"/>
      <c r="M37" s="28"/>
      <c r="N37" s="22"/>
      <c r="O37" s="22"/>
      <c r="P37" s="29"/>
      <c r="Q37" s="29"/>
      <c r="R37" s="29"/>
      <c r="S37" s="29"/>
      <c r="T37" s="29"/>
      <c r="U37" s="29"/>
      <c r="V37" s="29"/>
      <c r="W37" s="29"/>
      <c r="X37" s="29"/>
      <c r="Y37" s="29"/>
      <c r="Z37" s="29"/>
      <c r="AA37" s="29"/>
      <c r="AB37" s="75"/>
      <c r="AC37" s="75"/>
      <c r="AD37" s="75"/>
      <c r="AE37" s="75"/>
      <c r="AG37" s="40"/>
      <c r="AH37" s="40"/>
      <c r="AI37" s="40"/>
      <c r="AJ37" s="40"/>
      <c r="AK37" s="40"/>
      <c r="AL37" s="27"/>
      <c r="AM37" s="27"/>
      <c r="AN37" s="27"/>
      <c r="AO37" s="77"/>
      <c r="AP37" s="85" t="s">
        <v>30</v>
      </c>
      <c r="AQ37" s="86"/>
      <c r="AR37" s="86"/>
      <c r="AS37" s="86"/>
      <c r="AT37" s="86"/>
      <c r="AU37" s="86"/>
      <c r="AV37" s="86"/>
      <c r="AW37" s="87"/>
      <c r="AX37" s="86" t="s">
        <v>31</v>
      </c>
      <c r="AY37" s="86"/>
      <c r="AZ37" s="86"/>
      <c r="BA37" s="86"/>
      <c r="BB37" s="86"/>
      <c r="BC37" s="86"/>
      <c r="BD37" s="86"/>
      <c r="BE37" s="86"/>
      <c r="BF37" s="86"/>
      <c r="BG37" s="86"/>
      <c r="BH37" s="86"/>
      <c r="BI37" s="88"/>
      <c r="BJ37" s="75"/>
      <c r="BK37" s="75"/>
    </row>
    <row r="38" spans="1:63" ht="16.5" customHeight="1" thickTop="1">
      <c r="A38" s="39"/>
      <c r="B38" s="39"/>
      <c r="C38" s="39"/>
      <c r="D38" s="39"/>
      <c r="E38" s="39"/>
      <c r="F38" s="27"/>
      <c r="G38" s="27"/>
      <c r="H38" s="27"/>
      <c r="I38" s="77"/>
      <c r="J38" s="77"/>
      <c r="K38" s="77"/>
      <c r="L38" s="77"/>
      <c r="M38" s="77"/>
      <c r="N38" s="78"/>
      <c r="O38" s="78"/>
      <c r="P38" s="75"/>
      <c r="Q38" s="75"/>
      <c r="R38" s="75"/>
      <c r="S38" s="75"/>
      <c r="T38" s="75"/>
      <c r="U38" s="75"/>
      <c r="V38" s="75"/>
      <c r="W38" s="75"/>
      <c r="X38" s="75"/>
      <c r="Y38" s="75"/>
      <c r="Z38" s="75"/>
      <c r="AA38" s="75"/>
      <c r="AB38" s="75"/>
      <c r="AC38" s="75"/>
      <c r="AD38" s="75"/>
      <c r="AE38" s="75"/>
      <c r="AG38" s="40"/>
      <c r="AH38" s="40"/>
      <c r="AI38" s="40"/>
      <c r="AJ38" s="40"/>
      <c r="AK38" s="40"/>
      <c r="AL38" s="27"/>
      <c r="AM38" s="27"/>
      <c r="AN38" s="27"/>
      <c r="AO38" s="77"/>
      <c r="AP38" s="77"/>
      <c r="AQ38" s="77"/>
      <c r="AR38" s="77"/>
      <c r="AS38" s="77"/>
      <c r="AT38" s="78"/>
      <c r="AU38" s="78"/>
      <c r="AV38" s="75"/>
      <c r="AW38" s="75"/>
      <c r="AX38" s="75"/>
      <c r="AY38" s="75"/>
      <c r="AZ38" s="75"/>
      <c r="BA38" s="75"/>
      <c r="BB38" s="75"/>
      <c r="BC38" s="75"/>
      <c r="BD38" s="75"/>
      <c r="BE38" s="75"/>
      <c r="BF38" s="75"/>
      <c r="BG38" s="75"/>
      <c r="BH38" s="75"/>
      <c r="BI38" s="75"/>
      <c r="BJ38" s="75"/>
      <c r="BK38" s="75"/>
    </row>
    <row r="39" spans="1:63" ht="16.5" customHeight="1">
      <c r="A39" s="39"/>
      <c r="B39" s="39"/>
      <c r="C39" s="39"/>
      <c r="D39" s="39"/>
      <c r="E39" s="39"/>
      <c r="F39" s="27"/>
      <c r="G39" s="27"/>
      <c r="H39" s="27"/>
      <c r="I39" s="77"/>
      <c r="J39" s="77"/>
      <c r="K39" s="77"/>
      <c r="L39" s="77"/>
      <c r="M39" s="77"/>
      <c r="N39" s="78"/>
      <c r="O39" s="78"/>
      <c r="P39" s="75"/>
      <c r="Q39" s="75"/>
      <c r="R39" s="75"/>
      <c r="S39" s="75"/>
      <c r="T39" s="75"/>
      <c r="U39" s="75"/>
      <c r="V39" s="75"/>
      <c r="W39" s="75"/>
      <c r="X39" s="75"/>
      <c r="Y39" s="75"/>
      <c r="Z39" s="75"/>
      <c r="AA39" s="75"/>
      <c r="AB39" s="75"/>
      <c r="AC39" s="75"/>
      <c r="AD39" s="75"/>
      <c r="AE39" s="75"/>
      <c r="AG39" s="40"/>
      <c r="AH39" s="40"/>
      <c r="AI39" s="40"/>
      <c r="AJ39" s="40"/>
      <c r="AK39" s="40"/>
      <c r="AL39" s="27"/>
      <c r="AM39" s="27"/>
      <c r="AN39" s="27"/>
      <c r="AO39" s="77"/>
      <c r="AP39" s="77"/>
      <c r="AQ39" s="77"/>
      <c r="AR39" s="77"/>
      <c r="AS39" s="77"/>
      <c r="AT39" s="78"/>
      <c r="AU39" s="78"/>
      <c r="AV39" s="75"/>
      <c r="AW39" s="75"/>
      <c r="AX39" s="75"/>
      <c r="AY39" s="75"/>
      <c r="AZ39" s="75"/>
      <c r="BA39" s="75"/>
      <c r="BB39" s="75"/>
      <c r="BC39" s="75"/>
      <c r="BD39" s="75"/>
      <c r="BE39" s="75"/>
      <c r="BF39" s="75"/>
      <c r="BG39" s="75"/>
      <c r="BH39" s="75"/>
      <c r="BI39" s="75"/>
      <c r="BJ39" s="75"/>
      <c r="BK39" s="75"/>
    </row>
    <row r="40" spans="1:63" ht="16.5" customHeight="1">
      <c r="A40" s="39"/>
      <c r="B40" s="39"/>
      <c r="C40" s="39"/>
      <c r="D40" s="39"/>
      <c r="E40" s="39"/>
      <c r="F40" s="27"/>
      <c r="G40" s="27"/>
      <c r="H40" s="27"/>
      <c r="I40" s="77"/>
      <c r="J40" s="77"/>
      <c r="K40" s="77"/>
      <c r="L40" s="77"/>
      <c r="M40" s="77"/>
      <c r="N40" s="78"/>
      <c r="O40" s="78"/>
      <c r="P40" s="75"/>
      <c r="Q40" s="75"/>
      <c r="R40" s="75"/>
      <c r="S40" s="75"/>
      <c r="T40" s="75"/>
      <c r="U40" s="75"/>
      <c r="V40" s="75"/>
      <c r="W40" s="75"/>
      <c r="X40" s="75"/>
      <c r="Y40" s="75"/>
      <c r="Z40" s="75"/>
      <c r="AA40" s="75"/>
      <c r="AB40" s="75"/>
      <c r="AC40" s="75"/>
      <c r="AD40" s="75"/>
      <c r="AE40" s="75"/>
      <c r="AG40" s="40"/>
      <c r="AH40" s="40"/>
      <c r="AI40" s="40"/>
      <c r="AJ40" s="40"/>
      <c r="AK40" s="40"/>
      <c r="AL40" s="27"/>
      <c r="AM40" s="27"/>
      <c r="AN40" s="27"/>
      <c r="AO40" s="77"/>
      <c r="AP40" s="77"/>
      <c r="AQ40" s="77"/>
      <c r="AR40" s="77"/>
      <c r="AS40" s="77"/>
      <c r="AT40" s="78"/>
      <c r="AU40" s="78"/>
      <c r="AV40" s="75"/>
      <c r="AW40" s="75"/>
      <c r="AX40" s="75"/>
      <c r="AY40" s="75"/>
      <c r="AZ40" s="75"/>
      <c r="BA40" s="75"/>
      <c r="BB40" s="75"/>
      <c r="BC40" s="75"/>
      <c r="BD40" s="75"/>
      <c r="BE40" s="75"/>
      <c r="BF40" s="75"/>
      <c r="BG40" s="75"/>
      <c r="BH40" s="75"/>
      <c r="BI40" s="75"/>
      <c r="BJ40" s="75"/>
      <c r="BK40" s="75"/>
    </row>
    <row r="41" spans="1:63" ht="16.5" customHeight="1">
      <c r="A41" s="39"/>
      <c r="B41" s="39"/>
      <c r="C41" s="39"/>
      <c r="D41" s="39"/>
      <c r="E41" s="39"/>
      <c r="F41" s="27"/>
      <c r="G41" s="27"/>
      <c r="H41" s="27"/>
      <c r="I41" s="77"/>
      <c r="J41" s="77"/>
      <c r="K41" s="77"/>
      <c r="L41" s="77"/>
      <c r="M41" s="77"/>
      <c r="N41" s="78"/>
      <c r="O41" s="78"/>
      <c r="P41" s="75"/>
      <c r="Q41" s="75"/>
      <c r="R41" s="75"/>
      <c r="S41" s="75"/>
      <c r="T41" s="75"/>
      <c r="U41" s="75"/>
      <c r="V41" s="75"/>
      <c r="W41" s="75"/>
      <c r="X41" s="75"/>
      <c r="Y41" s="75"/>
      <c r="Z41" s="75"/>
      <c r="AA41" s="75"/>
      <c r="AB41" s="75"/>
      <c r="AC41" s="75"/>
      <c r="AD41" s="75"/>
      <c r="AE41" s="75"/>
      <c r="AG41" s="40"/>
      <c r="AH41" s="40"/>
      <c r="AI41" s="40"/>
      <c r="AJ41" s="40"/>
      <c r="AK41" s="40"/>
      <c r="AL41" s="27"/>
      <c r="AM41" s="27"/>
      <c r="AN41" s="27"/>
      <c r="AO41" s="77"/>
      <c r="AP41" s="77"/>
      <c r="AQ41" s="77"/>
      <c r="AR41" s="77"/>
      <c r="AS41" s="77"/>
      <c r="AT41" s="78"/>
      <c r="AU41" s="78"/>
      <c r="AV41" s="75"/>
      <c r="AW41" s="75"/>
      <c r="AX41" s="75"/>
      <c r="AY41" s="75"/>
      <c r="AZ41" s="75"/>
      <c r="BA41" s="75"/>
      <c r="BB41" s="75"/>
      <c r="BC41" s="75"/>
      <c r="BD41" s="75"/>
      <c r="BE41" s="75"/>
      <c r="BF41" s="75"/>
      <c r="BG41" s="75"/>
      <c r="BH41" s="75"/>
      <c r="BI41" s="75"/>
      <c r="BJ41" s="75"/>
      <c r="BK41" s="75"/>
    </row>
    <row r="42" spans="1:63" ht="16.5" customHeight="1">
      <c r="A42" s="39"/>
      <c r="B42" s="39"/>
      <c r="C42" s="39"/>
      <c r="D42" s="39"/>
      <c r="E42" s="39"/>
      <c r="F42" s="27"/>
      <c r="G42" s="27"/>
      <c r="H42" s="27"/>
      <c r="I42" s="77"/>
      <c r="J42" s="77"/>
      <c r="K42" s="77"/>
      <c r="L42" s="77"/>
      <c r="M42" s="77"/>
      <c r="N42" s="78"/>
      <c r="O42" s="78"/>
      <c r="P42" s="75"/>
      <c r="Q42" s="75"/>
      <c r="R42" s="75"/>
      <c r="S42" s="75"/>
      <c r="T42" s="75"/>
      <c r="U42" s="75"/>
      <c r="V42" s="75"/>
      <c r="W42" s="75"/>
      <c r="X42" s="75"/>
      <c r="Y42" s="75"/>
      <c r="Z42" s="75"/>
      <c r="AA42" s="75"/>
      <c r="AB42" s="75"/>
      <c r="AC42" s="75"/>
      <c r="AD42" s="75"/>
      <c r="AE42" s="75"/>
      <c r="AG42" s="40"/>
      <c r="AH42" s="40"/>
      <c r="AI42" s="40"/>
      <c r="AJ42" s="40"/>
      <c r="AK42" s="40"/>
      <c r="AL42" s="27"/>
      <c r="AM42" s="27"/>
      <c r="AN42" s="27"/>
      <c r="AO42" s="77"/>
      <c r="AP42" s="77"/>
      <c r="AQ42" s="77"/>
      <c r="AR42" s="77"/>
      <c r="AS42" s="77"/>
      <c r="AT42" s="78"/>
      <c r="AU42" s="78"/>
      <c r="AV42" s="75"/>
      <c r="AW42" s="75"/>
      <c r="AX42" s="75"/>
      <c r="AY42" s="75"/>
      <c r="AZ42" s="75"/>
      <c r="BA42" s="75"/>
      <c r="BB42" s="75"/>
      <c r="BC42" s="75"/>
      <c r="BD42" s="75"/>
      <c r="BE42" s="75"/>
      <c r="BF42" s="75"/>
      <c r="BG42" s="75"/>
      <c r="BH42" s="75"/>
      <c r="BI42" s="75"/>
      <c r="BJ42" s="75"/>
      <c r="BK42" s="75"/>
    </row>
    <row r="43" spans="1:63" ht="16.5" customHeight="1">
      <c r="A43" s="39"/>
      <c r="B43" s="39"/>
      <c r="C43" s="39"/>
      <c r="D43" s="39"/>
      <c r="E43" s="39"/>
      <c r="F43" s="27"/>
      <c r="G43" s="27"/>
      <c r="H43" s="27"/>
      <c r="I43" s="77"/>
      <c r="J43" s="77"/>
      <c r="K43" s="77"/>
      <c r="L43" s="77"/>
      <c r="M43" s="77"/>
      <c r="N43" s="78"/>
      <c r="O43" s="78"/>
      <c r="P43" s="75"/>
      <c r="Q43" s="75"/>
      <c r="R43" s="75"/>
      <c r="S43" s="75"/>
      <c r="T43" s="75"/>
      <c r="U43" s="75"/>
      <c r="V43" s="75"/>
      <c r="W43" s="75"/>
      <c r="X43" s="75"/>
      <c r="Y43" s="75"/>
      <c r="Z43" s="75"/>
      <c r="AA43" s="75"/>
      <c r="AB43" s="75"/>
      <c r="AC43" s="75"/>
      <c r="AD43" s="75"/>
      <c r="AE43" s="75"/>
      <c r="AG43" s="40"/>
      <c r="AH43" s="40"/>
      <c r="AI43" s="40"/>
      <c r="AJ43" s="40"/>
      <c r="AK43" s="40"/>
      <c r="AL43" s="27"/>
      <c r="AM43" s="27"/>
      <c r="AN43" s="27"/>
      <c r="AO43" s="77"/>
      <c r="AP43" s="77"/>
      <c r="AQ43" s="77"/>
      <c r="AR43" s="77"/>
      <c r="AS43" s="77"/>
      <c r="AT43" s="78"/>
      <c r="AU43" s="78"/>
      <c r="AV43" s="75"/>
      <c r="AW43" s="75"/>
      <c r="AX43" s="75"/>
      <c r="AY43" s="75"/>
      <c r="AZ43" s="75"/>
      <c r="BA43" s="75"/>
      <c r="BB43" s="75"/>
      <c r="BC43" s="75"/>
      <c r="BD43" s="75"/>
      <c r="BE43" s="75"/>
      <c r="BF43" s="75"/>
      <c r="BG43" s="75"/>
      <c r="BH43" s="75"/>
      <c r="BI43" s="75"/>
      <c r="BJ43" s="75"/>
      <c r="BK43" s="75"/>
    </row>
    <row r="44" spans="1:63" ht="16.5" customHeight="1">
      <c r="A44" s="39"/>
      <c r="B44" s="39"/>
      <c r="C44" s="39"/>
      <c r="D44" s="39"/>
      <c r="E44" s="39"/>
      <c r="F44" s="27"/>
      <c r="G44" s="27"/>
      <c r="H44" s="27"/>
      <c r="I44" s="77"/>
      <c r="J44" s="77"/>
      <c r="K44" s="77"/>
      <c r="L44" s="77"/>
      <c r="M44" s="77"/>
      <c r="N44" s="78"/>
      <c r="O44" s="78"/>
      <c r="P44" s="75"/>
      <c r="Q44" s="75"/>
      <c r="R44" s="75"/>
      <c r="S44" s="75"/>
      <c r="T44" s="75"/>
      <c r="U44" s="75"/>
      <c r="V44" s="75"/>
      <c r="W44" s="75"/>
      <c r="X44" s="75"/>
      <c r="Y44" s="75"/>
      <c r="Z44" s="75"/>
      <c r="AA44" s="75"/>
      <c r="AB44" s="75"/>
      <c r="AC44" s="75"/>
      <c r="AD44" s="75"/>
      <c r="AE44" s="75"/>
      <c r="AG44" s="40"/>
      <c r="AH44" s="40"/>
      <c r="AI44" s="40"/>
      <c r="AJ44" s="40"/>
      <c r="AK44" s="40"/>
      <c r="AL44" s="27"/>
      <c r="AM44" s="27"/>
      <c r="AN44" s="27"/>
      <c r="AO44" s="77"/>
      <c r="AP44" s="77"/>
      <c r="AQ44" s="77"/>
      <c r="AR44" s="77"/>
      <c r="AS44" s="77"/>
      <c r="AT44" s="78"/>
      <c r="AU44" s="78"/>
      <c r="AV44" s="75"/>
      <c r="AW44" s="75"/>
      <c r="AX44" s="75"/>
      <c r="AY44" s="75"/>
      <c r="AZ44" s="75"/>
      <c r="BA44" s="75"/>
      <c r="BB44" s="75"/>
      <c r="BC44" s="75"/>
      <c r="BD44" s="75"/>
      <c r="BE44" s="75"/>
      <c r="BF44" s="75"/>
      <c r="BG44" s="75"/>
      <c r="BH44" s="75"/>
      <c r="BI44" s="75"/>
      <c r="BJ44" s="75"/>
      <c r="BK44" s="75"/>
    </row>
    <row r="45" spans="1:63" ht="16.5" customHeight="1">
      <c r="A45" s="39"/>
      <c r="B45" s="39"/>
      <c r="C45" s="39"/>
      <c r="D45" s="39"/>
      <c r="E45" s="39"/>
      <c r="F45" s="27"/>
      <c r="G45" s="27"/>
      <c r="H45" s="27"/>
      <c r="I45" s="77"/>
      <c r="J45" s="77"/>
      <c r="K45" s="77"/>
      <c r="L45" s="77"/>
      <c r="M45" s="77"/>
      <c r="N45" s="78"/>
      <c r="O45" s="78"/>
      <c r="P45" s="75"/>
      <c r="Q45" s="75"/>
      <c r="R45" s="75"/>
      <c r="S45" s="75"/>
      <c r="T45" s="75"/>
      <c r="U45" s="75"/>
      <c r="V45" s="75"/>
      <c r="W45" s="75"/>
      <c r="X45" s="75"/>
      <c r="Y45" s="75"/>
      <c r="Z45" s="75"/>
      <c r="AA45" s="75"/>
      <c r="AB45" s="75"/>
      <c r="AC45" s="75"/>
      <c r="AD45" s="75"/>
      <c r="AE45" s="75"/>
      <c r="AG45" s="40"/>
      <c r="AH45" s="40"/>
      <c r="AI45" s="40"/>
      <c r="AJ45" s="40"/>
      <c r="AK45" s="40"/>
      <c r="AL45" s="27"/>
      <c r="AM45" s="27"/>
      <c r="AN45" s="27"/>
      <c r="AO45" s="77"/>
      <c r="AP45" s="77"/>
      <c r="AQ45" s="77"/>
      <c r="AR45" s="77"/>
      <c r="AS45" s="77"/>
      <c r="AT45" s="78"/>
      <c r="AU45" s="78"/>
      <c r="AV45" s="75"/>
      <c r="AW45" s="75"/>
      <c r="AX45" s="75"/>
      <c r="AY45" s="75"/>
      <c r="AZ45" s="75"/>
      <c r="BA45" s="75"/>
      <c r="BB45" s="75"/>
      <c r="BC45" s="75"/>
      <c r="BD45" s="75"/>
      <c r="BE45" s="75"/>
      <c r="BF45" s="75"/>
      <c r="BG45" s="75"/>
      <c r="BH45" s="75"/>
      <c r="BI45" s="75"/>
      <c r="BJ45" s="75"/>
      <c r="BK45" s="75"/>
    </row>
    <row r="46" spans="1:63" ht="16.5" customHeight="1">
      <c r="A46" s="39"/>
      <c r="B46" s="39"/>
      <c r="C46" s="39"/>
      <c r="D46" s="39"/>
      <c r="E46" s="39"/>
      <c r="F46" s="27"/>
      <c r="G46" s="27"/>
      <c r="H46" s="27"/>
      <c r="I46" s="77"/>
      <c r="J46" s="77"/>
      <c r="K46" s="77"/>
      <c r="L46" s="77"/>
      <c r="M46" s="77"/>
      <c r="N46" s="78"/>
      <c r="O46" s="78"/>
      <c r="P46" s="75"/>
      <c r="Q46" s="75"/>
      <c r="R46" s="75"/>
      <c r="S46" s="75"/>
      <c r="T46" s="75"/>
      <c r="U46" s="75"/>
      <c r="V46" s="75"/>
      <c r="W46" s="75"/>
      <c r="X46" s="75"/>
      <c r="Y46" s="75"/>
      <c r="Z46" s="75"/>
      <c r="AA46" s="75"/>
      <c r="AB46" s="75"/>
      <c r="AC46" s="75"/>
      <c r="AD46" s="75"/>
      <c r="AE46" s="75"/>
      <c r="AG46" s="40"/>
      <c r="AH46" s="40"/>
      <c r="AI46" s="40"/>
      <c r="AJ46" s="40"/>
      <c r="AK46" s="40"/>
      <c r="AL46" s="27"/>
      <c r="AM46" s="27"/>
      <c r="AN46" s="27"/>
      <c r="AO46" s="77"/>
      <c r="AP46" s="77"/>
      <c r="AQ46" s="77"/>
      <c r="AR46" s="77"/>
      <c r="AS46" s="77"/>
      <c r="AT46" s="78"/>
      <c r="AU46" s="78"/>
      <c r="AV46" s="75"/>
      <c r="AW46" s="75"/>
      <c r="AX46" s="75"/>
      <c r="AY46" s="75"/>
      <c r="AZ46" s="75"/>
      <c r="BA46" s="75"/>
      <c r="BB46" s="75"/>
      <c r="BC46" s="75"/>
      <c r="BD46" s="75"/>
      <c r="BE46" s="75"/>
      <c r="BF46" s="75"/>
      <c r="BG46" s="75"/>
      <c r="BH46" s="75"/>
      <c r="BI46" s="75"/>
      <c r="BJ46" s="75"/>
      <c r="BK46" s="75"/>
    </row>
    <row r="47" spans="1:63" ht="16.5" customHeight="1">
      <c r="A47" s="39"/>
      <c r="B47" s="39"/>
      <c r="C47" s="39"/>
      <c r="D47" s="39"/>
      <c r="E47" s="39"/>
      <c r="F47" s="27"/>
      <c r="G47" s="27"/>
      <c r="H47" s="27"/>
      <c r="I47" s="77"/>
      <c r="J47" s="77"/>
      <c r="K47" s="77"/>
      <c r="L47" s="77"/>
      <c r="M47" s="77"/>
      <c r="N47" s="78"/>
      <c r="O47" s="78"/>
      <c r="P47" s="75"/>
      <c r="Q47" s="75"/>
      <c r="R47" s="75"/>
      <c r="S47" s="75"/>
      <c r="T47" s="75"/>
      <c r="U47" s="75"/>
      <c r="V47" s="75"/>
      <c r="W47" s="75"/>
      <c r="X47" s="75"/>
      <c r="Y47" s="75"/>
      <c r="Z47" s="75"/>
      <c r="AA47" s="75"/>
      <c r="AB47" s="75"/>
      <c r="AC47" s="75"/>
      <c r="AD47" s="75"/>
      <c r="AE47" s="75"/>
      <c r="AG47" s="40"/>
      <c r="AH47" s="40"/>
      <c r="AI47" s="40"/>
      <c r="AJ47" s="40"/>
      <c r="AK47" s="40"/>
      <c r="AL47" s="27"/>
      <c r="AM47" s="27"/>
      <c r="AN47" s="27"/>
      <c r="AO47" s="77"/>
      <c r="AP47" s="77"/>
      <c r="AQ47" s="77"/>
      <c r="AR47" s="77"/>
      <c r="AS47" s="77"/>
      <c r="AT47" s="78"/>
      <c r="AU47" s="78"/>
      <c r="AV47" s="75"/>
      <c r="AW47" s="75"/>
      <c r="AX47" s="75"/>
      <c r="AY47" s="75"/>
      <c r="AZ47" s="75"/>
      <c r="BA47" s="75"/>
      <c r="BB47" s="75"/>
      <c r="BC47" s="75"/>
      <c r="BD47" s="75"/>
      <c r="BE47" s="75"/>
      <c r="BF47" s="75"/>
      <c r="BG47" s="75"/>
      <c r="BH47" s="75"/>
      <c r="BI47" s="75"/>
      <c r="BJ47" s="75"/>
      <c r="BK47" s="75"/>
    </row>
    <row r="48" spans="1:63" ht="16.5" customHeight="1">
      <c r="A48" s="39"/>
      <c r="B48" s="39"/>
      <c r="C48" s="39"/>
      <c r="D48" s="39"/>
      <c r="E48" s="39"/>
      <c r="F48" s="27"/>
      <c r="G48" s="27"/>
      <c r="H48" s="27"/>
      <c r="I48" s="77"/>
      <c r="J48" s="77"/>
      <c r="K48" s="77"/>
      <c r="L48" s="77"/>
      <c r="M48" s="77"/>
      <c r="N48" s="78"/>
      <c r="O48" s="78"/>
      <c r="P48" s="75"/>
      <c r="Q48" s="75"/>
      <c r="R48" s="75"/>
      <c r="S48" s="75"/>
      <c r="T48" s="75"/>
      <c r="U48" s="75"/>
      <c r="V48" s="75"/>
      <c r="W48" s="75"/>
      <c r="X48" s="75"/>
      <c r="Y48" s="75"/>
      <c r="Z48" s="75"/>
      <c r="AA48" s="75"/>
      <c r="AB48" s="75"/>
      <c r="AC48" s="75"/>
      <c r="AD48" s="75"/>
      <c r="AE48" s="75"/>
      <c r="AG48" s="40"/>
      <c r="AH48" s="40"/>
      <c r="AI48" s="40"/>
      <c r="AJ48" s="40"/>
      <c r="AK48" s="40"/>
      <c r="AL48" s="27"/>
      <c r="AM48" s="27"/>
      <c r="AN48" s="27"/>
      <c r="AO48" s="77"/>
      <c r="AP48" s="77"/>
      <c r="AQ48" s="77"/>
      <c r="AR48" s="77"/>
      <c r="AS48" s="77"/>
      <c r="AT48" s="78"/>
      <c r="AU48" s="78"/>
      <c r="AV48" s="75"/>
      <c r="AW48" s="75"/>
      <c r="AX48" s="75"/>
      <c r="AY48" s="75"/>
      <c r="AZ48" s="75"/>
      <c r="BA48" s="75"/>
      <c r="BB48" s="75"/>
      <c r="BC48" s="75"/>
      <c r="BD48" s="75"/>
      <c r="BE48" s="75"/>
      <c r="BF48" s="75"/>
      <c r="BG48" s="75"/>
      <c r="BH48" s="75"/>
      <c r="BI48" s="75"/>
      <c r="BJ48" s="75"/>
      <c r="BK48" s="75"/>
    </row>
    <row r="49" spans="1:63" ht="16.5" customHeight="1">
      <c r="A49" s="39"/>
      <c r="B49" s="39"/>
      <c r="C49" s="39"/>
      <c r="D49" s="39"/>
      <c r="E49" s="39"/>
      <c r="F49" s="27"/>
      <c r="G49" s="27"/>
      <c r="H49" s="27"/>
      <c r="I49" s="77"/>
      <c r="J49" s="77"/>
      <c r="K49" s="77"/>
      <c r="L49" s="77"/>
      <c r="M49" s="77"/>
      <c r="N49" s="78"/>
      <c r="O49" s="78"/>
      <c r="P49" s="75"/>
      <c r="Q49" s="75"/>
      <c r="R49" s="75"/>
      <c r="S49" s="75"/>
      <c r="T49" s="75"/>
      <c r="U49" s="75"/>
      <c r="V49" s="75"/>
      <c r="W49" s="75"/>
      <c r="X49" s="75"/>
      <c r="Y49" s="75"/>
      <c r="Z49" s="75"/>
      <c r="AA49" s="75"/>
      <c r="AB49" s="75"/>
      <c r="AC49" s="75"/>
      <c r="AD49" s="75"/>
      <c r="AE49" s="75"/>
      <c r="AG49" s="40"/>
      <c r="AH49" s="40"/>
      <c r="AI49" s="40"/>
      <c r="AJ49" s="40"/>
      <c r="AK49" s="40"/>
      <c r="AL49" s="27"/>
      <c r="AM49" s="27"/>
      <c r="AN49" s="27"/>
      <c r="AO49" s="77"/>
      <c r="AP49" s="77"/>
      <c r="AQ49" s="77"/>
      <c r="AR49" s="77"/>
      <c r="AS49" s="77"/>
      <c r="AT49" s="78"/>
      <c r="AU49" s="78"/>
      <c r="AV49" s="75"/>
      <c r="AW49" s="75"/>
      <c r="AX49" s="75"/>
      <c r="AY49" s="75"/>
      <c r="AZ49" s="75"/>
      <c r="BA49" s="75"/>
      <c r="BB49" s="75"/>
      <c r="BC49" s="75"/>
      <c r="BD49" s="75"/>
      <c r="BE49" s="75"/>
      <c r="BF49" s="75"/>
      <c r="BG49" s="75"/>
      <c r="BH49" s="75"/>
      <c r="BI49" s="75"/>
      <c r="BJ49" s="75"/>
      <c r="BK49" s="75"/>
    </row>
    <row r="50" spans="1:63" ht="16.5" customHeight="1">
      <c r="A50" s="39"/>
      <c r="B50" s="39"/>
      <c r="C50" s="39"/>
      <c r="D50" s="39"/>
      <c r="E50" s="39"/>
      <c r="F50" s="27"/>
      <c r="G50" s="27"/>
      <c r="H50" s="27"/>
      <c r="I50" s="77"/>
      <c r="J50" s="77"/>
      <c r="K50" s="77"/>
      <c r="L50" s="77"/>
      <c r="M50" s="77"/>
      <c r="N50" s="78"/>
      <c r="O50" s="78"/>
      <c r="P50" s="75"/>
      <c r="Q50" s="75"/>
      <c r="R50" s="75"/>
      <c r="S50" s="75"/>
      <c r="T50" s="75"/>
      <c r="U50" s="75"/>
      <c r="V50" s="75"/>
      <c r="W50" s="75"/>
      <c r="X50" s="75"/>
      <c r="Y50" s="75"/>
      <c r="Z50" s="75"/>
      <c r="AA50" s="75"/>
      <c r="AB50" s="75"/>
      <c r="AC50" s="75"/>
      <c r="AD50" s="75"/>
      <c r="AE50" s="75"/>
      <c r="AG50" s="40"/>
      <c r="AH50" s="40"/>
      <c r="AI50" s="40"/>
      <c r="AJ50" s="40"/>
      <c r="AK50" s="40"/>
      <c r="AL50" s="27"/>
      <c r="AM50" s="27"/>
      <c r="AN50" s="27"/>
      <c r="AO50" s="77"/>
      <c r="AP50" s="77"/>
      <c r="AQ50" s="77"/>
      <c r="AR50" s="77"/>
      <c r="AS50" s="77"/>
      <c r="AT50" s="78"/>
      <c r="AU50" s="78"/>
      <c r="AV50" s="75"/>
      <c r="AW50" s="75"/>
      <c r="AX50" s="75"/>
      <c r="AY50" s="75"/>
      <c r="AZ50" s="75"/>
      <c r="BA50" s="75"/>
      <c r="BB50" s="75"/>
      <c r="BC50" s="75"/>
      <c r="BD50" s="75"/>
      <c r="BE50" s="75"/>
      <c r="BF50" s="75"/>
      <c r="BG50" s="75"/>
      <c r="BH50" s="75"/>
      <c r="BI50" s="75"/>
      <c r="BJ50" s="75"/>
      <c r="BK50" s="75"/>
    </row>
    <row r="51" spans="1:63" ht="16.5" customHeight="1">
      <c r="A51" s="39"/>
      <c r="B51" s="39"/>
      <c r="C51" s="39"/>
      <c r="D51" s="39"/>
      <c r="E51" s="39"/>
      <c r="F51" s="27"/>
      <c r="G51" s="27"/>
      <c r="H51" s="27"/>
      <c r="I51" s="77"/>
      <c r="J51" s="77"/>
      <c r="K51" s="77"/>
      <c r="L51" s="77"/>
      <c r="M51" s="77"/>
      <c r="N51" s="78"/>
      <c r="O51" s="78"/>
      <c r="P51" s="75"/>
      <c r="Q51" s="75"/>
      <c r="R51" s="75"/>
      <c r="S51" s="75"/>
      <c r="T51" s="75"/>
      <c r="U51" s="75"/>
      <c r="V51" s="75"/>
      <c r="W51" s="75"/>
      <c r="X51" s="75"/>
      <c r="Y51" s="75"/>
      <c r="Z51" s="75"/>
      <c r="AA51" s="75"/>
      <c r="AB51" s="75"/>
      <c r="AC51" s="75"/>
      <c r="AD51" s="75"/>
      <c r="AE51" s="75"/>
      <c r="AG51" s="40"/>
      <c r="AH51" s="40"/>
      <c r="AI51" s="40"/>
      <c r="AJ51" s="40"/>
      <c r="AK51" s="40"/>
      <c r="AL51" s="27"/>
      <c r="AM51" s="27"/>
      <c r="AN51" s="27"/>
      <c r="AO51" s="77"/>
      <c r="AP51" s="77"/>
      <c r="AQ51" s="77"/>
      <c r="AR51" s="77"/>
      <c r="AS51" s="77"/>
      <c r="AT51" s="78"/>
      <c r="AU51" s="78"/>
      <c r="AV51" s="75"/>
      <c r="AW51" s="75"/>
      <c r="AX51" s="75"/>
      <c r="AY51" s="75"/>
      <c r="AZ51" s="75"/>
      <c r="BA51" s="75"/>
      <c r="BB51" s="75"/>
      <c r="BC51" s="75"/>
      <c r="BD51" s="75"/>
      <c r="BE51" s="75"/>
      <c r="BF51" s="75"/>
      <c r="BG51" s="75"/>
      <c r="BH51" s="75"/>
      <c r="BI51" s="75"/>
      <c r="BJ51" s="75"/>
      <c r="BK51" s="75"/>
    </row>
    <row r="52" spans="1:63" ht="16.5" customHeight="1">
      <c r="A52" s="39"/>
      <c r="B52" s="39"/>
      <c r="C52" s="39"/>
      <c r="D52" s="39"/>
      <c r="E52" s="39"/>
      <c r="F52" s="27"/>
      <c r="G52" s="27"/>
      <c r="H52" s="27"/>
      <c r="I52" s="77"/>
      <c r="J52" s="77"/>
      <c r="K52" s="77"/>
      <c r="L52" s="77"/>
      <c r="M52" s="77"/>
      <c r="N52" s="78"/>
      <c r="O52" s="78"/>
      <c r="P52" s="75"/>
      <c r="Q52" s="75"/>
      <c r="R52" s="75"/>
      <c r="S52" s="75"/>
      <c r="T52" s="75"/>
      <c r="U52" s="75"/>
      <c r="V52" s="75"/>
      <c r="W52" s="75"/>
      <c r="X52" s="75"/>
      <c r="Y52" s="75"/>
      <c r="Z52" s="75"/>
      <c r="AA52" s="75"/>
      <c r="AB52" s="75"/>
      <c r="AC52" s="75"/>
      <c r="AD52" s="75"/>
      <c r="AE52" s="75"/>
      <c r="AG52" s="40"/>
      <c r="AH52" s="40"/>
      <c r="AI52" s="40"/>
      <c r="AJ52" s="40"/>
      <c r="AK52" s="40"/>
      <c r="AL52" s="27"/>
      <c r="AM52" s="27"/>
      <c r="AN52" s="27"/>
      <c r="AO52" s="77"/>
      <c r="AP52" s="77"/>
      <c r="AQ52" s="77"/>
      <c r="AR52" s="77"/>
      <c r="AS52" s="77"/>
      <c r="AT52" s="78"/>
      <c r="AU52" s="78"/>
      <c r="AV52" s="75"/>
      <c r="AW52" s="75"/>
      <c r="AX52" s="75"/>
      <c r="AY52" s="75"/>
      <c r="AZ52" s="75"/>
      <c r="BA52" s="75"/>
      <c r="BB52" s="75"/>
      <c r="BC52" s="75"/>
      <c r="BD52" s="75"/>
      <c r="BE52" s="75"/>
      <c r="BF52" s="75"/>
      <c r="BG52" s="75"/>
      <c r="BH52" s="75"/>
      <c r="BI52" s="75"/>
      <c r="BJ52" s="75"/>
      <c r="BK52" s="75"/>
    </row>
    <row r="53" spans="1:63" ht="16.5" customHeight="1">
      <c r="A53" s="39"/>
      <c r="B53" s="39"/>
      <c r="C53" s="39"/>
      <c r="D53" s="39"/>
      <c r="E53" s="39"/>
      <c r="F53" s="27"/>
      <c r="G53" s="27"/>
      <c r="H53" s="27"/>
      <c r="I53" s="77"/>
      <c r="J53" s="77"/>
      <c r="K53" s="77"/>
      <c r="L53" s="77"/>
      <c r="M53" s="77"/>
      <c r="N53" s="78"/>
      <c r="O53" s="78"/>
      <c r="P53" s="75"/>
      <c r="Q53" s="75"/>
      <c r="R53" s="75"/>
      <c r="S53" s="75"/>
      <c r="T53" s="75"/>
      <c r="U53" s="75"/>
      <c r="V53" s="75"/>
      <c r="W53" s="75"/>
      <c r="X53" s="75"/>
      <c r="Y53" s="75"/>
      <c r="Z53" s="75"/>
      <c r="AA53" s="75"/>
      <c r="AB53" s="75"/>
      <c r="AC53" s="75"/>
      <c r="AD53" s="75"/>
      <c r="AE53" s="75"/>
      <c r="AG53" s="40"/>
      <c r="AH53" s="40"/>
      <c r="AI53" s="40"/>
      <c r="AJ53" s="40"/>
      <c r="AK53" s="40"/>
      <c r="AL53" s="27"/>
      <c r="AM53" s="27"/>
      <c r="AN53" s="27"/>
      <c r="AO53" s="77"/>
      <c r="AP53" s="77"/>
      <c r="AQ53" s="77"/>
      <c r="AR53" s="77"/>
      <c r="AS53" s="77"/>
      <c r="AT53" s="78"/>
      <c r="AU53" s="78"/>
      <c r="AV53" s="75"/>
      <c r="AW53" s="75"/>
      <c r="AX53" s="75"/>
      <c r="AY53" s="75"/>
      <c r="AZ53" s="75"/>
      <c r="BA53" s="75"/>
      <c r="BB53" s="75"/>
      <c r="BC53" s="75"/>
      <c r="BD53" s="75"/>
      <c r="BE53" s="75"/>
      <c r="BF53" s="75"/>
      <c r="BG53" s="75"/>
      <c r="BH53" s="75"/>
      <c r="BI53" s="75"/>
      <c r="BJ53" s="75"/>
      <c r="BK53" s="75"/>
    </row>
    <row r="54" spans="1:63" ht="16.5" customHeight="1">
      <c r="A54" s="39"/>
      <c r="B54" s="39"/>
      <c r="C54" s="39"/>
      <c r="D54" s="39"/>
      <c r="E54" s="39"/>
      <c r="F54" s="27"/>
      <c r="G54" s="27"/>
      <c r="H54" s="27"/>
      <c r="I54" s="77"/>
      <c r="J54" s="77"/>
      <c r="K54" s="77"/>
      <c r="L54" s="77"/>
      <c r="M54" s="77"/>
      <c r="N54" s="78"/>
      <c r="O54" s="78"/>
      <c r="P54" s="75"/>
      <c r="Q54" s="75"/>
      <c r="R54" s="75"/>
      <c r="S54" s="75"/>
      <c r="T54" s="75"/>
      <c r="U54" s="75"/>
      <c r="V54" s="75"/>
      <c r="W54" s="75"/>
      <c r="X54" s="75"/>
      <c r="Y54" s="75"/>
      <c r="Z54" s="75"/>
      <c r="AA54" s="75"/>
      <c r="AB54" s="75"/>
      <c r="AC54" s="75"/>
      <c r="AD54" s="75"/>
      <c r="AE54" s="75"/>
      <c r="AG54" s="40"/>
      <c r="AH54" s="40"/>
      <c r="AI54" s="40"/>
      <c r="AJ54" s="40"/>
      <c r="AK54" s="40"/>
      <c r="AL54" s="27"/>
      <c r="AM54" s="27"/>
      <c r="AN54" s="27"/>
      <c r="AO54" s="77"/>
      <c r="AP54" s="77"/>
      <c r="AQ54" s="77"/>
      <c r="AR54" s="77"/>
      <c r="AS54" s="77"/>
      <c r="AT54" s="78"/>
      <c r="AU54" s="78"/>
      <c r="AV54" s="75"/>
      <c r="AW54" s="75"/>
      <c r="AX54" s="75"/>
      <c r="AY54" s="75"/>
      <c r="AZ54" s="75"/>
      <c r="BA54" s="75"/>
      <c r="BB54" s="75"/>
      <c r="BC54" s="75"/>
      <c r="BD54" s="75"/>
      <c r="BE54" s="75"/>
      <c r="BF54" s="75"/>
      <c r="BG54" s="75"/>
      <c r="BH54" s="75"/>
      <c r="BI54" s="75"/>
      <c r="BJ54" s="75"/>
      <c r="BK54" s="75"/>
    </row>
    <row r="55" spans="1:63" ht="16.5" customHeight="1">
      <c r="A55" s="39"/>
      <c r="B55" s="39"/>
      <c r="C55" s="39"/>
      <c r="D55" s="39"/>
      <c r="E55" s="39"/>
      <c r="F55" s="27"/>
      <c r="G55" s="27"/>
      <c r="H55" s="27"/>
      <c r="I55" s="77"/>
      <c r="J55" s="77"/>
      <c r="K55" s="77"/>
      <c r="L55" s="77"/>
      <c r="M55" s="77"/>
      <c r="N55" s="78"/>
      <c r="O55" s="78"/>
      <c r="P55" s="75"/>
      <c r="Q55" s="75"/>
      <c r="R55" s="75"/>
      <c r="S55" s="75"/>
      <c r="T55" s="75"/>
      <c r="U55" s="75"/>
      <c r="V55" s="75"/>
      <c r="W55" s="75"/>
      <c r="X55" s="75"/>
      <c r="Y55" s="75"/>
      <c r="Z55" s="75"/>
      <c r="AA55" s="75"/>
      <c r="AB55" s="75"/>
      <c r="AC55" s="75"/>
      <c r="AD55" s="75"/>
      <c r="AE55" s="75"/>
      <c r="AG55" s="40"/>
      <c r="AH55" s="40"/>
      <c r="AI55" s="40"/>
      <c r="AJ55" s="40"/>
      <c r="AK55" s="40"/>
      <c r="AL55" s="27"/>
      <c r="AM55" s="27"/>
      <c r="AN55" s="27"/>
      <c r="AO55" s="77"/>
      <c r="AP55" s="77"/>
      <c r="AQ55" s="77"/>
      <c r="AR55" s="77"/>
      <c r="AS55" s="77"/>
      <c r="AT55" s="78"/>
      <c r="AU55" s="78"/>
      <c r="AV55" s="75"/>
      <c r="AW55" s="75"/>
      <c r="AX55" s="75"/>
      <c r="AY55" s="75"/>
      <c r="AZ55" s="75"/>
      <c r="BA55" s="75"/>
      <c r="BB55" s="75"/>
      <c r="BC55" s="75"/>
      <c r="BD55" s="75"/>
      <c r="BE55" s="75"/>
      <c r="BF55" s="75"/>
      <c r="BG55" s="75"/>
      <c r="BH55" s="75"/>
      <c r="BI55" s="75"/>
      <c r="BJ55" s="75"/>
      <c r="BK55" s="75"/>
    </row>
    <row r="56" spans="1:63" ht="16.5" customHeight="1">
      <c r="A56" s="39"/>
      <c r="B56" s="39"/>
      <c r="C56" s="39"/>
      <c r="D56" s="39"/>
      <c r="E56" s="39"/>
      <c r="F56" s="27"/>
      <c r="G56" s="27"/>
      <c r="H56" s="27"/>
      <c r="I56" s="77"/>
      <c r="J56" s="77"/>
      <c r="K56" s="77"/>
      <c r="L56" s="77"/>
      <c r="M56" s="77"/>
      <c r="N56" s="78"/>
      <c r="O56" s="78"/>
      <c r="P56" s="75"/>
      <c r="Q56" s="75"/>
      <c r="R56" s="75"/>
      <c r="S56" s="75"/>
      <c r="T56" s="75"/>
      <c r="U56" s="75"/>
      <c r="V56" s="75"/>
      <c r="W56" s="75"/>
      <c r="X56" s="75"/>
      <c r="Y56" s="75"/>
      <c r="Z56" s="75"/>
      <c r="AA56" s="75"/>
      <c r="AB56" s="75"/>
      <c r="AC56" s="75"/>
      <c r="AD56" s="75"/>
      <c r="AE56" s="75"/>
      <c r="AG56" s="40"/>
      <c r="AH56" s="40"/>
      <c r="AI56" s="40"/>
      <c r="AJ56" s="40"/>
      <c r="AK56" s="40"/>
      <c r="AL56" s="27"/>
      <c r="AM56" s="27"/>
      <c r="AN56" s="27"/>
      <c r="AO56" s="77"/>
      <c r="AP56" s="77"/>
      <c r="AQ56" s="77"/>
      <c r="AR56" s="77"/>
      <c r="AS56" s="77"/>
      <c r="AT56" s="78"/>
      <c r="AU56" s="78"/>
      <c r="AV56" s="75"/>
      <c r="AW56" s="75"/>
      <c r="AX56" s="75"/>
      <c r="AY56" s="75"/>
      <c r="AZ56" s="75"/>
      <c r="BA56" s="75"/>
      <c r="BB56" s="75"/>
      <c r="BC56" s="75"/>
      <c r="BD56" s="75"/>
      <c r="BE56" s="75"/>
      <c r="BF56" s="75"/>
      <c r="BG56" s="75"/>
      <c r="BH56" s="75"/>
      <c r="BI56" s="75"/>
      <c r="BJ56" s="75"/>
      <c r="BK56" s="75"/>
    </row>
    <row r="57" spans="1:63" ht="16.5" customHeight="1">
      <c r="A57" s="39"/>
      <c r="B57" s="39"/>
      <c r="C57" s="39"/>
      <c r="D57" s="39"/>
      <c r="E57" s="39"/>
      <c r="F57" s="27"/>
      <c r="G57" s="27"/>
      <c r="H57" s="27"/>
      <c r="I57" s="77"/>
      <c r="J57" s="77"/>
      <c r="K57" s="77"/>
      <c r="L57" s="77"/>
      <c r="M57" s="77"/>
      <c r="N57" s="78"/>
      <c r="O57" s="78"/>
      <c r="P57" s="75"/>
      <c r="Q57" s="75"/>
      <c r="R57" s="75"/>
      <c r="S57" s="75"/>
      <c r="T57" s="75"/>
      <c r="U57" s="75"/>
      <c r="V57" s="75"/>
      <c r="W57" s="75"/>
      <c r="X57" s="75"/>
      <c r="Y57" s="75"/>
      <c r="Z57" s="75"/>
      <c r="AA57" s="75"/>
      <c r="AB57" s="75"/>
      <c r="AC57" s="75"/>
      <c r="AD57" s="75"/>
      <c r="AE57" s="75"/>
      <c r="AG57" s="40"/>
      <c r="AH57" s="40"/>
      <c r="AI57" s="40"/>
      <c r="AJ57" s="40"/>
      <c r="AK57" s="40"/>
      <c r="AL57" s="27"/>
      <c r="AM57" s="27"/>
      <c r="AN57" s="27"/>
      <c r="AO57" s="77"/>
      <c r="AP57" s="77"/>
      <c r="AQ57" s="77"/>
      <c r="AR57" s="77"/>
      <c r="AS57" s="77"/>
      <c r="AT57" s="78"/>
      <c r="AU57" s="78"/>
      <c r="AV57" s="75"/>
      <c r="AW57" s="75"/>
      <c r="AX57" s="75"/>
      <c r="AY57" s="75"/>
      <c r="AZ57" s="75"/>
      <c r="BA57" s="75"/>
      <c r="BB57" s="75"/>
      <c r="BC57" s="75"/>
      <c r="BD57" s="75"/>
      <c r="BE57" s="75"/>
      <c r="BF57" s="75"/>
      <c r="BG57" s="75"/>
      <c r="BH57" s="75"/>
      <c r="BI57" s="75"/>
      <c r="BJ57" s="75"/>
      <c r="BK57" s="75"/>
    </row>
    <row r="58" spans="1:63" ht="16.5" customHeight="1">
      <c r="A58" s="98" t="s">
        <v>3</v>
      </c>
      <c r="B58" s="98"/>
      <c r="C58" s="98"/>
      <c r="D58" s="98"/>
      <c r="E58" s="98"/>
      <c r="F58" s="98" t="s">
        <v>4</v>
      </c>
      <c r="G58" s="98"/>
      <c r="H58" s="98"/>
      <c r="I58" s="98" t="s">
        <v>5</v>
      </c>
      <c r="J58" s="98"/>
      <c r="K58" s="98"/>
      <c r="L58" s="98"/>
      <c r="M58" s="98"/>
      <c r="N58" s="98"/>
      <c r="O58" s="98"/>
      <c r="P58" s="98" t="s">
        <v>6</v>
      </c>
      <c r="Q58" s="98"/>
      <c r="R58" s="98"/>
      <c r="S58" s="98"/>
      <c r="T58" s="98" t="s">
        <v>7</v>
      </c>
      <c r="U58" s="98"/>
      <c r="V58" s="98"/>
      <c r="W58" s="98"/>
      <c r="X58" s="98" t="s">
        <v>8</v>
      </c>
      <c r="Y58" s="98"/>
      <c r="Z58" s="98"/>
      <c r="AA58" s="98"/>
      <c r="AB58" s="98" t="s">
        <v>52</v>
      </c>
      <c r="AC58" s="98"/>
      <c r="AD58" s="98"/>
      <c r="AE58" s="98"/>
      <c r="AG58" s="40"/>
      <c r="AH58" s="40"/>
      <c r="AI58" s="40"/>
      <c r="AJ58" s="40"/>
      <c r="AK58" s="40"/>
      <c r="AL58" s="27"/>
      <c r="AM58" s="27"/>
      <c r="AN58" s="27"/>
      <c r="AO58" s="77"/>
      <c r="AP58" s="28"/>
      <c r="AQ58" s="28"/>
      <c r="AR58" s="28"/>
      <c r="AS58" s="28"/>
      <c r="AT58" s="22"/>
      <c r="AU58" s="22"/>
      <c r="AV58" s="29"/>
      <c r="AW58" s="29"/>
      <c r="AX58" s="29"/>
      <c r="AY58" s="29"/>
      <c r="AZ58" s="29"/>
      <c r="BA58" s="29"/>
      <c r="BB58" s="29"/>
      <c r="BC58" s="29"/>
      <c r="BD58" s="29"/>
      <c r="BE58" s="29"/>
      <c r="BF58" s="29"/>
      <c r="BG58" s="29"/>
      <c r="BH58" s="29"/>
      <c r="BI58" s="29"/>
      <c r="BJ58" s="75"/>
      <c r="BK58" s="75"/>
    </row>
    <row r="59" spans="1:63" ht="16.5" customHeight="1">
      <c r="A59" s="193">
        <v>814</v>
      </c>
      <c r="B59" s="193"/>
      <c r="C59" s="193"/>
      <c r="D59" s="193"/>
      <c r="E59" s="193"/>
      <c r="F59" s="165">
        <v>10</v>
      </c>
      <c r="G59" s="165"/>
      <c r="H59" s="165"/>
      <c r="I59" s="95" t="s">
        <v>9</v>
      </c>
      <c r="J59" s="95"/>
      <c r="K59" s="95"/>
      <c r="L59" s="95"/>
      <c r="M59" s="95"/>
      <c r="N59" s="194" t="s">
        <v>10</v>
      </c>
      <c r="O59" s="194"/>
      <c r="P59" s="195">
        <f>P71+25</f>
        <v>298</v>
      </c>
      <c r="Q59" s="195"/>
      <c r="R59" s="195"/>
      <c r="S59" s="195"/>
      <c r="T59" s="195">
        <f>P59+30</f>
        <v>328</v>
      </c>
      <c r="U59" s="195"/>
      <c r="V59" s="195"/>
      <c r="W59" s="195"/>
      <c r="X59" s="195">
        <f>T59+30</f>
        <v>358</v>
      </c>
      <c r="Y59" s="195"/>
      <c r="Z59" s="195"/>
      <c r="AA59" s="195"/>
      <c r="AB59" s="195">
        <f>X59+30</f>
        <v>388</v>
      </c>
      <c r="AC59" s="195"/>
      <c r="AD59" s="195"/>
      <c r="AE59" s="195"/>
      <c r="AG59" s="9" t="s">
        <v>60</v>
      </c>
      <c r="AK59" s="44"/>
      <c r="AL59" s="27"/>
      <c r="AM59" s="27"/>
      <c r="AN59" s="27"/>
      <c r="AO59" s="28"/>
      <c r="AP59" s="28"/>
      <c r="AQ59" s="28"/>
      <c r="AR59" s="28"/>
      <c r="AS59" s="28"/>
      <c r="AT59" s="22"/>
      <c r="AU59" s="22"/>
      <c r="AV59" s="29"/>
      <c r="AW59" s="29"/>
      <c r="AX59" s="29"/>
      <c r="AY59" s="29"/>
      <c r="AZ59" s="29"/>
      <c r="BA59" s="29"/>
      <c r="BB59" s="29"/>
      <c r="BC59" s="29"/>
      <c r="BD59" s="29"/>
      <c r="BE59" s="29"/>
      <c r="BF59" s="29"/>
      <c r="BG59" s="29"/>
      <c r="BH59" s="29"/>
      <c r="BI59" s="29"/>
      <c r="BJ59" s="29"/>
      <c r="BK59" s="29"/>
    </row>
    <row r="60" spans="1:63" ht="16.5" customHeight="1">
      <c r="A60" s="193"/>
      <c r="B60" s="193"/>
      <c r="C60" s="193"/>
      <c r="D60" s="193"/>
      <c r="E60" s="193"/>
      <c r="F60" s="165"/>
      <c r="G60" s="165"/>
      <c r="H60" s="165"/>
      <c r="I60" s="95"/>
      <c r="J60" s="95"/>
      <c r="K60" s="95"/>
      <c r="L60" s="95"/>
      <c r="M60" s="95"/>
      <c r="N60" s="100" t="s">
        <v>11</v>
      </c>
      <c r="O60" s="100"/>
      <c r="P60" s="99">
        <f>CEILING(P59*0.95,0.5)</f>
        <v>283.5</v>
      </c>
      <c r="Q60" s="99"/>
      <c r="R60" s="99"/>
      <c r="S60" s="99"/>
      <c r="T60" s="99">
        <f>CEILING(T59*0.95,0.5)</f>
        <v>312</v>
      </c>
      <c r="U60" s="99"/>
      <c r="V60" s="99"/>
      <c r="W60" s="99"/>
      <c r="X60" s="99">
        <f>CEILING(X59*0.95,0.5)</f>
        <v>340.5</v>
      </c>
      <c r="Y60" s="99"/>
      <c r="Z60" s="99"/>
      <c r="AA60" s="99"/>
      <c r="AB60" s="99">
        <f>CEILING(AB59*0.95,0.5)</f>
        <v>369</v>
      </c>
      <c r="AC60" s="99"/>
      <c r="AD60" s="99"/>
      <c r="AE60" s="99"/>
      <c r="AG60" s="9" t="s">
        <v>81</v>
      </c>
      <c r="AK60" s="44"/>
      <c r="AL60" s="27"/>
      <c r="AM60" s="27"/>
      <c r="AN60" s="27"/>
      <c r="AO60" s="28"/>
      <c r="AP60" s="28"/>
      <c r="AQ60" s="28"/>
      <c r="AR60" s="28"/>
      <c r="AS60" s="28"/>
      <c r="AT60" s="22"/>
      <c r="AU60" s="22"/>
      <c r="AV60" s="29"/>
      <c r="AW60" s="29"/>
      <c r="AX60" s="29"/>
      <c r="AY60" s="29"/>
      <c r="AZ60" s="29"/>
      <c r="BA60" s="29"/>
      <c r="BB60" s="29"/>
      <c r="BC60" s="29"/>
      <c r="BD60" s="29"/>
      <c r="BE60" s="29"/>
      <c r="BF60" s="29"/>
      <c r="BG60" s="29"/>
      <c r="BH60" s="29"/>
      <c r="BI60" s="29"/>
      <c r="BJ60" s="29"/>
      <c r="BK60" s="29"/>
    </row>
    <row r="61" spans="1:63" ht="16.5" customHeight="1">
      <c r="A61" s="193"/>
      <c r="B61" s="193"/>
      <c r="C61" s="193"/>
      <c r="D61" s="193"/>
      <c r="E61" s="193"/>
      <c r="F61" s="165"/>
      <c r="G61" s="165"/>
      <c r="H61" s="165"/>
      <c r="I61" s="95"/>
      <c r="J61" s="95"/>
      <c r="K61" s="95"/>
      <c r="L61" s="95"/>
      <c r="M61" s="95"/>
      <c r="N61" s="100" t="s">
        <v>12</v>
      </c>
      <c r="O61" s="100"/>
      <c r="P61" s="99">
        <f>P73+25</f>
        <v>267.5</v>
      </c>
      <c r="Q61" s="99"/>
      <c r="R61" s="99"/>
      <c r="S61" s="99"/>
      <c r="T61" s="99">
        <f>P61+30</f>
        <v>297.5</v>
      </c>
      <c r="U61" s="99"/>
      <c r="V61" s="99"/>
      <c r="W61" s="99"/>
      <c r="X61" s="99">
        <f>T61+30</f>
        <v>327.5</v>
      </c>
      <c r="Y61" s="99"/>
      <c r="Z61" s="99"/>
      <c r="AA61" s="99"/>
      <c r="AB61" s="99">
        <f>X61+30</f>
        <v>357.5</v>
      </c>
      <c r="AC61" s="99"/>
      <c r="AD61" s="99"/>
      <c r="AE61" s="99"/>
      <c r="AH61" s="45" t="s">
        <v>82</v>
      </c>
      <c r="AK61" s="44"/>
      <c r="AL61" s="27"/>
      <c r="AM61" s="27"/>
      <c r="AN61" s="27"/>
      <c r="AO61" s="28"/>
      <c r="AP61" s="28"/>
      <c r="AQ61" s="28"/>
      <c r="AR61" s="28"/>
      <c r="AS61" s="28"/>
      <c r="AT61" s="22"/>
      <c r="AU61" s="22"/>
      <c r="AV61" s="29"/>
      <c r="AW61" s="29"/>
      <c r="AX61" s="29"/>
      <c r="AY61" s="29"/>
      <c r="AZ61" s="29"/>
      <c r="BA61" s="29"/>
      <c r="BB61" s="29"/>
      <c r="BC61" s="29"/>
      <c r="BD61" s="29"/>
      <c r="BE61" s="29"/>
      <c r="BF61" s="29"/>
      <c r="BG61" s="29"/>
      <c r="BH61" s="29"/>
      <c r="BI61" s="29"/>
      <c r="BJ61" s="29"/>
      <c r="BK61" s="29"/>
    </row>
    <row r="62" spans="1:63" ht="16.5" customHeight="1">
      <c r="A62" s="193"/>
      <c r="B62" s="193"/>
      <c r="C62" s="193"/>
      <c r="D62" s="193"/>
      <c r="E62" s="193"/>
      <c r="F62" s="165"/>
      <c r="G62" s="165"/>
      <c r="H62" s="165"/>
      <c r="I62" s="97" t="s">
        <v>70</v>
      </c>
      <c r="J62" s="97"/>
      <c r="K62" s="97"/>
      <c r="L62" s="97"/>
      <c r="M62" s="97"/>
      <c r="N62" s="98" t="s">
        <v>10</v>
      </c>
      <c r="O62" s="98"/>
      <c r="P62" s="96">
        <f>CEILING(P59*0.57+5,0.5)</f>
        <v>175</v>
      </c>
      <c r="Q62" s="96"/>
      <c r="R62" s="96"/>
      <c r="S62" s="96"/>
      <c r="T62" s="96">
        <f>CEILING(T59*0.57+5,0.5)</f>
        <v>192</v>
      </c>
      <c r="U62" s="96"/>
      <c r="V62" s="96"/>
      <c r="W62" s="96"/>
      <c r="X62" s="96">
        <f>CEILING(X59*0.57+5,0.5)</f>
        <v>209.5</v>
      </c>
      <c r="Y62" s="96"/>
      <c r="Z62" s="96"/>
      <c r="AA62" s="96"/>
      <c r="AB62" s="96">
        <f>CEILING(AB59*0.57+5,0.5)</f>
        <v>226.5</v>
      </c>
      <c r="AC62" s="96"/>
      <c r="AD62" s="96"/>
      <c r="AE62" s="96"/>
      <c r="AG62" s="9" t="s">
        <v>26</v>
      </c>
      <c r="AH62" s="15"/>
      <c r="AK62" s="44"/>
      <c r="AL62" s="27"/>
      <c r="AM62" s="27"/>
      <c r="AN62" s="27"/>
      <c r="AO62" s="28"/>
      <c r="AP62" s="28"/>
      <c r="AQ62" s="28"/>
      <c r="AR62" s="28"/>
      <c r="AS62" s="28"/>
      <c r="AT62" s="22"/>
      <c r="AU62" s="22"/>
      <c r="AV62" s="29"/>
      <c r="AW62" s="29"/>
      <c r="AX62" s="29"/>
      <c r="AY62" s="29"/>
      <c r="AZ62" s="29"/>
      <c r="BA62" s="29"/>
      <c r="BB62" s="29"/>
      <c r="BC62" s="29"/>
      <c r="BD62" s="29"/>
      <c r="BE62" s="29"/>
      <c r="BF62" s="29"/>
      <c r="BG62" s="29"/>
      <c r="BH62" s="29"/>
      <c r="BI62" s="29"/>
      <c r="BJ62" s="29"/>
      <c r="BK62" s="29"/>
    </row>
    <row r="63" spans="1:63" ht="16.5" customHeight="1" thickBot="1">
      <c r="A63" s="193"/>
      <c r="B63" s="193"/>
      <c r="C63" s="193"/>
      <c r="D63" s="193"/>
      <c r="E63" s="193"/>
      <c r="F63" s="165"/>
      <c r="G63" s="165"/>
      <c r="H63" s="165"/>
      <c r="I63" s="97"/>
      <c r="J63" s="97"/>
      <c r="K63" s="97"/>
      <c r="L63" s="97"/>
      <c r="M63" s="97"/>
      <c r="N63" s="98" t="s">
        <v>11</v>
      </c>
      <c r="O63" s="98"/>
      <c r="P63" s="96">
        <f>CEILING(P62*0.95,0.5)</f>
        <v>166.5</v>
      </c>
      <c r="Q63" s="96"/>
      <c r="R63" s="96"/>
      <c r="S63" s="96"/>
      <c r="T63" s="96">
        <f>CEILING(T62*0.95,0.5)</f>
        <v>182.5</v>
      </c>
      <c r="U63" s="96"/>
      <c r="V63" s="96"/>
      <c r="W63" s="96"/>
      <c r="X63" s="96">
        <f>CEILING(X62*0.95,0.5)</f>
        <v>199.5</v>
      </c>
      <c r="Y63" s="96"/>
      <c r="Z63" s="96"/>
      <c r="AA63" s="96"/>
      <c r="AB63" s="96">
        <f>CEILING(AB62*0.95,0.5)</f>
        <v>215.5</v>
      </c>
      <c r="AC63" s="96"/>
      <c r="AD63" s="96"/>
      <c r="AE63" s="96"/>
      <c r="AG63" s="44"/>
      <c r="AK63" s="44"/>
      <c r="AL63" s="27"/>
      <c r="AM63" s="27"/>
      <c r="AN63" s="27"/>
      <c r="AO63" s="28"/>
      <c r="BJ63" s="29"/>
      <c r="BK63" s="29"/>
    </row>
    <row r="64" spans="1:63" ht="16.5" customHeight="1" thickTop="1">
      <c r="A64" s="193"/>
      <c r="B64" s="193"/>
      <c r="C64" s="193"/>
      <c r="D64" s="193"/>
      <c r="E64" s="193"/>
      <c r="F64" s="165"/>
      <c r="G64" s="165"/>
      <c r="H64" s="165"/>
      <c r="I64" s="97"/>
      <c r="J64" s="97"/>
      <c r="K64" s="97"/>
      <c r="L64" s="97"/>
      <c r="M64" s="97"/>
      <c r="N64" s="98" t="s">
        <v>12</v>
      </c>
      <c r="O64" s="98"/>
      <c r="P64" s="96">
        <f>CEILING(P61*0.57+5,0.5)</f>
        <v>157.5</v>
      </c>
      <c r="Q64" s="96"/>
      <c r="R64" s="96"/>
      <c r="S64" s="96"/>
      <c r="T64" s="96">
        <f>CEILING(T61*0.57+5,0.5)</f>
        <v>175</v>
      </c>
      <c r="U64" s="96"/>
      <c r="V64" s="96"/>
      <c r="W64" s="96"/>
      <c r="X64" s="96">
        <f>CEILING(X61*0.57+5,0.5)</f>
        <v>192</v>
      </c>
      <c r="Y64" s="96"/>
      <c r="Z64" s="96"/>
      <c r="AA64" s="96"/>
      <c r="AB64" s="96">
        <f>CEILING(AB61*0.57+5,0.5)</f>
        <v>209</v>
      </c>
      <c r="AC64" s="96"/>
      <c r="AD64" s="96"/>
      <c r="AE64" s="96"/>
      <c r="AG64" s="90" t="s">
        <v>27</v>
      </c>
      <c r="AH64" s="91"/>
      <c r="AI64" s="91"/>
      <c r="AJ64" s="91"/>
      <c r="AK64" s="91"/>
      <c r="AL64" s="91"/>
      <c r="AM64" s="91"/>
      <c r="AN64" s="91"/>
      <c r="AO64" s="91"/>
      <c r="AP64" s="91"/>
      <c r="AQ64" s="91"/>
      <c r="AR64" s="91"/>
      <c r="AS64" s="91"/>
      <c r="AT64" s="91"/>
      <c r="AU64" s="91"/>
      <c r="AV64" s="91"/>
      <c r="AW64" s="91"/>
      <c r="AX64" s="91"/>
      <c r="AY64" s="91"/>
      <c r="AZ64" s="92"/>
      <c r="BJ64" s="29"/>
      <c r="BK64" s="29"/>
    </row>
    <row r="65" spans="1:63" ht="16.5" customHeight="1" thickBot="1">
      <c r="A65" s="193"/>
      <c r="B65" s="193"/>
      <c r="C65" s="193"/>
      <c r="D65" s="193"/>
      <c r="E65" s="193"/>
      <c r="F65" s="165"/>
      <c r="G65" s="165"/>
      <c r="H65" s="165"/>
      <c r="I65" s="95" t="s">
        <v>15</v>
      </c>
      <c r="J65" s="95"/>
      <c r="K65" s="95"/>
      <c r="L65" s="95"/>
      <c r="M65" s="95"/>
      <c r="N65" s="100" t="s">
        <v>58</v>
      </c>
      <c r="O65" s="100"/>
      <c r="P65" s="99">
        <f>P71+15</f>
        <v>288</v>
      </c>
      <c r="Q65" s="99"/>
      <c r="R65" s="99"/>
      <c r="S65" s="99"/>
      <c r="T65" s="99">
        <f>P65+15</f>
        <v>303</v>
      </c>
      <c r="U65" s="99"/>
      <c r="V65" s="99"/>
      <c r="W65" s="99"/>
      <c r="X65" s="99">
        <f>T65+15</f>
        <v>318</v>
      </c>
      <c r="Y65" s="99"/>
      <c r="Z65" s="99"/>
      <c r="AA65" s="99"/>
      <c r="AB65" s="99">
        <f>X65+15</f>
        <v>333</v>
      </c>
      <c r="AC65" s="99"/>
      <c r="AD65" s="99"/>
      <c r="AE65" s="99"/>
      <c r="AG65" s="85" t="s">
        <v>73</v>
      </c>
      <c r="AH65" s="86"/>
      <c r="AI65" s="86"/>
      <c r="AJ65" s="86"/>
      <c r="AK65" s="86"/>
      <c r="AL65" s="86"/>
      <c r="AM65" s="86"/>
      <c r="AN65" s="87"/>
      <c r="AO65" s="86" t="s">
        <v>74</v>
      </c>
      <c r="AP65" s="86"/>
      <c r="AQ65" s="86"/>
      <c r="AR65" s="86"/>
      <c r="AS65" s="86"/>
      <c r="AT65" s="86"/>
      <c r="AU65" s="86"/>
      <c r="AV65" s="86"/>
      <c r="AW65" s="86"/>
      <c r="AX65" s="86"/>
      <c r="AY65" s="86"/>
      <c r="AZ65" s="88"/>
    </row>
    <row r="66" spans="1:63" ht="16.5" customHeight="1" thickTop="1">
      <c r="A66" s="193"/>
      <c r="B66" s="193"/>
      <c r="C66" s="193"/>
      <c r="D66" s="193"/>
      <c r="E66" s="193"/>
      <c r="F66" s="165"/>
      <c r="G66" s="165"/>
      <c r="H66" s="165"/>
      <c r="I66" s="95"/>
      <c r="J66" s="95"/>
      <c r="K66" s="95"/>
      <c r="L66" s="95"/>
      <c r="M66" s="95"/>
      <c r="N66" s="100" t="s">
        <v>11</v>
      </c>
      <c r="O66" s="100"/>
      <c r="P66" s="99">
        <f>CEILING(P65*0.95,0.5)</f>
        <v>274</v>
      </c>
      <c r="Q66" s="99"/>
      <c r="R66" s="99"/>
      <c r="S66" s="99"/>
      <c r="T66" s="99">
        <f>CEILING(T65*0.95,0.5)</f>
        <v>288</v>
      </c>
      <c r="U66" s="99"/>
      <c r="V66" s="99"/>
      <c r="W66" s="99"/>
      <c r="X66" s="99">
        <f>CEILING(X65*0.95,0.5)</f>
        <v>302.5</v>
      </c>
      <c r="Y66" s="99"/>
      <c r="Z66" s="99"/>
      <c r="AA66" s="99"/>
      <c r="AB66" s="99">
        <f>CEILING(AB65*0.95,0.5)</f>
        <v>316.5</v>
      </c>
      <c r="AC66" s="99"/>
      <c r="AD66" s="99"/>
      <c r="AE66" s="99"/>
    </row>
    <row r="67" spans="1:63" ht="16.5" customHeight="1">
      <c r="A67" s="193"/>
      <c r="B67" s="193"/>
      <c r="C67" s="193"/>
      <c r="D67" s="193"/>
      <c r="E67" s="193"/>
      <c r="F67" s="165"/>
      <c r="G67" s="165"/>
      <c r="H67" s="165"/>
      <c r="I67" s="95"/>
      <c r="J67" s="95"/>
      <c r="K67" s="95"/>
      <c r="L67" s="95"/>
      <c r="M67" s="95"/>
      <c r="N67" s="100" t="s">
        <v>12</v>
      </c>
      <c r="O67" s="100"/>
      <c r="P67" s="99">
        <f>P73+15</f>
        <v>257.5</v>
      </c>
      <c r="Q67" s="99"/>
      <c r="R67" s="99"/>
      <c r="S67" s="99"/>
      <c r="T67" s="99">
        <f>P67+15</f>
        <v>272.5</v>
      </c>
      <c r="U67" s="99"/>
      <c r="V67" s="99"/>
      <c r="W67" s="99"/>
      <c r="X67" s="99">
        <f>T67+15</f>
        <v>287.5</v>
      </c>
      <c r="Y67" s="99"/>
      <c r="Z67" s="99"/>
      <c r="AA67" s="99"/>
      <c r="AB67" s="99">
        <f>X67+15</f>
        <v>302.5</v>
      </c>
      <c r="AC67" s="99"/>
      <c r="AD67" s="99"/>
      <c r="AE67" s="99"/>
      <c r="AG67" s="9"/>
      <c r="AH67" s="9"/>
    </row>
    <row r="68" spans="1:63" ht="16.5" customHeight="1">
      <c r="A68" s="193"/>
      <c r="B68" s="193"/>
      <c r="C68" s="193"/>
      <c r="D68" s="193"/>
      <c r="E68" s="193"/>
      <c r="F68" s="165"/>
      <c r="G68" s="165"/>
      <c r="H68" s="165"/>
      <c r="I68" s="97" t="s">
        <v>55</v>
      </c>
      <c r="J68" s="97"/>
      <c r="K68" s="97"/>
      <c r="L68" s="97"/>
      <c r="M68" s="97"/>
      <c r="N68" s="98" t="s">
        <v>10</v>
      </c>
      <c r="O68" s="98"/>
      <c r="P68" s="96">
        <f>CEILING(P65*0.57+5,0.5)</f>
        <v>169.5</v>
      </c>
      <c r="Q68" s="96"/>
      <c r="R68" s="96"/>
      <c r="S68" s="96"/>
      <c r="T68" s="96">
        <f>CEILING(T65*0.57+5,0.5)</f>
        <v>178</v>
      </c>
      <c r="U68" s="96"/>
      <c r="V68" s="96"/>
      <c r="W68" s="96"/>
      <c r="X68" s="96">
        <f>CEILING(X65*0.57+5,0.5)</f>
        <v>186.5</v>
      </c>
      <c r="Y68" s="96"/>
      <c r="Z68" s="96"/>
      <c r="AA68" s="96"/>
      <c r="AB68" s="96">
        <f>CEILING(AB65*0.57+5,0.5)</f>
        <v>195</v>
      </c>
      <c r="AC68" s="96"/>
      <c r="AD68" s="96"/>
      <c r="AE68" s="96"/>
      <c r="AF68" s="15"/>
      <c r="AG68" s="15"/>
      <c r="AH68" s="15"/>
    </row>
    <row r="69" spans="1:63" ht="16.5" customHeight="1">
      <c r="A69" s="193"/>
      <c r="B69" s="193"/>
      <c r="C69" s="193"/>
      <c r="D69" s="193"/>
      <c r="E69" s="193"/>
      <c r="F69" s="165"/>
      <c r="G69" s="165"/>
      <c r="H69" s="165"/>
      <c r="I69" s="97"/>
      <c r="J69" s="97"/>
      <c r="K69" s="97"/>
      <c r="L69" s="97"/>
      <c r="M69" s="97"/>
      <c r="N69" s="98" t="s">
        <v>11</v>
      </c>
      <c r="O69" s="98"/>
      <c r="P69" s="96">
        <f>CEILING(P68*0.95,0.5)</f>
        <v>161.5</v>
      </c>
      <c r="Q69" s="96"/>
      <c r="R69" s="96"/>
      <c r="S69" s="96"/>
      <c r="T69" s="96">
        <f>CEILING(T68*0.95,0.5)</f>
        <v>169.5</v>
      </c>
      <c r="U69" s="96"/>
      <c r="V69" s="96"/>
      <c r="W69" s="96"/>
      <c r="X69" s="96">
        <f>CEILING(X68*0.95,0.5)</f>
        <v>177.5</v>
      </c>
      <c r="Y69" s="96"/>
      <c r="Z69" s="96"/>
      <c r="AA69" s="96"/>
      <c r="AB69" s="96">
        <f>CEILING(AB68*0.95,0.5)</f>
        <v>185.5</v>
      </c>
      <c r="AC69" s="96"/>
      <c r="AD69" s="96"/>
      <c r="AE69" s="96"/>
      <c r="AF69" s="9"/>
      <c r="AG69" s="15"/>
      <c r="AH69" s="15"/>
    </row>
    <row r="70" spans="1:63" ht="16.5" customHeight="1">
      <c r="A70" s="193"/>
      <c r="B70" s="193"/>
      <c r="C70" s="193"/>
      <c r="D70" s="193"/>
      <c r="E70" s="193"/>
      <c r="F70" s="165"/>
      <c r="G70" s="165"/>
      <c r="H70" s="165"/>
      <c r="I70" s="97"/>
      <c r="J70" s="97"/>
      <c r="K70" s="97"/>
      <c r="L70" s="97"/>
      <c r="M70" s="97"/>
      <c r="N70" s="98" t="s">
        <v>12</v>
      </c>
      <c r="O70" s="98"/>
      <c r="P70" s="96">
        <f>CEILING(P67*0.57+5,0.5)</f>
        <v>152</v>
      </c>
      <c r="Q70" s="96"/>
      <c r="R70" s="96"/>
      <c r="S70" s="96"/>
      <c r="T70" s="96">
        <f>CEILING(T67*0.57+5,0.5)</f>
        <v>160.5</v>
      </c>
      <c r="U70" s="96"/>
      <c r="V70" s="96"/>
      <c r="W70" s="96"/>
      <c r="X70" s="96">
        <f>CEILING(X67*0.57+5,0.5)</f>
        <v>169</v>
      </c>
      <c r="Y70" s="96"/>
      <c r="Z70" s="96"/>
      <c r="AA70" s="96"/>
      <c r="AB70" s="96">
        <f>CEILING(AB67*0.57+5,0.5)</f>
        <v>177.5</v>
      </c>
      <c r="AC70" s="96"/>
      <c r="AD70" s="96"/>
      <c r="AE70" s="96"/>
      <c r="AF70" s="15"/>
      <c r="AG70" s="15"/>
      <c r="AH70" s="15"/>
    </row>
    <row r="71" spans="1:63" ht="16.5" customHeight="1">
      <c r="A71" s="193"/>
      <c r="B71" s="193"/>
      <c r="C71" s="193"/>
      <c r="D71" s="193"/>
      <c r="E71" s="193"/>
      <c r="F71" s="165"/>
      <c r="G71" s="165"/>
      <c r="H71" s="165"/>
      <c r="I71" s="95" t="s">
        <v>18</v>
      </c>
      <c r="J71" s="95"/>
      <c r="K71" s="95"/>
      <c r="L71" s="95"/>
      <c r="M71" s="95"/>
      <c r="N71" s="100" t="s">
        <v>10</v>
      </c>
      <c r="O71" s="100"/>
      <c r="P71" s="101">
        <f>CEILING(210*1.3,0.5)</f>
        <v>273</v>
      </c>
      <c r="Q71" s="101"/>
      <c r="R71" s="101"/>
      <c r="S71" s="101"/>
      <c r="T71" s="99">
        <f>P71+10</f>
        <v>283</v>
      </c>
      <c r="U71" s="99"/>
      <c r="V71" s="99"/>
      <c r="W71" s="99"/>
      <c r="X71" s="99">
        <f>T71+10</f>
        <v>293</v>
      </c>
      <c r="Y71" s="99"/>
      <c r="Z71" s="99"/>
      <c r="AA71" s="99"/>
      <c r="AB71" s="99">
        <f>X71+10</f>
        <v>303</v>
      </c>
      <c r="AC71" s="99"/>
      <c r="AD71" s="99"/>
      <c r="AE71" s="99"/>
      <c r="AF71" s="15"/>
      <c r="AG71" s="15"/>
      <c r="AH71" s="15"/>
    </row>
    <row r="72" spans="1:63" ht="16.5" customHeight="1">
      <c r="A72" s="193"/>
      <c r="B72" s="193"/>
      <c r="C72" s="193"/>
      <c r="D72" s="193"/>
      <c r="E72" s="193"/>
      <c r="F72" s="165"/>
      <c r="G72" s="165"/>
      <c r="H72" s="165"/>
      <c r="I72" s="95"/>
      <c r="J72" s="95"/>
      <c r="K72" s="95"/>
      <c r="L72" s="95"/>
      <c r="M72" s="95"/>
      <c r="N72" s="100" t="s">
        <v>11</v>
      </c>
      <c r="O72" s="100"/>
      <c r="P72" s="99">
        <f>CEILING(P71*0.95,0.5)</f>
        <v>259.5</v>
      </c>
      <c r="Q72" s="99"/>
      <c r="R72" s="99"/>
      <c r="S72" s="99"/>
      <c r="T72" s="99">
        <f>CEILING(T71*0.95,0.5)</f>
        <v>269</v>
      </c>
      <c r="U72" s="99"/>
      <c r="V72" s="99"/>
      <c r="W72" s="99"/>
      <c r="X72" s="99">
        <f>CEILING(X71*0.95,0.5)</f>
        <v>278.5</v>
      </c>
      <c r="Y72" s="99"/>
      <c r="Z72" s="99"/>
      <c r="AA72" s="99"/>
      <c r="AB72" s="99">
        <f>CEILING(AB71*0.95,0.5)</f>
        <v>288</v>
      </c>
      <c r="AC72" s="99"/>
      <c r="AD72" s="99"/>
      <c r="AE72" s="99"/>
      <c r="AF72" s="15"/>
    </row>
    <row r="73" spans="1:63" ht="16.5" customHeight="1">
      <c r="A73" s="193"/>
      <c r="B73" s="193"/>
      <c r="C73" s="193"/>
      <c r="D73" s="193"/>
      <c r="E73" s="193"/>
      <c r="F73" s="165"/>
      <c r="G73" s="165"/>
      <c r="H73" s="165"/>
      <c r="I73" s="95"/>
      <c r="J73" s="95"/>
      <c r="K73" s="95"/>
      <c r="L73" s="95"/>
      <c r="M73" s="95"/>
      <c r="N73" s="100" t="s">
        <v>12</v>
      </c>
      <c r="O73" s="100"/>
      <c r="P73" s="101">
        <f>CEILING(186.5*1.3,0.5)</f>
        <v>242.5</v>
      </c>
      <c r="Q73" s="101"/>
      <c r="R73" s="101"/>
      <c r="S73" s="101"/>
      <c r="T73" s="99">
        <f>P73+10</f>
        <v>252.5</v>
      </c>
      <c r="U73" s="99"/>
      <c r="V73" s="99"/>
      <c r="W73" s="99"/>
      <c r="X73" s="99">
        <f>T73+10</f>
        <v>262.5</v>
      </c>
      <c r="Y73" s="99"/>
      <c r="Z73" s="99"/>
      <c r="AA73" s="99"/>
      <c r="AB73" s="99">
        <f>X73+10</f>
        <v>272.5</v>
      </c>
      <c r="AC73" s="99"/>
      <c r="AD73" s="99"/>
      <c r="AE73" s="99"/>
      <c r="AF73" s="15"/>
    </row>
    <row r="74" spans="1:63" ht="16.5" customHeight="1">
      <c r="A74" s="193"/>
      <c r="B74" s="193"/>
      <c r="C74" s="193"/>
      <c r="D74" s="193"/>
      <c r="E74" s="193"/>
      <c r="F74" s="165"/>
      <c r="G74" s="165"/>
      <c r="H74" s="165"/>
      <c r="I74" s="97" t="s">
        <v>64</v>
      </c>
      <c r="J74" s="97"/>
      <c r="K74" s="97"/>
      <c r="L74" s="97"/>
      <c r="M74" s="97"/>
      <c r="N74" s="98" t="s">
        <v>58</v>
      </c>
      <c r="O74" s="98"/>
      <c r="P74" s="96">
        <f>CEILING(P71*0.57+5,0.5)</f>
        <v>161</v>
      </c>
      <c r="Q74" s="96"/>
      <c r="R74" s="96"/>
      <c r="S74" s="96"/>
      <c r="T74" s="96">
        <f>CEILING(T71*0.57+5,0.5)</f>
        <v>166.5</v>
      </c>
      <c r="U74" s="96"/>
      <c r="V74" s="96"/>
      <c r="W74" s="96"/>
      <c r="X74" s="96">
        <f>CEILING(X71*0.57+5,0.5)</f>
        <v>172.5</v>
      </c>
      <c r="Y74" s="96"/>
      <c r="Z74" s="96"/>
      <c r="AA74" s="96"/>
      <c r="AB74" s="96">
        <f>CEILING(AB71*0.57+5,0.5)</f>
        <v>178</v>
      </c>
      <c r="AC74" s="96"/>
      <c r="AD74" s="96"/>
      <c r="AE74" s="96"/>
    </row>
    <row r="75" spans="1:63" ht="16.5" customHeight="1">
      <c r="A75" s="193"/>
      <c r="B75" s="193"/>
      <c r="C75" s="193"/>
      <c r="D75" s="193"/>
      <c r="E75" s="193"/>
      <c r="F75" s="165"/>
      <c r="G75" s="165"/>
      <c r="H75" s="165"/>
      <c r="I75" s="97"/>
      <c r="J75" s="97"/>
      <c r="K75" s="97"/>
      <c r="L75" s="97"/>
      <c r="M75" s="97"/>
      <c r="N75" s="98" t="s">
        <v>11</v>
      </c>
      <c r="O75" s="98"/>
      <c r="P75" s="96">
        <f>CEILING(P74*0.95,0.5)</f>
        <v>153</v>
      </c>
      <c r="Q75" s="96"/>
      <c r="R75" s="96"/>
      <c r="S75" s="96"/>
      <c r="T75" s="96">
        <f>CEILING(T74*0.95,0.5)</f>
        <v>158.5</v>
      </c>
      <c r="U75" s="96"/>
      <c r="V75" s="96"/>
      <c r="W75" s="96"/>
      <c r="X75" s="96">
        <f>CEILING(X74*0.95,0.5)</f>
        <v>164</v>
      </c>
      <c r="Y75" s="96"/>
      <c r="Z75" s="96"/>
      <c r="AA75" s="96"/>
      <c r="AB75" s="96">
        <f>CEILING(AB74*0.95,0.5)</f>
        <v>169.5</v>
      </c>
      <c r="AC75" s="96"/>
      <c r="AD75" s="96"/>
      <c r="AE75" s="96"/>
      <c r="AG75" s="46"/>
      <c r="AH75" s="46"/>
      <c r="AI75" s="46"/>
      <c r="AJ75" s="46"/>
      <c r="AK75" s="46"/>
      <c r="AL75" s="46"/>
      <c r="AM75" s="46"/>
      <c r="AN75" s="46"/>
      <c r="AO75" s="46"/>
    </row>
    <row r="76" spans="1:63" ht="16.5" customHeight="1">
      <c r="A76" s="193"/>
      <c r="B76" s="193"/>
      <c r="C76" s="193"/>
      <c r="D76" s="193"/>
      <c r="E76" s="193"/>
      <c r="F76" s="165"/>
      <c r="G76" s="165"/>
      <c r="H76" s="165"/>
      <c r="I76" s="97"/>
      <c r="J76" s="97"/>
      <c r="K76" s="97"/>
      <c r="L76" s="97"/>
      <c r="M76" s="97"/>
      <c r="N76" s="98" t="s">
        <v>12</v>
      </c>
      <c r="O76" s="98"/>
      <c r="P76" s="96">
        <f>CEILING(P73*0.57+5,0.5)</f>
        <v>143.5</v>
      </c>
      <c r="Q76" s="96"/>
      <c r="R76" s="96"/>
      <c r="S76" s="96"/>
      <c r="T76" s="96">
        <f>CEILING(T73*0.57+5,0.5)</f>
        <v>149</v>
      </c>
      <c r="U76" s="96"/>
      <c r="V76" s="96"/>
      <c r="W76" s="96"/>
      <c r="X76" s="96">
        <f>CEILING(X73*0.57+5,0.5)</f>
        <v>155</v>
      </c>
      <c r="Y76" s="96"/>
      <c r="Z76" s="96"/>
      <c r="AA76" s="96"/>
      <c r="AB76" s="96">
        <f>CEILING(AB73*0.57+5,0.5)</f>
        <v>160.5</v>
      </c>
      <c r="AC76" s="96"/>
      <c r="AD76" s="96"/>
      <c r="AE76" s="96"/>
      <c r="AG76" s="46"/>
      <c r="AH76" s="46"/>
      <c r="AI76" s="46"/>
      <c r="AJ76" s="46"/>
      <c r="AK76" s="46"/>
      <c r="AL76" s="46"/>
      <c r="AM76" s="46"/>
      <c r="AN76" s="46"/>
      <c r="AO76" s="46"/>
    </row>
    <row r="77" spans="1:63" ht="16.5" customHeight="1">
      <c r="A77" s="193"/>
      <c r="B77" s="193"/>
      <c r="C77" s="193"/>
      <c r="D77" s="193"/>
      <c r="E77" s="193"/>
      <c r="F77" s="165"/>
      <c r="G77" s="165"/>
      <c r="H77" s="165"/>
      <c r="I77" s="82" t="s">
        <v>21</v>
      </c>
      <c r="J77" s="82"/>
      <c r="K77" s="82"/>
      <c r="L77" s="82"/>
      <c r="M77" s="82"/>
      <c r="N77" s="84" t="s">
        <v>10</v>
      </c>
      <c r="O77" s="84"/>
      <c r="P77" s="83">
        <f>P71-4</f>
        <v>269</v>
      </c>
      <c r="Q77" s="83"/>
      <c r="R77" s="83"/>
      <c r="S77" s="83"/>
      <c r="T77" s="83">
        <f>P77+8</f>
        <v>277</v>
      </c>
      <c r="U77" s="83"/>
      <c r="V77" s="83"/>
      <c r="W77" s="83"/>
      <c r="X77" s="83">
        <f>T77+8</f>
        <v>285</v>
      </c>
      <c r="Y77" s="83"/>
      <c r="Z77" s="83"/>
      <c r="AA77" s="83"/>
      <c r="AB77" s="83">
        <f>X77+8</f>
        <v>293</v>
      </c>
      <c r="AC77" s="83"/>
      <c r="AD77" s="83"/>
      <c r="AE77" s="83"/>
      <c r="AF77" s="46"/>
      <c r="AG77" s="46"/>
      <c r="AH77" s="46"/>
      <c r="AI77" s="46"/>
      <c r="AJ77" s="46"/>
      <c r="AK77" s="46"/>
      <c r="AL77" s="46"/>
      <c r="AM77" s="46"/>
      <c r="AN77" s="46"/>
      <c r="AO77" s="46"/>
      <c r="BJ77" s="46"/>
      <c r="BK77" s="46"/>
    </row>
    <row r="78" spans="1:63" ht="16.5" customHeight="1">
      <c r="A78" s="193"/>
      <c r="B78" s="193"/>
      <c r="C78" s="193"/>
      <c r="D78" s="193"/>
      <c r="E78" s="193"/>
      <c r="F78" s="165"/>
      <c r="G78" s="165"/>
      <c r="H78" s="165"/>
      <c r="I78" s="82"/>
      <c r="J78" s="82"/>
      <c r="K78" s="82"/>
      <c r="L78" s="82"/>
      <c r="M78" s="82"/>
      <c r="N78" s="84" t="s">
        <v>11</v>
      </c>
      <c r="O78" s="84"/>
      <c r="P78" s="83">
        <f>CEILING(P77*0.95,0.5)</f>
        <v>256</v>
      </c>
      <c r="Q78" s="83"/>
      <c r="R78" s="83"/>
      <c r="S78" s="83"/>
      <c r="T78" s="83">
        <f>CEILING(T77*0.95,0.5)</f>
        <v>263.5</v>
      </c>
      <c r="U78" s="83"/>
      <c r="V78" s="83"/>
      <c r="W78" s="83"/>
      <c r="X78" s="83">
        <f>CEILING(X77*0.95,0.5)</f>
        <v>271</v>
      </c>
      <c r="Y78" s="83"/>
      <c r="Z78" s="83"/>
      <c r="AA78" s="83"/>
      <c r="AB78" s="83">
        <f>CEILING(AB77*0.95,0.5)</f>
        <v>278.5</v>
      </c>
      <c r="AC78" s="83"/>
      <c r="AD78" s="83"/>
      <c r="AE78" s="83"/>
      <c r="AF78" s="46"/>
      <c r="AG78" s="46"/>
      <c r="AH78" s="46"/>
      <c r="AI78" s="46"/>
      <c r="AJ78" s="46"/>
      <c r="AK78" s="46"/>
      <c r="AL78" s="46"/>
      <c r="AM78" s="46"/>
      <c r="AN78" s="46"/>
      <c r="AO78" s="46"/>
      <c r="BJ78" s="46"/>
      <c r="BK78" s="46"/>
    </row>
    <row r="79" spans="1:63" ht="16.5" customHeight="1">
      <c r="A79" s="193"/>
      <c r="B79" s="193"/>
      <c r="C79" s="193"/>
      <c r="D79" s="193"/>
      <c r="E79" s="193"/>
      <c r="F79" s="165"/>
      <c r="G79" s="165"/>
      <c r="H79" s="165"/>
      <c r="I79" s="82"/>
      <c r="J79" s="82"/>
      <c r="K79" s="82"/>
      <c r="L79" s="82"/>
      <c r="M79" s="82"/>
      <c r="N79" s="84" t="s">
        <v>12</v>
      </c>
      <c r="O79" s="84"/>
      <c r="P79" s="83">
        <f>P73-4</f>
        <v>238.5</v>
      </c>
      <c r="Q79" s="83"/>
      <c r="R79" s="83"/>
      <c r="S79" s="83"/>
      <c r="T79" s="83">
        <f>P79+8</f>
        <v>246.5</v>
      </c>
      <c r="U79" s="83"/>
      <c r="V79" s="83"/>
      <c r="W79" s="83"/>
      <c r="X79" s="83">
        <f>T79+8</f>
        <v>254.5</v>
      </c>
      <c r="Y79" s="83"/>
      <c r="Z79" s="83"/>
      <c r="AA79" s="83"/>
      <c r="AB79" s="83">
        <f>X79+8</f>
        <v>262.5</v>
      </c>
      <c r="AC79" s="83"/>
      <c r="AD79" s="83"/>
      <c r="AE79" s="83"/>
      <c r="AF79" s="46"/>
      <c r="AG79" s="46"/>
      <c r="AH79" s="46"/>
      <c r="AI79" s="46"/>
      <c r="AJ79" s="46"/>
      <c r="AK79" s="46"/>
      <c r="AL79" s="46"/>
      <c r="AM79" s="46"/>
      <c r="AN79" s="46"/>
      <c r="AO79" s="46"/>
      <c r="BJ79" s="46"/>
      <c r="BK79" s="46"/>
    </row>
    <row r="80" spans="1:63" ht="16.5" customHeight="1">
      <c r="A80" s="193"/>
      <c r="B80" s="193"/>
      <c r="C80" s="193"/>
      <c r="D80" s="193"/>
      <c r="E80" s="193"/>
      <c r="F80" s="165"/>
      <c r="G80" s="165"/>
      <c r="H80" s="165"/>
      <c r="I80" s="80" t="s">
        <v>75</v>
      </c>
      <c r="J80" s="80"/>
      <c r="K80" s="80"/>
      <c r="L80" s="80"/>
      <c r="M80" s="80"/>
      <c r="N80" s="81" t="s">
        <v>58</v>
      </c>
      <c r="O80" s="81"/>
      <c r="P80" s="89">
        <f>CEILING(P77*0.57+5,0.5)</f>
        <v>158.5</v>
      </c>
      <c r="Q80" s="89"/>
      <c r="R80" s="89"/>
      <c r="S80" s="89"/>
      <c r="T80" s="89">
        <f>CEILING(T77*0.57+5,0.5)</f>
        <v>163</v>
      </c>
      <c r="U80" s="89"/>
      <c r="V80" s="89"/>
      <c r="W80" s="89"/>
      <c r="X80" s="89">
        <f>CEILING(X77*0.57+5,0.5)</f>
        <v>167.5</v>
      </c>
      <c r="Y80" s="89"/>
      <c r="Z80" s="89"/>
      <c r="AA80" s="89"/>
      <c r="AB80" s="89">
        <f>CEILING(AB77*0.57+5,0.5)</f>
        <v>172.5</v>
      </c>
      <c r="AC80" s="89"/>
      <c r="AD80" s="89"/>
      <c r="AE80" s="89"/>
      <c r="AF80" s="46"/>
      <c r="AG80" s="46"/>
      <c r="AH80" s="46"/>
      <c r="AI80" s="46"/>
      <c r="AJ80" s="46"/>
      <c r="AK80" s="46"/>
      <c r="AL80" s="46"/>
      <c r="AM80" s="46"/>
      <c r="AN80" s="46"/>
      <c r="AO80" s="46"/>
      <c r="BJ80" s="46"/>
      <c r="BK80" s="46"/>
    </row>
    <row r="81" spans="1:63" ht="16.5" customHeight="1">
      <c r="A81" s="193"/>
      <c r="B81" s="193"/>
      <c r="C81" s="193"/>
      <c r="D81" s="193"/>
      <c r="E81" s="193"/>
      <c r="F81" s="165"/>
      <c r="G81" s="165"/>
      <c r="H81" s="165"/>
      <c r="I81" s="80"/>
      <c r="J81" s="80"/>
      <c r="K81" s="80"/>
      <c r="L81" s="80"/>
      <c r="M81" s="80"/>
      <c r="N81" s="81" t="s">
        <v>11</v>
      </c>
      <c r="O81" s="81"/>
      <c r="P81" s="89">
        <f>CEILING(P80*0.95,0.5)</f>
        <v>151</v>
      </c>
      <c r="Q81" s="89"/>
      <c r="R81" s="89"/>
      <c r="S81" s="89"/>
      <c r="T81" s="89">
        <f>CEILING(T80*0.95,0.5)</f>
        <v>155</v>
      </c>
      <c r="U81" s="89"/>
      <c r="V81" s="89"/>
      <c r="W81" s="89"/>
      <c r="X81" s="89">
        <f>CEILING(X80*0.95,0.5)</f>
        <v>159.5</v>
      </c>
      <c r="Y81" s="89"/>
      <c r="Z81" s="89"/>
      <c r="AA81" s="89"/>
      <c r="AB81" s="89">
        <f>CEILING(AB80*0.95,0.5)</f>
        <v>164</v>
      </c>
      <c r="AC81" s="89"/>
      <c r="AD81" s="89"/>
      <c r="AE81" s="89"/>
      <c r="AF81" s="46"/>
      <c r="BJ81" s="46"/>
      <c r="BK81" s="46"/>
    </row>
    <row r="82" spans="1:63" ht="16.5" customHeight="1">
      <c r="A82" s="193"/>
      <c r="B82" s="193"/>
      <c r="C82" s="193"/>
      <c r="D82" s="193"/>
      <c r="E82" s="193"/>
      <c r="F82" s="167"/>
      <c r="G82" s="167"/>
      <c r="H82" s="167"/>
      <c r="I82" s="80"/>
      <c r="J82" s="80"/>
      <c r="K82" s="80"/>
      <c r="L82" s="80"/>
      <c r="M82" s="80"/>
      <c r="N82" s="81" t="s">
        <v>12</v>
      </c>
      <c r="O82" s="81"/>
      <c r="P82" s="89">
        <f>CEILING(P79*0.57+5,0.5)</f>
        <v>141</v>
      </c>
      <c r="Q82" s="89"/>
      <c r="R82" s="89"/>
      <c r="S82" s="89"/>
      <c r="T82" s="89">
        <f>CEILING(T79*0.57+5,0.5)</f>
        <v>146</v>
      </c>
      <c r="U82" s="89"/>
      <c r="V82" s="89"/>
      <c r="W82" s="89"/>
      <c r="X82" s="89">
        <f>CEILING(X79*0.57+5,0.5)</f>
        <v>150.5</v>
      </c>
      <c r="Y82" s="89"/>
      <c r="Z82" s="89"/>
      <c r="AA82" s="89"/>
      <c r="AB82" s="89">
        <f>CEILING(AB79*0.57+5,0.5)</f>
        <v>155</v>
      </c>
      <c r="AC82" s="89"/>
      <c r="AD82" s="89"/>
      <c r="AE82" s="89"/>
      <c r="AF82" s="46"/>
      <c r="BJ82" s="46"/>
      <c r="BK82" s="46"/>
    </row>
    <row r="83" spans="1:63" ht="16.5" customHeight="1"/>
    <row r="84" spans="1:63" ht="16.5" customHeight="1"/>
    <row r="85" spans="1:63" ht="16.5" customHeight="1"/>
    <row r="86" spans="1:63" ht="16.5" customHeight="1"/>
    <row r="87" spans="1:63" ht="16.5" customHeight="1"/>
    <row r="88" spans="1:63" ht="16.5" customHeight="1"/>
    <row r="89" spans="1:63" ht="16.5" customHeight="1"/>
    <row r="90" spans="1:63" ht="16.5" customHeight="1"/>
    <row r="91" spans="1:63" ht="16.5" customHeight="1"/>
    <row r="92" spans="1:63" ht="16.5" customHeight="1"/>
    <row r="93" spans="1:63" ht="16.5" customHeight="1"/>
    <row r="94" spans="1:63" ht="16.5" customHeight="1"/>
    <row r="95" spans="1:63" ht="16.5" customHeight="1"/>
    <row r="96" spans="1:63"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sheetData>
  <mergeCells count="431">
    <mergeCell ref="AB81:AE81"/>
    <mergeCell ref="N82:O82"/>
    <mergeCell ref="P82:S82"/>
    <mergeCell ref="T82:W82"/>
    <mergeCell ref="X82:AA82"/>
    <mergeCell ref="AB82:AE82"/>
    <mergeCell ref="I80:M82"/>
    <mergeCell ref="N80:O80"/>
    <mergeCell ref="P80:S80"/>
    <mergeCell ref="T80:W80"/>
    <mergeCell ref="X80:AA80"/>
    <mergeCell ref="AB80:AE80"/>
    <mergeCell ref="N81:O81"/>
    <mergeCell ref="P81:S81"/>
    <mergeCell ref="T81:W81"/>
    <mergeCell ref="X81:AA81"/>
    <mergeCell ref="AB78:AE78"/>
    <mergeCell ref="N79:O79"/>
    <mergeCell ref="P79:S79"/>
    <mergeCell ref="T79:W79"/>
    <mergeCell ref="X79:AA79"/>
    <mergeCell ref="AB79:AE79"/>
    <mergeCell ref="I77:M79"/>
    <mergeCell ref="N77:O77"/>
    <mergeCell ref="P77:S77"/>
    <mergeCell ref="T77:W77"/>
    <mergeCell ref="X77:AA77"/>
    <mergeCell ref="AB77:AE77"/>
    <mergeCell ref="N78:O78"/>
    <mergeCell ref="P78:S78"/>
    <mergeCell ref="T78:W78"/>
    <mergeCell ref="X78:AA78"/>
    <mergeCell ref="AB75:AE75"/>
    <mergeCell ref="N76:O76"/>
    <mergeCell ref="P76:S76"/>
    <mergeCell ref="T76:W76"/>
    <mergeCell ref="X76:AA76"/>
    <mergeCell ref="AB76:AE76"/>
    <mergeCell ref="I74:M76"/>
    <mergeCell ref="N74:O74"/>
    <mergeCell ref="P74:S74"/>
    <mergeCell ref="T74:W74"/>
    <mergeCell ref="X74:AA74"/>
    <mergeCell ref="AB74:AE74"/>
    <mergeCell ref="N75:O75"/>
    <mergeCell ref="P75:S75"/>
    <mergeCell ref="T75:W75"/>
    <mergeCell ref="X75:AA75"/>
    <mergeCell ref="AB72:AE72"/>
    <mergeCell ref="N73:O73"/>
    <mergeCell ref="P73:S73"/>
    <mergeCell ref="T73:W73"/>
    <mergeCell ref="X73:AA73"/>
    <mergeCell ref="AB73:AE73"/>
    <mergeCell ref="I71:M73"/>
    <mergeCell ref="N71:O71"/>
    <mergeCell ref="P71:S71"/>
    <mergeCell ref="T71:W71"/>
    <mergeCell ref="X71:AA71"/>
    <mergeCell ref="AB71:AE71"/>
    <mergeCell ref="N72:O72"/>
    <mergeCell ref="P72:S72"/>
    <mergeCell ref="T72:W72"/>
    <mergeCell ref="X72:AA72"/>
    <mergeCell ref="AB67:AE67"/>
    <mergeCell ref="AG65:AN65"/>
    <mergeCell ref="AO65:AZ65"/>
    <mergeCell ref="I68:M70"/>
    <mergeCell ref="N68:O68"/>
    <mergeCell ref="P68:S68"/>
    <mergeCell ref="T68:W68"/>
    <mergeCell ref="X68:AA68"/>
    <mergeCell ref="AB68:AE68"/>
    <mergeCell ref="N69:O69"/>
    <mergeCell ref="I65:M67"/>
    <mergeCell ref="N67:O67"/>
    <mergeCell ref="P67:S67"/>
    <mergeCell ref="T67:W67"/>
    <mergeCell ref="X67:AA67"/>
    <mergeCell ref="P69:S69"/>
    <mergeCell ref="T69:W69"/>
    <mergeCell ref="X69:AA69"/>
    <mergeCell ref="AB69:AE69"/>
    <mergeCell ref="N70:O70"/>
    <mergeCell ref="P70:S70"/>
    <mergeCell ref="T70:W70"/>
    <mergeCell ref="X70:AA70"/>
    <mergeCell ref="AB70:AE70"/>
    <mergeCell ref="AG64:AZ64"/>
    <mergeCell ref="AB62:AE62"/>
    <mergeCell ref="N63:O63"/>
    <mergeCell ref="P63:S63"/>
    <mergeCell ref="T63:W63"/>
    <mergeCell ref="X63:AA63"/>
    <mergeCell ref="AB63:AE63"/>
    <mergeCell ref="N66:O66"/>
    <mergeCell ref="P66:S66"/>
    <mergeCell ref="T66:W66"/>
    <mergeCell ref="X66:AA66"/>
    <mergeCell ref="AB66:AE66"/>
    <mergeCell ref="N65:O65"/>
    <mergeCell ref="P65:S65"/>
    <mergeCell ref="T65:W65"/>
    <mergeCell ref="X65:AA65"/>
    <mergeCell ref="AB65:AE65"/>
    <mergeCell ref="N61:O61"/>
    <mergeCell ref="P61:S61"/>
    <mergeCell ref="T61:W61"/>
    <mergeCell ref="X61:AA61"/>
    <mergeCell ref="AB61:AE61"/>
    <mergeCell ref="I62:M64"/>
    <mergeCell ref="N62:O62"/>
    <mergeCell ref="P62:S62"/>
    <mergeCell ref="T62:W62"/>
    <mergeCell ref="X62:AA62"/>
    <mergeCell ref="N64:O64"/>
    <mergeCell ref="P64:S64"/>
    <mergeCell ref="T64:W64"/>
    <mergeCell ref="X64:AA64"/>
    <mergeCell ref="AB64:AE64"/>
    <mergeCell ref="BD33:BG33"/>
    <mergeCell ref="BH33:BK33"/>
    <mergeCell ref="A59:E82"/>
    <mergeCell ref="F59:H82"/>
    <mergeCell ref="I59:M61"/>
    <mergeCell ref="N59:O59"/>
    <mergeCell ref="P59:S59"/>
    <mergeCell ref="T59:W59"/>
    <mergeCell ref="N33:O33"/>
    <mergeCell ref="P33:S33"/>
    <mergeCell ref="T33:W33"/>
    <mergeCell ref="X33:AA33"/>
    <mergeCell ref="AB33:AE33"/>
    <mergeCell ref="AT33:AU33"/>
    <mergeCell ref="I31:M33"/>
    <mergeCell ref="X59:AA59"/>
    <mergeCell ref="AB59:AE59"/>
    <mergeCell ref="N60:O60"/>
    <mergeCell ref="P60:S60"/>
    <mergeCell ref="T60:W60"/>
    <mergeCell ref="X60:AA60"/>
    <mergeCell ref="AB60:AE60"/>
    <mergeCell ref="AV33:AY33"/>
    <mergeCell ref="AZ33:BC33"/>
    <mergeCell ref="N32:O32"/>
    <mergeCell ref="P32:S32"/>
    <mergeCell ref="T32:W32"/>
    <mergeCell ref="X32:AA32"/>
    <mergeCell ref="AB32:AE32"/>
    <mergeCell ref="AT32:AU32"/>
    <mergeCell ref="AO31:AS33"/>
    <mergeCell ref="AT31:AU31"/>
    <mergeCell ref="AV31:AY31"/>
    <mergeCell ref="N31:O31"/>
    <mergeCell ref="P31:S31"/>
    <mergeCell ref="T31:W31"/>
    <mergeCell ref="X31:AA31"/>
    <mergeCell ref="AB31:AE31"/>
    <mergeCell ref="AZ31:BC31"/>
    <mergeCell ref="BD31:BG31"/>
    <mergeCell ref="BH31:BK31"/>
    <mergeCell ref="AV32:AY32"/>
    <mergeCell ref="AZ32:BC32"/>
    <mergeCell ref="BD32:BG32"/>
    <mergeCell ref="BH32:BK32"/>
    <mergeCell ref="AV30:AY30"/>
    <mergeCell ref="AZ30:BC30"/>
    <mergeCell ref="BD30:BG30"/>
    <mergeCell ref="BH30:BK30"/>
    <mergeCell ref="AT30:AU30"/>
    <mergeCell ref="N29:O29"/>
    <mergeCell ref="P29:S29"/>
    <mergeCell ref="T29:W29"/>
    <mergeCell ref="X29:AA29"/>
    <mergeCell ref="AB29:AE29"/>
    <mergeCell ref="AT29:AU29"/>
    <mergeCell ref="AO28:AS30"/>
    <mergeCell ref="AT28:AU28"/>
    <mergeCell ref="AV28:AY28"/>
    <mergeCell ref="AZ28:BC28"/>
    <mergeCell ref="BD28:BG28"/>
    <mergeCell ref="BH28:BK28"/>
    <mergeCell ref="AV29:AY29"/>
    <mergeCell ref="AZ29:BC29"/>
    <mergeCell ref="BD29:BG29"/>
    <mergeCell ref="BH29:BK29"/>
    <mergeCell ref="AV27:AY27"/>
    <mergeCell ref="AZ27:BC27"/>
    <mergeCell ref="BD27:BG27"/>
    <mergeCell ref="BH27:BK27"/>
    <mergeCell ref="I28:M30"/>
    <mergeCell ref="N28:O28"/>
    <mergeCell ref="P28:S28"/>
    <mergeCell ref="T28:W28"/>
    <mergeCell ref="X28:AA28"/>
    <mergeCell ref="AB28:AE28"/>
    <mergeCell ref="N27:O27"/>
    <mergeCell ref="P27:S27"/>
    <mergeCell ref="T27:W27"/>
    <mergeCell ref="X27:AA27"/>
    <mergeCell ref="AB27:AE27"/>
    <mergeCell ref="I25:M27"/>
    <mergeCell ref="N30:O30"/>
    <mergeCell ref="P30:S30"/>
    <mergeCell ref="T30:W30"/>
    <mergeCell ref="X30:AA30"/>
    <mergeCell ref="AB30:AE30"/>
    <mergeCell ref="AT27:AU27"/>
    <mergeCell ref="N26:O26"/>
    <mergeCell ref="P26:S26"/>
    <mergeCell ref="T26:W26"/>
    <mergeCell ref="X26:AA26"/>
    <mergeCell ref="AB26:AE26"/>
    <mergeCell ref="AT26:AU26"/>
    <mergeCell ref="AO25:AS27"/>
    <mergeCell ref="AT25:AU25"/>
    <mergeCell ref="N25:O25"/>
    <mergeCell ref="P25:S25"/>
    <mergeCell ref="T25:W25"/>
    <mergeCell ref="X25:AA25"/>
    <mergeCell ref="AB25:AE25"/>
    <mergeCell ref="AV25:AY25"/>
    <mergeCell ref="AZ25:BC25"/>
    <mergeCell ref="BD25:BG25"/>
    <mergeCell ref="BH25:BK25"/>
    <mergeCell ref="AV26:AY26"/>
    <mergeCell ref="AZ26:BC26"/>
    <mergeCell ref="BD26:BG26"/>
    <mergeCell ref="BH26:BK26"/>
    <mergeCell ref="AV24:AY24"/>
    <mergeCell ref="AZ24:BC24"/>
    <mergeCell ref="BD24:BG24"/>
    <mergeCell ref="BH24:BK24"/>
    <mergeCell ref="AT24:AU24"/>
    <mergeCell ref="N23:O23"/>
    <mergeCell ref="P23:S23"/>
    <mergeCell ref="T23:W23"/>
    <mergeCell ref="X23:AA23"/>
    <mergeCell ref="AB23:AE23"/>
    <mergeCell ref="AT23:AU23"/>
    <mergeCell ref="AO22:AS24"/>
    <mergeCell ref="AT22:AU22"/>
    <mergeCell ref="AV22:AY22"/>
    <mergeCell ref="AZ22:BC22"/>
    <mergeCell ref="BD22:BG22"/>
    <mergeCell ref="BH22:BK22"/>
    <mergeCell ref="AV23:AY23"/>
    <mergeCell ref="AZ23:BC23"/>
    <mergeCell ref="BD23:BG23"/>
    <mergeCell ref="BH23:BK23"/>
    <mergeCell ref="AV21:AY21"/>
    <mergeCell ref="AZ21:BC21"/>
    <mergeCell ref="BD21:BG21"/>
    <mergeCell ref="BH21:BK21"/>
    <mergeCell ref="I22:M24"/>
    <mergeCell ref="N22:O22"/>
    <mergeCell ref="P22:S22"/>
    <mergeCell ref="T22:W22"/>
    <mergeCell ref="X22:AA22"/>
    <mergeCell ref="AB22:AE22"/>
    <mergeCell ref="N21:O21"/>
    <mergeCell ref="P21:S21"/>
    <mergeCell ref="T21:W21"/>
    <mergeCell ref="X21:AA21"/>
    <mergeCell ref="AB21:AE21"/>
    <mergeCell ref="I19:M21"/>
    <mergeCell ref="N24:O24"/>
    <mergeCell ref="P24:S24"/>
    <mergeCell ref="T24:W24"/>
    <mergeCell ref="X24:AA24"/>
    <mergeCell ref="AB24:AE24"/>
    <mergeCell ref="AT21:AU21"/>
    <mergeCell ref="N20:O20"/>
    <mergeCell ref="P20:S20"/>
    <mergeCell ref="T20:W20"/>
    <mergeCell ref="X20:AA20"/>
    <mergeCell ref="AB20:AE20"/>
    <mergeCell ref="AT20:AU20"/>
    <mergeCell ref="AO19:AS21"/>
    <mergeCell ref="AT19:AU19"/>
    <mergeCell ref="N19:O19"/>
    <mergeCell ref="P19:S19"/>
    <mergeCell ref="T19:W19"/>
    <mergeCell ref="X19:AA19"/>
    <mergeCell ref="AB19:AE19"/>
    <mergeCell ref="AV19:AY19"/>
    <mergeCell ref="AZ19:BC19"/>
    <mergeCell ref="BD19:BG19"/>
    <mergeCell ref="BH19:BK19"/>
    <mergeCell ref="AV20:AY20"/>
    <mergeCell ref="AZ20:BC20"/>
    <mergeCell ref="BD20:BG20"/>
    <mergeCell ref="BH20:BK20"/>
    <mergeCell ref="AV18:AY18"/>
    <mergeCell ref="AZ18:BC18"/>
    <mergeCell ref="BD18:BG18"/>
    <mergeCell ref="BH18:BK18"/>
    <mergeCell ref="BH16:BK16"/>
    <mergeCell ref="N17:O17"/>
    <mergeCell ref="P17:S17"/>
    <mergeCell ref="T17:W17"/>
    <mergeCell ref="X17:AA17"/>
    <mergeCell ref="AB17:AE17"/>
    <mergeCell ref="AT17:AU17"/>
    <mergeCell ref="AV17:AY17"/>
    <mergeCell ref="AZ17:BC17"/>
    <mergeCell ref="BD17:BG17"/>
    <mergeCell ref="BH17:BK17"/>
    <mergeCell ref="I16:M18"/>
    <mergeCell ref="N16:O16"/>
    <mergeCell ref="P16:S16"/>
    <mergeCell ref="T16:W16"/>
    <mergeCell ref="X16:AA16"/>
    <mergeCell ref="AB16:AE16"/>
    <mergeCell ref="AV16:AY16"/>
    <mergeCell ref="AZ16:BC16"/>
    <mergeCell ref="BD16:BG16"/>
    <mergeCell ref="N18:O18"/>
    <mergeCell ref="P18:S18"/>
    <mergeCell ref="T18:W18"/>
    <mergeCell ref="X18:AA18"/>
    <mergeCell ref="AB18:AE18"/>
    <mergeCell ref="AT18:AU18"/>
    <mergeCell ref="AV14:AY14"/>
    <mergeCell ref="AZ14:BC14"/>
    <mergeCell ref="BD14:BG14"/>
    <mergeCell ref="BH14:BK14"/>
    <mergeCell ref="N15:O15"/>
    <mergeCell ref="P15:S15"/>
    <mergeCell ref="T15:W15"/>
    <mergeCell ref="X15:AA15"/>
    <mergeCell ref="AB15:AE15"/>
    <mergeCell ref="AT15:AU15"/>
    <mergeCell ref="AV15:AY15"/>
    <mergeCell ref="AZ15:BC15"/>
    <mergeCell ref="BD15:BG15"/>
    <mergeCell ref="BH15:BK15"/>
    <mergeCell ref="T12:W12"/>
    <mergeCell ref="X12:AA12"/>
    <mergeCell ref="AB12:AE12"/>
    <mergeCell ref="AT12:AU12"/>
    <mergeCell ref="AV12:AY12"/>
    <mergeCell ref="AZ12:BC12"/>
    <mergeCell ref="BD12:BG12"/>
    <mergeCell ref="BH12:BK12"/>
    <mergeCell ref="I13:M15"/>
    <mergeCell ref="N13:O13"/>
    <mergeCell ref="P13:S13"/>
    <mergeCell ref="T13:W13"/>
    <mergeCell ref="X13:AA13"/>
    <mergeCell ref="AB13:AE13"/>
    <mergeCell ref="AV13:AY13"/>
    <mergeCell ref="AZ13:BC13"/>
    <mergeCell ref="BD13:BG13"/>
    <mergeCell ref="BH13:BK13"/>
    <mergeCell ref="N14:O14"/>
    <mergeCell ref="P14:S14"/>
    <mergeCell ref="T14:W14"/>
    <mergeCell ref="X14:AA14"/>
    <mergeCell ref="AB14:AE14"/>
    <mergeCell ref="AT14:AU14"/>
    <mergeCell ref="BD10:BG10"/>
    <mergeCell ref="BH10:BK10"/>
    <mergeCell ref="N11:O11"/>
    <mergeCell ref="P11:S11"/>
    <mergeCell ref="T11:W11"/>
    <mergeCell ref="X11:AA11"/>
    <mergeCell ref="AB11:AE11"/>
    <mergeCell ref="AT11:AU11"/>
    <mergeCell ref="X10:AA10"/>
    <mergeCell ref="AB10:AE10"/>
    <mergeCell ref="AG10:AK33"/>
    <mergeCell ref="AL10:AN33"/>
    <mergeCell ref="AO10:AS12"/>
    <mergeCell ref="AT10:AU10"/>
    <mergeCell ref="AO13:AS15"/>
    <mergeCell ref="AT13:AU13"/>
    <mergeCell ref="AO16:AS18"/>
    <mergeCell ref="AT16:AU16"/>
    <mergeCell ref="AV11:AY11"/>
    <mergeCell ref="AZ11:BC11"/>
    <mergeCell ref="BD11:BG11"/>
    <mergeCell ref="BH11:BK11"/>
    <mergeCell ref="N12:O12"/>
    <mergeCell ref="P12:S12"/>
    <mergeCell ref="AV9:AY9"/>
    <mergeCell ref="AZ9:BC9"/>
    <mergeCell ref="BD9:BG9"/>
    <mergeCell ref="BH9:BK9"/>
    <mergeCell ref="A10:E33"/>
    <mergeCell ref="F10:H33"/>
    <mergeCell ref="I10:M12"/>
    <mergeCell ref="N10:O10"/>
    <mergeCell ref="P10:S10"/>
    <mergeCell ref="T10:W10"/>
    <mergeCell ref="X9:AA9"/>
    <mergeCell ref="AB9:AE9"/>
    <mergeCell ref="AG9:AK9"/>
    <mergeCell ref="AL9:AN9"/>
    <mergeCell ref="AO9:AS9"/>
    <mergeCell ref="AT9:AU9"/>
    <mergeCell ref="A9:E9"/>
    <mergeCell ref="F9:H9"/>
    <mergeCell ref="I9:M9"/>
    <mergeCell ref="N9:O9"/>
    <mergeCell ref="P9:S9"/>
    <mergeCell ref="T9:W9"/>
    <mergeCell ref="AV10:AY10"/>
    <mergeCell ref="AZ10:BC10"/>
    <mergeCell ref="A4:K5"/>
    <mergeCell ref="L4:AE7"/>
    <mergeCell ref="AL4:AN4"/>
    <mergeCell ref="AO4:AX4"/>
    <mergeCell ref="AL5:AN5"/>
    <mergeCell ref="AO5:AX5"/>
    <mergeCell ref="A6:K7"/>
    <mergeCell ref="AL6:AN6"/>
    <mergeCell ref="AO6:AX6"/>
    <mergeCell ref="A58:E58"/>
    <mergeCell ref="F58:H58"/>
    <mergeCell ref="I58:M58"/>
    <mergeCell ref="N58:O58"/>
    <mergeCell ref="P58:S58"/>
    <mergeCell ref="T58:W58"/>
    <mergeCell ref="X58:AA58"/>
    <mergeCell ref="AB58:AE58"/>
    <mergeCell ref="AP35:BI35"/>
    <mergeCell ref="AP36:AW36"/>
    <mergeCell ref="AX36:BI36"/>
    <mergeCell ref="AP37:AW37"/>
    <mergeCell ref="AX37:BI37"/>
  </mergeCells>
  <phoneticPr fontId="2"/>
  <pageMargins left="0.39370078740157483" right="0.39370078740157483" top="0.59055118110236227" bottom="0.39370078740157483" header="0.51181102362204722" footer="0.19685039370078741"/>
  <pageSetup paperSize="9" scale="90" firstPageNumber="6" orientation="portrait" useFirstPageNumber="1" r:id="rId1"/>
  <headerFooter alignWithMargins="0">
    <oddFooter>&amp;C20260511臨時改定価格_SP_レーヨン和紙・ソフトクラフト（ロール印刷）&amp;R&amp;P/&amp;N</oddFooter>
  </headerFooter>
  <rowBreaks count="1" manualBreakCount="1">
    <brk id="54" max="6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938C-5B16-4B8C-9231-D6525BDAA1EC}">
  <sheetPr>
    <tabColor indexed="10"/>
  </sheetPr>
  <dimension ref="A1:BP271"/>
  <sheetViews>
    <sheetView view="pageBreakPreview" zoomScaleNormal="100" zoomScaleSheetLayoutView="100" workbookViewId="0">
      <selection activeCell="BS8" sqref="BS8"/>
    </sheetView>
  </sheetViews>
  <sheetFormatPr defaultColWidth="8.875" defaultRowHeight="13.5"/>
  <cols>
    <col min="1" max="109" width="1.625" style="1" customWidth="1"/>
    <col min="110" max="16384" width="8.875" style="1"/>
  </cols>
  <sheetData>
    <row r="1" spans="1:63" ht="21" customHeight="1">
      <c r="A1" s="76" t="s">
        <v>331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BJ1" s="46"/>
      <c r="BK1" s="46"/>
    </row>
    <row r="2" spans="1:63" ht="16.149999999999999" customHeight="1">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BJ2" s="46"/>
      <c r="BK2" s="46"/>
    </row>
    <row r="3" spans="1:63" ht="16.149999999999999" customHeight="1">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Y3" s="46"/>
      <c r="AZ3" s="46"/>
      <c r="BA3" s="46"/>
      <c r="BB3" s="46"/>
      <c r="BC3" s="46"/>
      <c r="BD3" s="46"/>
      <c r="BE3" s="46"/>
      <c r="BF3" s="46"/>
      <c r="BG3" s="46"/>
      <c r="BH3" s="46"/>
      <c r="BI3" s="46"/>
      <c r="BJ3" s="46"/>
      <c r="BK3" s="46"/>
    </row>
    <row r="4" spans="1:63" ht="16.149999999999999" customHeight="1">
      <c r="A4" s="109" t="s">
        <v>83</v>
      </c>
      <c r="B4" s="110"/>
      <c r="C4" s="110"/>
      <c r="D4" s="110"/>
      <c r="E4" s="110"/>
      <c r="F4" s="110"/>
      <c r="G4" s="110"/>
      <c r="H4" s="110"/>
      <c r="I4" s="110"/>
      <c r="J4" s="110"/>
      <c r="K4" s="172"/>
      <c r="L4" s="220" t="s">
        <v>84</v>
      </c>
      <c r="M4" s="221"/>
      <c r="N4" s="221"/>
      <c r="O4" s="221"/>
      <c r="P4" s="221"/>
      <c r="Q4" s="221"/>
      <c r="R4" s="221"/>
      <c r="S4" s="221"/>
      <c r="T4" s="221"/>
      <c r="U4" s="221"/>
      <c r="V4" s="221"/>
      <c r="W4" s="221"/>
      <c r="X4" s="221"/>
      <c r="Y4" s="221"/>
      <c r="Z4" s="221"/>
      <c r="AA4" s="221"/>
      <c r="AB4" s="221"/>
      <c r="AC4" s="221"/>
      <c r="AD4" s="221"/>
      <c r="AE4" s="221"/>
      <c r="AH4" s="119">
        <v>814</v>
      </c>
      <c r="AI4" s="119"/>
      <c r="AJ4" s="119"/>
      <c r="AK4" s="120" t="s">
        <v>319</v>
      </c>
      <c r="AL4" s="120"/>
      <c r="AM4" s="120"/>
      <c r="AN4" s="120"/>
      <c r="AO4" s="120"/>
      <c r="AP4" s="120"/>
      <c r="AQ4" s="120"/>
      <c r="AR4" s="120"/>
      <c r="AS4" s="120"/>
      <c r="AT4" s="120"/>
      <c r="BJ4" s="3"/>
      <c r="BK4" s="3"/>
    </row>
    <row r="5" spans="1:63" ht="16.149999999999999" customHeight="1">
      <c r="A5" s="111"/>
      <c r="B5" s="112"/>
      <c r="C5" s="112"/>
      <c r="D5" s="112"/>
      <c r="E5" s="112"/>
      <c r="F5" s="112"/>
      <c r="G5" s="112"/>
      <c r="H5" s="112"/>
      <c r="I5" s="112"/>
      <c r="J5" s="112"/>
      <c r="K5" s="173"/>
      <c r="L5" s="222"/>
      <c r="M5" s="223"/>
      <c r="N5" s="223"/>
      <c r="O5" s="223"/>
      <c r="P5" s="223"/>
      <c r="Q5" s="223"/>
      <c r="R5" s="223"/>
      <c r="S5" s="223"/>
      <c r="T5" s="223"/>
      <c r="U5" s="223"/>
      <c r="V5" s="223"/>
      <c r="W5" s="223"/>
      <c r="X5" s="223"/>
      <c r="Y5" s="223"/>
      <c r="Z5" s="223"/>
      <c r="AA5" s="223"/>
      <c r="AB5" s="223"/>
      <c r="AC5" s="223"/>
      <c r="AD5" s="223"/>
      <c r="AE5" s="223"/>
      <c r="AH5" s="141">
        <v>819</v>
      </c>
      <c r="AI5" s="141"/>
      <c r="AJ5" s="141"/>
      <c r="AK5" s="148" t="s">
        <v>320</v>
      </c>
      <c r="AL5" s="148"/>
      <c r="AM5" s="148"/>
      <c r="AN5" s="148"/>
      <c r="AO5" s="148"/>
      <c r="AP5" s="148"/>
      <c r="AQ5" s="148"/>
      <c r="AR5" s="148"/>
      <c r="AS5" s="148"/>
      <c r="AT5" s="148"/>
      <c r="BJ5" s="3"/>
      <c r="BK5" s="3"/>
    </row>
    <row r="6" spans="1:63" ht="16.149999999999999" customHeight="1">
      <c r="A6" s="180" t="s">
        <v>2</v>
      </c>
      <c r="B6" s="181"/>
      <c r="C6" s="181"/>
      <c r="D6" s="181"/>
      <c r="E6" s="181"/>
      <c r="F6" s="181"/>
      <c r="G6" s="181"/>
      <c r="H6" s="181"/>
      <c r="I6" s="181"/>
      <c r="J6" s="181"/>
      <c r="K6" s="182"/>
      <c r="L6" s="222"/>
      <c r="M6" s="223"/>
      <c r="N6" s="223"/>
      <c r="O6" s="223"/>
      <c r="P6" s="223"/>
      <c r="Q6" s="223"/>
      <c r="R6" s="223"/>
      <c r="S6" s="223"/>
      <c r="T6" s="223"/>
      <c r="U6" s="223"/>
      <c r="V6" s="223"/>
      <c r="W6" s="223"/>
      <c r="X6" s="223"/>
      <c r="Y6" s="223"/>
      <c r="Z6" s="223"/>
      <c r="AA6" s="223"/>
      <c r="AB6" s="223"/>
      <c r="AC6" s="223"/>
      <c r="AD6" s="223"/>
      <c r="AE6" s="223"/>
      <c r="AH6" s="141">
        <v>996</v>
      </c>
      <c r="AI6" s="141"/>
      <c r="AJ6" s="141"/>
      <c r="AK6" s="148" t="s">
        <v>321</v>
      </c>
      <c r="AL6" s="148"/>
      <c r="AM6" s="148"/>
      <c r="AN6" s="148"/>
      <c r="AO6" s="148"/>
      <c r="AP6" s="148"/>
      <c r="AQ6" s="148"/>
      <c r="AR6" s="148"/>
      <c r="AS6" s="148"/>
      <c r="AT6" s="148"/>
    </row>
    <row r="7" spans="1:63" ht="16.149999999999999" customHeight="1">
      <c r="A7" s="106"/>
      <c r="B7" s="107"/>
      <c r="C7" s="107"/>
      <c r="D7" s="107"/>
      <c r="E7" s="107"/>
      <c r="F7" s="107"/>
      <c r="G7" s="107"/>
      <c r="H7" s="107"/>
      <c r="I7" s="107"/>
      <c r="J7" s="107"/>
      <c r="K7" s="108"/>
      <c r="L7" s="224"/>
      <c r="M7" s="225"/>
      <c r="N7" s="225"/>
      <c r="O7" s="225"/>
      <c r="P7" s="225"/>
      <c r="Q7" s="225"/>
      <c r="R7" s="225"/>
      <c r="S7" s="225"/>
      <c r="T7" s="225"/>
      <c r="U7" s="225"/>
      <c r="V7" s="225"/>
      <c r="W7" s="225"/>
      <c r="X7" s="225"/>
      <c r="Y7" s="225"/>
      <c r="Z7" s="225"/>
      <c r="AA7" s="225"/>
      <c r="AB7" s="225"/>
      <c r="AC7" s="225"/>
      <c r="AD7" s="225"/>
      <c r="AE7" s="225"/>
      <c r="AH7" s="151">
        <v>997</v>
      </c>
      <c r="AI7" s="151"/>
      <c r="AJ7" s="151"/>
      <c r="AK7" s="190" t="s">
        <v>322</v>
      </c>
      <c r="AL7" s="190"/>
      <c r="AM7" s="190"/>
      <c r="AN7" s="190"/>
      <c r="AO7" s="190"/>
      <c r="AP7" s="190"/>
      <c r="AQ7" s="190"/>
      <c r="AR7" s="190"/>
      <c r="AS7" s="190"/>
      <c r="AT7" s="190"/>
    </row>
    <row r="8" spans="1:63" ht="16.149999999999999" customHeight="1">
      <c r="A8" s="9"/>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BK8" s="46"/>
    </row>
    <row r="9" spans="1:63" ht="16.149999999999999" customHeight="1">
      <c r="A9" s="216" t="s">
        <v>3</v>
      </c>
      <c r="B9" s="216"/>
      <c r="C9" s="216"/>
      <c r="D9" s="216"/>
      <c r="E9" s="216" t="s">
        <v>4</v>
      </c>
      <c r="F9" s="216"/>
      <c r="G9" s="216" t="s">
        <v>5</v>
      </c>
      <c r="H9" s="216"/>
      <c r="I9" s="216"/>
      <c r="J9" s="216"/>
      <c r="K9" s="216"/>
      <c r="L9" s="216"/>
      <c r="M9" s="216"/>
      <c r="N9" s="216"/>
      <c r="O9" s="216" t="s">
        <v>85</v>
      </c>
      <c r="P9" s="216"/>
      <c r="Q9" s="216"/>
      <c r="R9" s="216"/>
      <c r="S9" s="216" t="s">
        <v>7</v>
      </c>
      <c r="T9" s="216"/>
      <c r="U9" s="216"/>
      <c r="V9" s="216"/>
      <c r="W9" s="216" t="s">
        <v>86</v>
      </c>
      <c r="X9" s="216"/>
      <c r="Y9" s="216"/>
      <c r="Z9" s="216"/>
      <c r="AA9" s="216" t="s">
        <v>87</v>
      </c>
      <c r="AB9" s="216"/>
      <c r="AC9" s="216"/>
      <c r="AD9" s="216"/>
      <c r="AE9" s="216"/>
      <c r="AF9" s="216"/>
      <c r="AG9" s="216"/>
      <c r="AH9" s="226" t="s">
        <v>88</v>
      </c>
      <c r="AI9" s="226"/>
      <c r="AJ9" s="226"/>
      <c r="AK9" s="226"/>
      <c r="AL9" s="226"/>
      <c r="AM9" s="226"/>
      <c r="AN9" s="226"/>
      <c r="AO9" s="226"/>
      <c r="AP9" s="226" t="s">
        <v>89</v>
      </c>
      <c r="AQ9" s="226"/>
      <c r="AR9" s="226"/>
      <c r="AS9" s="226"/>
      <c r="AT9" s="226"/>
      <c r="AU9" s="226"/>
      <c r="AV9" s="226"/>
      <c r="AW9" s="226"/>
    </row>
    <row r="10" spans="1:63" ht="16.149999999999999" customHeight="1">
      <c r="A10" s="93" t="s">
        <v>92</v>
      </c>
      <c r="B10" s="93"/>
      <c r="C10" s="93"/>
      <c r="D10" s="93"/>
      <c r="E10" s="211">
        <v>2</v>
      </c>
      <c r="F10" s="211"/>
      <c r="G10" s="204" t="s">
        <v>93</v>
      </c>
      <c r="H10" s="204"/>
      <c r="I10" s="204"/>
      <c r="J10" s="204"/>
      <c r="K10" s="204"/>
      <c r="L10" s="202" t="s">
        <v>58</v>
      </c>
      <c r="M10" s="202"/>
      <c r="N10" s="202"/>
      <c r="O10" s="196">
        <f>S13</f>
        <v>97.5</v>
      </c>
      <c r="P10" s="196"/>
      <c r="Q10" s="196"/>
      <c r="R10" s="196"/>
      <c r="S10" s="196">
        <f>W13+6</f>
        <v>107</v>
      </c>
      <c r="T10" s="196"/>
      <c r="U10" s="196"/>
      <c r="V10" s="196"/>
      <c r="W10" s="196">
        <f>W13+18</f>
        <v>119</v>
      </c>
      <c r="X10" s="196"/>
      <c r="Y10" s="196"/>
      <c r="Z10" s="196"/>
      <c r="AA10" s="201" t="s">
        <v>312</v>
      </c>
      <c r="AB10" s="201"/>
      <c r="AC10" s="201"/>
      <c r="AD10" s="201"/>
      <c r="AE10" s="201"/>
      <c r="AF10" s="201"/>
      <c r="AG10" s="201"/>
      <c r="AH10" s="205">
        <v>13000</v>
      </c>
      <c r="AI10" s="205"/>
      <c r="AJ10" s="205"/>
      <c r="AK10" s="205"/>
      <c r="AL10" s="205"/>
      <c r="AM10" s="205"/>
      <c r="AN10" s="205"/>
      <c r="AO10" s="205"/>
      <c r="AP10" s="205">
        <v>18000</v>
      </c>
      <c r="AQ10" s="205"/>
      <c r="AR10" s="205"/>
      <c r="AS10" s="205"/>
      <c r="AT10" s="205"/>
      <c r="AU10" s="205"/>
      <c r="AV10" s="205"/>
      <c r="AW10" s="205"/>
    </row>
    <row r="11" spans="1:63" ht="16.149999999999999" customHeight="1">
      <c r="A11" s="93"/>
      <c r="B11" s="93"/>
      <c r="C11" s="93"/>
      <c r="D11" s="93"/>
      <c r="E11" s="212"/>
      <c r="F11" s="212"/>
      <c r="G11" s="204"/>
      <c r="H11" s="204"/>
      <c r="I11" s="204"/>
      <c r="J11" s="204"/>
      <c r="K11" s="204"/>
      <c r="L11" s="202" t="s">
        <v>11</v>
      </c>
      <c r="M11" s="202"/>
      <c r="N11" s="202"/>
      <c r="O11" s="196">
        <f>CEILING(O10*0.95,0.5)</f>
        <v>93</v>
      </c>
      <c r="P11" s="196"/>
      <c r="Q11" s="196"/>
      <c r="R11" s="196"/>
      <c r="S11" s="196">
        <f>CEILING(S10*0.95,0.5)</f>
        <v>102</v>
      </c>
      <c r="T11" s="196"/>
      <c r="U11" s="196"/>
      <c r="V11" s="196"/>
      <c r="W11" s="196">
        <f>CEILING(W10*0.95,0.5)</f>
        <v>113.5</v>
      </c>
      <c r="X11" s="196"/>
      <c r="Y11" s="196"/>
      <c r="Z11" s="196"/>
      <c r="AA11" s="201"/>
      <c r="AB11" s="201"/>
      <c r="AC11" s="201"/>
      <c r="AD11" s="201"/>
      <c r="AE11" s="201"/>
      <c r="AF11" s="201"/>
      <c r="AG11" s="201"/>
      <c r="AH11" s="205"/>
      <c r="AI11" s="205"/>
      <c r="AJ11" s="205"/>
      <c r="AK11" s="205"/>
      <c r="AL11" s="205"/>
      <c r="AM11" s="205"/>
      <c r="AN11" s="205"/>
      <c r="AO11" s="205"/>
      <c r="AP11" s="205"/>
      <c r="AQ11" s="205"/>
      <c r="AR11" s="205"/>
      <c r="AS11" s="205"/>
      <c r="AT11" s="205"/>
      <c r="AU11" s="205"/>
      <c r="AV11" s="205"/>
      <c r="AW11" s="205"/>
    </row>
    <row r="12" spans="1:63" ht="16.149999999999999" customHeight="1">
      <c r="A12" s="93"/>
      <c r="B12" s="93"/>
      <c r="C12" s="93"/>
      <c r="D12" s="93"/>
      <c r="E12" s="212"/>
      <c r="F12" s="212"/>
      <c r="G12" s="204"/>
      <c r="H12" s="204"/>
      <c r="I12" s="204"/>
      <c r="J12" s="204"/>
      <c r="K12" s="204"/>
      <c r="L12" s="202" t="s">
        <v>96</v>
      </c>
      <c r="M12" s="202"/>
      <c r="N12" s="202"/>
      <c r="O12" s="196">
        <f>S15</f>
        <v>89.5</v>
      </c>
      <c r="P12" s="196"/>
      <c r="Q12" s="196"/>
      <c r="R12" s="196"/>
      <c r="S12" s="196">
        <f>W15+6</f>
        <v>99</v>
      </c>
      <c r="T12" s="196"/>
      <c r="U12" s="196"/>
      <c r="V12" s="196"/>
      <c r="W12" s="196">
        <f>W15+18</f>
        <v>111</v>
      </c>
      <c r="X12" s="196"/>
      <c r="Y12" s="196"/>
      <c r="Z12" s="196"/>
      <c r="AA12" s="201"/>
      <c r="AB12" s="201"/>
      <c r="AC12" s="201"/>
      <c r="AD12" s="201"/>
      <c r="AE12" s="201"/>
      <c r="AF12" s="201"/>
      <c r="AG12" s="201"/>
      <c r="AH12" s="205"/>
      <c r="AI12" s="205"/>
      <c r="AJ12" s="205"/>
      <c r="AK12" s="205"/>
      <c r="AL12" s="205"/>
      <c r="AM12" s="205"/>
      <c r="AN12" s="205"/>
      <c r="AO12" s="205"/>
      <c r="AP12" s="205"/>
      <c r="AQ12" s="205"/>
      <c r="AR12" s="205"/>
      <c r="AS12" s="205"/>
      <c r="AT12" s="205"/>
      <c r="AU12" s="205"/>
      <c r="AV12" s="205"/>
      <c r="AW12" s="205"/>
    </row>
    <row r="13" spans="1:63" ht="16.149999999999999" customHeight="1">
      <c r="A13" s="93"/>
      <c r="B13" s="93"/>
      <c r="C13" s="93"/>
      <c r="D13" s="93"/>
      <c r="E13" s="212"/>
      <c r="F13" s="212"/>
      <c r="G13" s="198" t="s">
        <v>97</v>
      </c>
      <c r="H13" s="198"/>
      <c r="I13" s="198"/>
      <c r="J13" s="198"/>
      <c r="K13" s="198"/>
      <c r="L13" s="199" t="s">
        <v>58</v>
      </c>
      <c r="M13" s="199"/>
      <c r="N13" s="199"/>
      <c r="O13" s="101">
        <f>CEILING(72*1.3,0.5)</f>
        <v>94</v>
      </c>
      <c r="P13" s="101"/>
      <c r="Q13" s="101"/>
      <c r="R13" s="101"/>
      <c r="S13" s="197">
        <f>O13+3.5</f>
        <v>97.5</v>
      </c>
      <c r="T13" s="197"/>
      <c r="U13" s="197"/>
      <c r="V13" s="197"/>
      <c r="W13" s="197">
        <f>S13+3.5</f>
        <v>101</v>
      </c>
      <c r="X13" s="197"/>
      <c r="Y13" s="197"/>
      <c r="Z13" s="197"/>
      <c r="AA13" s="200" t="s">
        <v>313</v>
      </c>
      <c r="AB13" s="200"/>
      <c r="AC13" s="200"/>
      <c r="AD13" s="200"/>
      <c r="AE13" s="200"/>
      <c r="AF13" s="200"/>
      <c r="AG13" s="200"/>
      <c r="AH13" s="205"/>
      <c r="AI13" s="205"/>
      <c r="AJ13" s="205"/>
      <c r="AK13" s="205"/>
      <c r="AL13" s="205"/>
      <c r="AM13" s="205"/>
      <c r="AN13" s="205"/>
      <c r="AO13" s="205"/>
      <c r="AP13" s="205"/>
      <c r="AQ13" s="205"/>
      <c r="AR13" s="205"/>
      <c r="AS13" s="205"/>
      <c r="AT13" s="205"/>
      <c r="AU13" s="205"/>
      <c r="AV13" s="205"/>
      <c r="AW13" s="205"/>
    </row>
    <row r="14" spans="1:63" ht="16.149999999999999" customHeight="1">
      <c r="A14" s="93"/>
      <c r="B14" s="93"/>
      <c r="C14" s="93"/>
      <c r="D14" s="93"/>
      <c r="E14" s="212"/>
      <c r="F14" s="212"/>
      <c r="G14" s="198"/>
      <c r="H14" s="198"/>
      <c r="I14" s="198"/>
      <c r="J14" s="198"/>
      <c r="K14" s="198"/>
      <c r="L14" s="199" t="s">
        <v>11</v>
      </c>
      <c r="M14" s="199"/>
      <c r="N14" s="199"/>
      <c r="O14" s="197">
        <f>CEILING(O13*0.95,0.5)</f>
        <v>89.5</v>
      </c>
      <c r="P14" s="197"/>
      <c r="Q14" s="197"/>
      <c r="R14" s="197"/>
      <c r="S14" s="197">
        <f>CEILING(S13*0.95,0.5)</f>
        <v>93</v>
      </c>
      <c r="T14" s="197"/>
      <c r="U14" s="197"/>
      <c r="V14" s="197"/>
      <c r="W14" s="197">
        <f>CEILING(W13*0.95,0.5)</f>
        <v>96</v>
      </c>
      <c r="X14" s="197"/>
      <c r="Y14" s="197"/>
      <c r="Z14" s="197"/>
      <c r="AA14" s="200"/>
      <c r="AB14" s="200"/>
      <c r="AC14" s="200"/>
      <c r="AD14" s="200"/>
      <c r="AE14" s="200"/>
      <c r="AF14" s="200"/>
      <c r="AG14" s="200"/>
      <c r="AH14" s="205"/>
      <c r="AI14" s="205"/>
      <c r="AJ14" s="205"/>
      <c r="AK14" s="205"/>
      <c r="AL14" s="205"/>
      <c r="AM14" s="205"/>
      <c r="AN14" s="205"/>
      <c r="AO14" s="205"/>
      <c r="AP14" s="205"/>
      <c r="AQ14" s="205"/>
      <c r="AR14" s="205"/>
      <c r="AS14" s="205"/>
      <c r="AT14" s="205"/>
      <c r="AU14" s="205"/>
      <c r="AV14" s="205"/>
      <c r="AW14" s="205"/>
    </row>
    <row r="15" spans="1:63" ht="16.149999999999999" customHeight="1">
      <c r="A15" s="93"/>
      <c r="B15" s="93"/>
      <c r="C15" s="93"/>
      <c r="D15" s="93"/>
      <c r="E15" s="212"/>
      <c r="F15" s="212"/>
      <c r="G15" s="198"/>
      <c r="H15" s="198"/>
      <c r="I15" s="198"/>
      <c r="J15" s="198"/>
      <c r="K15" s="198"/>
      <c r="L15" s="199" t="s">
        <v>12</v>
      </c>
      <c r="M15" s="199"/>
      <c r="N15" s="199"/>
      <c r="O15" s="101">
        <f>CEILING(66*1.3,0.5)</f>
        <v>86</v>
      </c>
      <c r="P15" s="101"/>
      <c r="Q15" s="101"/>
      <c r="R15" s="101"/>
      <c r="S15" s="197">
        <f>O15+3.5</f>
        <v>89.5</v>
      </c>
      <c r="T15" s="197"/>
      <c r="U15" s="197"/>
      <c r="V15" s="197"/>
      <c r="W15" s="197">
        <f>S15+3.5</f>
        <v>93</v>
      </c>
      <c r="X15" s="197"/>
      <c r="Y15" s="197"/>
      <c r="Z15" s="197"/>
      <c r="AA15" s="200"/>
      <c r="AB15" s="200"/>
      <c r="AC15" s="200"/>
      <c r="AD15" s="200"/>
      <c r="AE15" s="200"/>
      <c r="AF15" s="200"/>
      <c r="AG15" s="200"/>
      <c r="AH15" s="205"/>
      <c r="AI15" s="205"/>
      <c r="AJ15" s="205"/>
      <c r="AK15" s="205"/>
      <c r="AL15" s="205"/>
      <c r="AM15" s="205"/>
      <c r="AN15" s="205"/>
      <c r="AO15" s="205"/>
      <c r="AP15" s="205"/>
      <c r="AQ15" s="205"/>
      <c r="AR15" s="205"/>
      <c r="AS15" s="205"/>
      <c r="AT15" s="205"/>
      <c r="AU15" s="205"/>
      <c r="AV15" s="205"/>
      <c r="AW15" s="205"/>
    </row>
    <row r="16" spans="1:63" ht="16.149999999999999" customHeight="1">
      <c r="A16" s="93"/>
      <c r="B16" s="93"/>
      <c r="C16" s="93"/>
      <c r="D16" s="93"/>
      <c r="E16" s="203">
        <v>5</v>
      </c>
      <c r="F16" s="203"/>
      <c r="G16" s="204" t="s">
        <v>93</v>
      </c>
      <c r="H16" s="204"/>
      <c r="I16" s="204"/>
      <c r="J16" s="204"/>
      <c r="K16" s="204"/>
      <c r="L16" s="202" t="s">
        <v>58</v>
      </c>
      <c r="M16" s="202"/>
      <c r="N16" s="202"/>
      <c r="O16" s="196">
        <f>S19</f>
        <v>136</v>
      </c>
      <c r="P16" s="196"/>
      <c r="Q16" s="196"/>
      <c r="R16" s="196"/>
      <c r="S16" s="196">
        <f>W19+6</f>
        <v>147</v>
      </c>
      <c r="T16" s="196"/>
      <c r="U16" s="196"/>
      <c r="V16" s="196"/>
      <c r="W16" s="196">
        <f>W19+18</f>
        <v>159</v>
      </c>
      <c r="X16" s="196"/>
      <c r="Y16" s="196"/>
      <c r="Z16" s="196"/>
      <c r="AA16" s="201" t="s">
        <v>312</v>
      </c>
      <c r="AB16" s="201"/>
      <c r="AC16" s="201"/>
      <c r="AD16" s="201"/>
      <c r="AE16" s="201"/>
      <c r="AF16" s="201"/>
      <c r="AG16" s="201"/>
      <c r="AH16" s="205"/>
      <c r="AI16" s="205"/>
      <c r="AJ16" s="205"/>
      <c r="AK16" s="205"/>
      <c r="AL16" s="205"/>
      <c r="AM16" s="205"/>
      <c r="AN16" s="205"/>
      <c r="AO16" s="205"/>
      <c r="AP16" s="205"/>
      <c r="AQ16" s="205"/>
      <c r="AR16" s="205"/>
      <c r="AS16" s="205"/>
      <c r="AT16" s="205"/>
      <c r="AU16" s="205"/>
      <c r="AV16" s="205"/>
      <c r="AW16" s="205"/>
    </row>
    <row r="17" spans="1:68" s="46" customFormat="1" ht="16.149999999999999" customHeight="1">
      <c r="A17" s="93"/>
      <c r="B17" s="93"/>
      <c r="C17" s="93"/>
      <c r="D17" s="93"/>
      <c r="E17" s="203"/>
      <c r="F17" s="203"/>
      <c r="G17" s="204"/>
      <c r="H17" s="204"/>
      <c r="I17" s="204"/>
      <c r="J17" s="204"/>
      <c r="K17" s="204"/>
      <c r="L17" s="202" t="s">
        <v>11</v>
      </c>
      <c r="M17" s="202"/>
      <c r="N17" s="202"/>
      <c r="O17" s="196">
        <f>CEILING(O16*0.95,0.5)</f>
        <v>129.5</v>
      </c>
      <c r="P17" s="196"/>
      <c r="Q17" s="196"/>
      <c r="R17" s="196"/>
      <c r="S17" s="196">
        <f>CEILING(S16*0.95,0.5)</f>
        <v>140</v>
      </c>
      <c r="T17" s="196"/>
      <c r="U17" s="196"/>
      <c r="V17" s="196"/>
      <c r="W17" s="196">
        <f>CEILING(W16*0.95,0.5)</f>
        <v>151.5</v>
      </c>
      <c r="X17" s="196"/>
      <c r="Y17" s="196"/>
      <c r="Z17" s="196"/>
      <c r="AA17" s="201"/>
      <c r="AB17" s="201"/>
      <c r="AC17" s="201"/>
      <c r="AD17" s="201"/>
      <c r="AE17" s="201"/>
      <c r="AF17" s="201"/>
      <c r="AG17" s="201"/>
      <c r="AH17" s="205"/>
      <c r="AI17" s="205"/>
      <c r="AJ17" s="205"/>
      <c r="AK17" s="205"/>
      <c r="AL17" s="205"/>
      <c r="AM17" s="205"/>
      <c r="AN17" s="205"/>
      <c r="AO17" s="205"/>
      <c r="AP17" s="205"/>
      <c r="AQ17" s="205"/>
      <c r="AR17" s="205"/>
      <c r="AS17" s="205"/>
      <c r="AT17" s="205"/>
      <c r="AU17" s="205"/>
      <c r="AV17" s="205"/>
      <c r="AW17" s="205"/>
    </row>
    <row r="18" spans="1:68" s="46" customFormat="1" ht="16.149999999999999" customHeight="1">
      <c r="A18" s="93"/>
      <c r="B18" s="93"/>
      <c r="C18" s="93"/>
      <c r="D18" s="93"/>
      <c r="E18" s="203"/>
      <c r="F18" s="203"/>
      <c r="G18" s="204"/>
      <c r="H18" s="204"/>
      <c r="I18" s="204"/>
      <c r="J18" s="204"/>
      <c r="K18" s="204"/>
      <c r="L18" s="202" t="s">
        <v>96</v>
      </c>
      <c r="M18" s="202"/>
      <c r="N18" s="202"/>
      <c r="O18" s="196">
        <f>S21</f>
        <v>123</v>
      </c>
      <c r="P18" s="196"/>
      <c r="Q18" s="196"/>
      <c r="R18" s="196"/>
      <c r="S18" s="196">
        <f>W21+6</f>
        <v>134</v>
      </c>
      <c r="T18" s="196"/>
      <c r="U18" s="196"/>
      <c r="V18" s="196"/>
      <c r="W18" s="196">
        <f>W21+18</f>
        <v>146</v>
      </c>
      <c r="X18" s="196"/>
      <c r="Y18" s="196"/>
      <c r="Z18" s="196"/>
      <c r="AA18" s="201"/>
      <c r="AB18" s="201"/>
      <c r="AC18" s="201"/>
      <c r="AD18" s="201"/>
      <c r="AE18" s="201"/>
      <c r="AF18" s="201"/>
      <c r="AG18" s="201"/>
      <c r="AH18" s="205"/>
      <c r="AI18" s="205"/>
      <c r="AJ18" s="205"/>
      <c r="AK18" s="205"/>
      <c r="AL18" s="205"/>
      <c r="AM18" s="205"/>
      <c r="AN18" s="205"/>
      <c r="AO18" s="205"/>
      <c r="AP18" s="205"/>
      <c r="AQ18" s="205"/>
      <c r="AR18" s="205"/>
      <c r="AS18" s="205"/>
      <c r="AT18" s="205"/>
      <c r="AU18" s="205"/>
      <c r="AV18" s="205"/>
      <c r="AW18" s="205"/>
    </row>
    <row r="19" spans="1:68" s="46" customFormat="1" ht="16.149999999999999" customHeight="1">
      <c r="A19" s="93"/>
      <c r="B19" s="93"/>
      <c r="C19" s="93"/>
      <c r="D19" s="93"/>
      <c r="E19" s="203"/>
      <c r="F19" s="203"/>
      <c r="G19" s="198" t="s">
        <v>97</v>
      </c>
      <c r="H19" s="198"/>
      <c r="I19" s="198"/>
      <c r="J19" s="198"/>
      <c r="K19" s="198"/>
      <c r="L19" s="199" t="s">
        <v>10</v>
      </c>
      <c r="M19" s="199"/>
      <c r="N19" s="199"/>
      <c r="O19" s="101">
        <f>CEILING(100.5*1.3,0.5)</f>
        <v>131</v>
      </c>
      <c r="P19" s="101"/>
      <c r="Q19" s="101"/>
      <c r="R19" s="101"/>
      <c r="S19" s="197">
        <f>O19+5</f>
        <v>136</v>
      </c>
      <c r="T19" s="197"/>
      <c r="U19" s="197"/>
      <c r="V19" s="197"/>
      <c r="W19" s="197">
        <f>S19+5</f>
        <v>141</v>
      </c>
      <c r="X19" s="197"/>
      <c r="Y19" s="197"/>
      <c r="Z19" s="197"/>
      <c r="AA19" s="200" t="s">
        <v>313</v>
      </c>
      <c r="AB19" s="200"/>
      <c r="AC19" s="200"/>
      <c r="AD19" s="200"/>
      <c r="AE19" s="200"/>
      <c r="AF19" s="200"/>
      <c r="AG19" s="200"/>
      <c r="AH19" s="205"/>
      <c r="AI19" s="205"/>
      <c r="AJ19" s="205"/>
      <c r="AK19" s="205"/>
      <c r="AL19" s="205"/>
      <c r="AM19" s="205"/>
      <c r="AN19" s="205"/>
      <c r="AO19" s="205"/>
      <c r="AP19" s="205"/>
      <c r="AQ19" s="205"/>
      <c r="AR19" s="205"/>
      <c r="AS19" s="205"/>
      <c r="AT19" s="205"/>
      <c r="AU19" s="205"/>
      <c r="AV19" s="205"/>
      <c r="AW19" s="205"/>
    </row>
    <row r="20" spans="1:68" s="46" customFormat="1" ht="16.149999999999999" customHeight="1">
      <c r="A20" s="93"/>
      <c r="B20" s="93"/>
      <c r="C20" s="93"/>
      <c r="D20" s="93"/>
      <c r="E20" s="203"/>
      <c r="F20" s="203"/>
      <c r="G20" s="198"/>
      <c r="H20" s="198"/>
      <c r="I20" s="198"/>
      <c r="J20" s="198"/>
      <c r="K20" s="198"/>
      <c r="L20" s="199" t="s">
        <v>11</v>
      </c>
      <c r="M20" s="199"/>
      <c r="N20" s="199"/>
      <c r="O20" s="197">
        <f>CEILING(O19*0.95,0.5)</f>
        <v>124.5</v>
      </c>
      <c r="P20" s="197"/>
      <c r="Q20" s="197"/>
      <c r="R20" s="197"/>
      <c r="S20" s="197">
        <f>CEILING(S19*0.95,0.5)</f>
        <v>129.5</v>
      </c>
      <c r="T20" s="197"/>
      <c r="U20" s="197"/>
      <c r="V20" s="197"/>
      <c r="W20" s="197">
        <f>CEILING(W19*0.95,0.5)</f>
        <v>134</v>
      </c>
      <c r="X20" s="197"/>
      <c r="Y20" s="197"/>
      <c r="Z20" s="197"/>
      <c r="AA20" s="200"/>
      <c r="AB20" s="200"/>
      <c r="AC20" s="200"/>
      <c r="AD20" s="200"/>
      <c r="AE20" s="200"/>
      <c r="AF20" s="200"/>
      <c r="AG20" s="200"/>
      <c r="AH20" s="205"/>
      <c r="AI20" s="205"/>
      <c r="AJ20" s="205"/>
      <c r="AK20" s="205"/>
      <c r="AL20" s="205"/>
      <c r="AM20" s="205"/>
      <c r="AN20" s="205"/>
      <c r="AO20" s="205"/>
      <c r="AP20" s="205"/>
      <c r="AQ20" s="205"/>
      <c r="AR20" s="205"/>
      <c r="AS20" s="205"/>
      <c r="AT20" s="205"/>
      <c r="AU20" s="205"/>
      <c r="AV20" s="205"/>
      <c r="AW20" s="205"/>
    </row>
    <row r="21" spans="1:68" s="46" customFormat="1" ht="16.149999999999999" customHeight="1">
      <c r="A21" s="93"/>
      <c r="B21" s="93"/>
      <c r="C21" s="93"/>
      <c r="D21" s="93"/>
      <c r="E21" s="203"/>
      <c r="F21" s="203"/>
      <c r="G21" s="198"/>
      <c r="H21" s="198"/>
      <c r="I21" s="198"/>
      <c r="J21" s="198"/>
      <c r="K21" s="198"/>
      <c r="L21" s="199" t="s">
        <v>12</v>
      </c>
      <c r="M21" s="199"/>
      <c r="N21" s="199"/>
      <c r="O21" s="101">
        <f>CEILING(90.5*1.3,0.5)</f>
        <v>118</v>
      </c>
      <c r="P21" s="101"/>
      <c r="Q21" s="101"/>
      <c r="R21" s="101"/>
      <c r="S21" s="197">
        <f>O21+5</f>
        <v>123</v>
      </c>
      <c r="T21" s="197"/>
      <c r="U21" s="197"/>
      <c r="V21" s="197"/>
      <c r="W21" s="197">
        <f>S21+5</f>
        <v>128</v>
      </c>
      <c r="X21" s="197"/>
      <c r="Y21" s="197"/>
      <c r="Z21" s="197"/>
      <c r="AA21" s="200"/>
      <c r="AB21" s="200"/>
      <c r="AC21" s="200"/>
      <c r="AD21" s="200"/>
      <c r="AE21" s="200"/>
      <c r="AF21" s="200"/>
      <c r="AG21" s="200"/>
      <c r="AH21" s="205"/>
      <c r="AI21" s="205"/>
      <c r="AJ21" s="205"/>
      <c r="AK21" s="205"/>
      <c r="AL21" s="205"/>
      <c r="AM21" s="205"/>
      <c r="AN21" s="205"/>
      <c r="AO21" s="205"/>
      <c r="AP21" s="205"/>
      <c r="AQ21" s="205"/>
      <c r="AR21" s="205"/>
      <c r="AS21" s="205"/>
      <c r="AT21" s="205"/>
      <c r="AU21" s="205"/>
      <c r="AV21" s="205"/>
      <c r="AW21" s="205"/>
    </row>
    <row r="22" spans="1:68" s="46" customFormat="1" ht="16.149999999999999" customHeight="1">
      <c r="A22" s="93" t="s">
        <v>98</v>
      </c>
      <c r="B22" s="93"/>
      <c r="C22" s="93"/>
      <c r="D22" s="93"/>
      <c r="E22" s="212">
        <v>10</v>
      </c>
      <c r="F22" s="212"/>
      <c r="G22" s="204" t="s">
        <v>93</v>
      </c>
      <c r="H22" s="204"/>
      <c r="I22" s="204"/>
      <c r="J22" s="204"/>
      <c r="K22" s="204"/>
      <c r="L22" s="202" t="s">
        <v>58</v>
      </c>
      <c r="M22" s="202"/>
      <c r="N22" s="202"/>
      <c r="O22" s="196">
        <f>S25</f>
        <v>179.5</v>
      </c>
      <c r="P22" s="196"/>
      <c r="Q22" s="196"/>
      <c r="R22" s="196"/>
      <c r="S22" s="196">
        <f>W25+6</f>
        <v>190.5</v>
      </c>
      <c r="T22" s="196"/>
      <c r="U22" s="196"/>
      <c r="V22" s="196"/>
      <c r="W22" s="196">
        <f>W25+18</f>
        <v>202.5</v>
      </c>
      <c r="X22" s="196"/>
      <c r="Y22" s="196"/>
      <c r="Z22" s="196"/>
      <c r="AA22" s="201" t="s">
        <v>312</v>
      </c>
      <c r="AB22" s="201"/>
      <c r="AC22" s="201"/>
      <c r="AD22" s="201"/>
      <c r="AE22" s="201"/>
      <c r="AF22" s="201"/>
      <c r="AG22" s="201"/>
      <c r="AH22" s="205"/>
      <c r="AI22" s="205"/>
      <c r="AJ22" s="205"/>
      <c r="AK22" s="205"/>
      <c r="AL22" s="205"/>
      <c r="AM22" s="205"/>
      <c r="AN22" s="205"/>
      <c r="AO22" s="205"/>
      <c r="AP22" s="205"/>
      <c r="AQ22" s="205"/>
      <c r="AR22" s="205"/>
      <c r="AS22" s="205"/>
      <c r="AT22" s="205"/>
      <c r="AU22" s="205"/>
      <c r="AV22" s="205"/>
      <c r="AW22" s="205"/>
    </row>
    <row r="23" spans="1:68" s="46" customFormat="1" ht="16.149999999999999" customHeight="1">
      <c r="A23" s="93"/>
      <c r="B23" s="93"/>
      <c r="C23" s="93"/>
      <c r="D23" s="93"/>
      <c r="E23" s="212"/>
      <c r="F23" s="212"/>
      <c r="G23" s="204"/>
      <c r="H23" s="204"/>
      <c r="I23" s="204"/>
      <c r="J23" s="204"/>
      <c r="K23" s="204"/>
      <c r="L23" s="202" t="s">
        <v>11</v>
      </c>
      <c r="M23" s="202"/>
      <c r="N23" s="202"/>
      <c r="O23" s="196">
        <f>CEILING(O22*0.95,0.5)</f>
        <v>171</v>
      </c>
      <c r="P23" s="196"/>
      <c r="Q23" s="196"/>
      <c r="R23" s="196"/>
      <c r="S23" s="196">
        <f>CEILING(S22*0.95,0.5)</f>
        <v>181</v>
      </c>
      <c r="T23" s="196"/>
      <c r="U23" s="196"/>
      <c r="V23" s="196"/>
      <c r="W23" s="196">
        <f>CEILING(W22*0.95,0.5)</f>
        <v>192.5</v>
      </c>
      <c r="X23" s="196"/>
      <c r="Y23" s="196"/>
      <c r="Z23" s="196"/>
      <c r="AA23" s="201"/>
      <c r="AB23" s="201"/>
      <c r="AC23" s="201"/>
      <c r="AD23" s="201"/>
      <c r="AE23" s="201"/>
      <c r="AF23" s="201"/>
      <c r="AG23" s="201"/>
      <c r="AH23" s="205"/>
      <c r="AI23" s="205"/>
      <c r="AJ23" s="205"/>
      <c r="AK23" s="205"/>
      <c r="AL23" s="205"/>
      <c r="AM23" s="205"/>
      <c r="AN23" s="205"/>
      <c r="AO23" s="205"/>
      <c r="AP23" s="205"/>
      <c r="AQ23" s="205"/>
      <c r="AR23" s="205"/>
      <c r="AS23" s="205"/>
      <c r="AT23" s="205"/>
      <c r="AU23" s="205"/>
      <c r="AV23" s="205"/>
      <c r="AW23" s="205"/>
      <c r="BL23" s="1"/>
      <c r="BM23" s="1"/>
      <c r="BN23" s="1"/>
      <c r="BO23" s="1"/>
    </row>
    <row r="24" spans="1:68" s="46" customFormat="1" ht="16.149999999999999" customHeight="1">
      <c r="A24" s="93"/>
      <c r="B24" s="93"/>
      <c r="C24" s="93"/>
      <c r="D24" s="93"/>
      <c r="E24" s="212"/>
      <c r="F24" s="212"/>
      <c r="G24" s="204"/>
      <c r="H24" s="204"/>
      <c r="I24" s="204"/>
      <c r="J24" s="204"/>
      <c r="K24" s="204"/>
      <c r="L24" s="202" t="s">
        <v>96</v>
      </c>
      <c r="M24" s="202"/>
      <c r="N24" s="202"/>
      <c r="O24" s="196">
        <f>S27</f>
        <v>161</v>
      </c>
      <c r="P24" s="196"/>
      <c r="Q24" s="196"/>
      <c r="R24" s="196"/>
      <c r="S24" s="196">
        <f>W27+6</f>
        <v>172</v>
      </c>
      <c r="T24" s="196"/>
      <c r="U24" s="196"/>
      <c r="V24" s="196"/>
      <c r="W24" s="196">
        <f>W27+18</f>
        <v>184</v>
      </c>
      <c r="X24" s="196"/>
      <c r="Y24" s="196"/>
      <c r="Z24" s="196"/>
      <c r="AA24" s="201"/>
      <c r="AB24" s="201"/>
      <c r="AC24" s="201"/>
      <c r="AD24" s="201"/>
      <c r="AE24" s="201"/>
      <c r="AF24" s="201"/>
      <c r="AG24" s="201"/>
      <c r="AH24" s="205"/>
      <c r="AI24" s="205"/>
      <c r="AJ24" s="205"/>
      <c r="AK24" s="205"/>
      <c r="AL24" s="205"/>
      <c r="AM24" s="205"/>
      <c r="AN24" s="205"/>
      <c r="AO24" s="205"/>
      <c r="AP24" s="205"/>
      <c r="AQ24" s="205"/>
      <c r="AR24" s="205"/>
      <c r="AS24" s="205"/>
      <c r="AT24" s="205"/>
      <c r="AU24" s="205"/>
      <c r="AV24" s="205"/>
      <c r="AW24" s="205"/>
      <c r="BL24" s="1"/>
      <c r="BM24" s="1"/>
      <c r="BN24" s="1"/>
      <c r="BO24" s="1"/>
    </row>
    <row r="25" spans="1:68" s="46" customFormat="1" ht="16.149999999999999" customHeight="1">
      <c r="A25" s="93"/>
      <c r="B25" s="93"/>
      <c r="C25" s="93"/>
      <c r="D25" s="93"/>
      <c r="E25" s="212"/>
      <c r="F25" s="212"/>
      <c r="G25" s="198" t="s">
        <v>97</v>
      </c>
      <c r="H25" s="198"/>
      <c r="I25" s="198"/>
      <c r="J25" s="198"/>
      <c r="K25" s="198"/>
      <c r="L25" s="199" t="s">
        <v>10</v>
      </c>
      <c r="M25" s="199"/>
      <c r="N25" s="199"/>
      <c r="O25" s="101">
        <f>CEILING(134*1.3,0.5)</f>
        <v>174.5</v>
      </c>
      <c r="P25" s="101"/>
      <c r="Q25" s="101"/>
      <c r="R25" s="101"/>
      <c r="S25" s="197">
        <f>O25+5</f>
        <v>179.5</v>
      </c>
      <c r="T25" s="197"/>
      <c r="U25" s="197"/>
      <c r="V25" s="197"/>
      <c r="W25" s="197">
        <f>S25+5</f>
        <v>184.5</v>
      </c>
      <c r="X25" s="197"/>
      <c r="Y25" s="197"/>
      <c r="Z25" s="197"/>
      <c r="AA25" s="200" t="s">
        <v>313</v>
      </c>
      <c r="AB25" s="200"/>
      <c r="AC25" s="200"/>
      <c r="AD25" s="200"/>
      <c r="AE25" s="200"/>
      <c r="AF25" s="200"/>
      <c r="AG25" s="200"/>
      <c r="AH25" s="205"/>
      <c r="AI25" s="205"/>
      <c r="AJ25" s="205"/>
      <c r="AK25" s="205"/>
      <c r="AL25" s="205"/>
      <c r="AM25" s="205"/>
      <c r="AN25" s="205"/>
      <c r="AO25" s="205"/>
      <c r="AP25" s="205"/>
      <c r="AQ25" s="205"/>
      <c r="AR25" s="205"/>
      <c r="AS25" s="205"/>
      <c r="AT25" s="205"/>
      <c r="AU25" s="205"/>
      <c r="AV25" s="205"/>
      <c r="AW25" s="205"/>
      <c r="BL25" s="1"/>
      <c r="BM25" s="1"/>
      <c r="BN25" s="1"/>
      <c r="BO25" s="1"/>
    </row>
    <row r="26" spans="1:68" s="46" customFormat="1" ht="16.149999999999999" customHeight="1">
      <c r="A26" s="93"/>
      <c r="B26" s="93"/>
      <c r="C26" s="93"/>
      <c r="D26" s="93"/>
      <c r="E26" s="212"/>
      <c r="F26" s="212"/>
      <c r="G26" s="198"/>
      <c r="H26" s="198"/>
      <c r="I26" s="198"/>
      <c r="J26" s="198"/>
      <c r="K26" s="198"/>
      <c r="L26" s="199" t="s">
        <v>11</v>
      </c>
      <c r="M26" s="199"/>
      <c r="N26" s="199"/>
      <c r="O26" s="197">
        <f>CEILING(O25*0.95,0.5)</f>
        <v>166</v>
      </c>
      <c r="P26" s="197"/>
      <c r="Q26" s="197"/>
      <c r="R26" s="197"/>
      <c r="S26" s="197">
        <f>CEILING(S25*0.95,0.5)</f>
        <v>171</v>
      </c>
      <c r="T26" s="197"/>
      <c r="U26" s="197"/>
      <c r="V26" s="197"/>
      <c r="W26" s="197">
        <f>CEILING(W25*0.95,0.5)</f>
        <v>175.5</v>
      </c>
      <c r="X26" s="197"/>
      <c r="Y26" s="197"/>
      <c r="Z26" s="197"/>
      <c r="AA26" s="200"/>
      <c r="AB26" s="200"/>
      <c r="AC26" s="200"/>
      <c r="AD26" s="200"/>
      <c r="AE26" s="200"/>
      <c r="AF26" s="200"/>
      <c r="AG26" s="200"/>
      <c r="AH26" s="205"/>
      <c r="AI26" s="205"/>
      <c r="AJ26" s="205"/>
      <c r="AK26" s="205"/>
      <c r="AL26" s="205"/>
      <c r="AM26" s="205"/>
      <c r="AN26" s="205"/>
      <c r="AO26" s="205"/>
      <c r="AP26" s="205"/>
      <c r="AQ26" s="205"/>
      <c r="AR26" s="205"/>
      <c r="AS26" s="205"/>
      <c r="AT26" s="205"/>
      <c r="AU26" s="205"/>
      <c r="AV26" s="205"/>
      <c r="AW26" s="205"/>
      <c r="BL26" s="1"/>
      <c r="BM26" s="1"/>
      <c r="BN26" s="1"/>
      <c r="BO26" s="1"/>
    </row>
    <row r="27" spans="1:68" ht="16.149999999999999" customHeight="1">
      <c r="A27" s="93"/>
      <c r="B27" s="93"/>
      <c r="C27" s="93"/>
      <c r="D27" s="93"/>
      <c r="E27" s="219"/>
      <c r="F27" s="219"/>
      <c r="G27" s="198"/>
      <c r="H27" s="198"/>
      <c r="I27" s="198"/>
      <c r="J27" s="198"/>
      <c r="K27" s="198"/>
      <c r="L27" s="199" t="s">
        <v>12</v>
      </c>
      <c r="M27" s="199"/>
      <c r="N27" s="199"/>
      <c r="O27" s="101">
        <f>CEILING(120*1.3,0.5)</f>
        <v>156</v>
      </c>
      <c r="P27" s="101"/>
      <c r="Q27" s="101"/>
      <c r="R27" s="101"/>
      <c r="S27" s="197">
        <f>O27+5</f>
        <v>161</v>
      </c>
      <c r="T27" s="197"/>
      <c r="U27" s="197"/>
      <c r="V27" s="197"/>
      <c r="W27" s="197">
        <f>S27+5</f>
        <v>166</v>
      </c>
      <c r="X27" s="197"/>
      <c r="Y27" s="197"/>
      <c r="Z27" s="197"/>
      <c r="AA27" s="200"/>
      <c r="AB27" s="200"/>
      <c r="AC27" s="200"/>
      <c r="AD27" s="200"/>
      <c r="AE27" s="200"/>
      <c r="AF27" s="200"/>
      <c r="AG27" s="200"/>
      <c r="AH27" s="205"/>
      <c r="AI27" s="205"/>
      <c r="AJ27" s="205"/>
      <c r="AK27" s="205"/>
      <c r="AL27" s="205"/>
      <c r="AM27" s="205"/>
      <c r="AN27" s="205"/>
      <c r="AO27" s="205"/>
      <c r="AP27" s="205"/>
      <c r="AQ27" s="205"/>
      <c r="AR27" s="205"/>
      <c r="AS27" s="205"/>
      <c r="AT27" s="205"/>
      <c r="AU27" s="205"/>
      <c r="AV27" s="205"/>
      <c r="AW27" s="205"/>
    </row>
    <row r="28" spans="1:68" ht="16.149999999999999" customHeight="1">
      <c r="A28" s="9" t="s">
        <v>99</v>
      </c>
    </row>
    <row r="29" spans="1:68" ht="16.149999999999999" customHeight="1">
      <c r="A29" s="9" t="s">
        <v>100</v>
      </c>
    </row>
    <row r="30" spans="1:68" ht="16.149999999999999" customHeight="1"/>
    <row r="31" spans="1:68" s="46" customFormat="1" ht="16.149999999999999" customHeight="1">
      <c r="A31" s="1"/>
      <c r="F31" s="213">
        <v>819</v>
      </c>
      <c r="G31" s="214"/>
      <c r="H31" s="214"/>
      <c r="I31" s="214"/>
      <c r="J31" s="214"/>
      <c r="K31" s="214"/>
      <c r="L31" s="214"/>
      <c r="M31" s="214"/>
      <c r="N31" s="215"/>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row>
    <row r="32" spans="1:68" s="46" customFormat="1" ht="16.149999999999999" customHeight="1">
      <c r="A32" s="1"/>
      <c r="B32" s="206" t="s">
        <v>90</v>
      </c>
      <c r="C32" s="207"/>
      <c r="D32" s="207"/>
      <c r="E32" s="207"/>
      <c r="F32" s="208" t="s">
        <v>91</v>
      </c>
      <c r="G32" s="209"/>
      <c r="H32" s="209"/>
      <c r="I32" s="209"/>
      <c r="J32" s="209"/>
      <c r="K32" s="209"/>
      <c r="L32" s="209"/>
      <c r="M32" s="209"/>
      <c r="N32" s="210"/>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4"/>
      <c r="AR32" s="14"/>
      <c r="AS32" s="14"/>
      <c r="AT32" s="14"/>
      <c r="AU32" s="14"/>
      <c r="AV32" s="14"/>
      <c r="AW32" s="14"/>
      <c r="AX32" s="14"/>
      <c r="AY32" s="14"/>
      <c r="AZ32" s="14"/>
      <c r="BA32" s="14"/>
      <c r="BB32" s="14"/>
      <c r="BC32" s="14"/>
      <c r="BD32" s="14"/>
      <c r="BE32" s="14"/>
      <c r="BF32" s="14"/>
      <c r="BG32" s="14"/>
      <c r="BH32" s="14"/>
      <c r="BI32" s="14"/>
      <c r="BJ32" s="14"/>
      <c r="BK32" s="1"/>
      <c r="BL32" s="1"/>
      <c r="BM32" s="1"/>
      <c r="BN32" s="1"/>
      <c r="BO32" s="1"/>
      <c r="BP32" s="1"/>
    </row>
    <row r="33" spans="1:68" s="46" customFormat="1" ht="16.149999999999999" customHeight="1">
      <c r="A33" s="1"/>
      <c r="B33" s="217" t="s">
        <v>94</v>
      </c>
      <c r="C33" s="218"/>
      <c r="D33" s="218"/>
      <c r="E33" s="218"/>
      <c r="F33" s="208" t="s">
        <v>95</v>
      </c>
      <c r="G33" s="209"/>
      <c r="H33" s="209"/>
      <c r="I33" s="209"/>
      <c r="J33" s="209"/>
      <c r="K33" s="209"/>
      <c r="L33" s="209"/>
      <c r="M33" s="209"/>
      <c r="N33" s="210"/>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row>
    <row r="34" spans="1:68" s="46" customFormat="1" ht="16.149999999999999"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row>
    <row r="35" spans="1:68" ht="16.149999999999999" customHeight="1"/>
    <row r="36" spans="1:68" ht="16.149999999999999" customHeight="1"/>
    <row r="37" spans="1:68" ht="16.149999999999999" customHeight="1"/>
    <row r="38" spans="1:68" ht="16.149999999999999" customHeight="1"/>
    <row r="39" spans="1:68" ht="16.149999999999999" customHeight="1"/>
    <row r="40" spans="1:68" ht="16.149999999999999" customHeight="1"/>
    <row r="41" spans="1:68" ht="16.149999999999999" customHeight="1"/>
    <row r="42" spans="1:68" ht="16.149999999999999" customHeight="1"/>
    <row r="43" spans="1:68" ht="16.149999999999999" customHeight="1"/>
    <row r="44" spans="1:68" ht="16.149999999999999" customHeight="1"/>
    <row r="45" spans="1:68" ht="16.149999999999999" customHeight="1"/>
    <row r="46" spans="1:68" ht="16.149999999999999" customHeight="1"/>
    <row r="47" spans="1:68" ht="16.149999999999999" customHeight="1"/>
    <row r="48" spans="1:68" ht="16.149999999999999" customHeight="1"/>
    <row r="49" ht="16.149999999999999" customHeight="1"/>
    <row r="50" ht="16.149999999999999" customHeight="1"/>
    <row r="51" ht="16.149999999999999" customHeight="1"/>
    <row r="52" ht="16.149999999999999"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sheetData>
  <mergeCells count="117">
    <mergeCell ref="A4:K5"/>
    <mergeCell ref="L4:AE7"/>
    <mergeCell ref="AH4:AJ4"/>
    <mergeCell ref="AK4:AT4"/>
    <mergeCell ref="AH5:AJ5"/>
    <mergeCell ref="AK5:AT5"/>
    <mergeCell ref="A6:K7"/>
    <mergeCell ref="AP9:AW9"/>
    <mergeCell ref="AH6:AJ6"/>
    <mergeCell ref="AK6:AT6"/>
    <mergeCell ref="AH7:AJ7"/>
    <mergeCell ref="AK7:AT7"/>
    <mergeCell ref="O9:R9"/>
    <mergeCell ref="S9:V9"/>
    <mergeCell ref="W9:Z9"/>
    <mergeCell ref="AA9:AG9"/>
    <mergeCell ref="AH9:AO9"/>
    <mergeCell ref="F31:N31"/>
    <mergeCell ref="A9:D9"/>
    <mergeCell ref="E9:F9"/>
    <mergeCell ref="G9:K9"/>
    <mergeCell ref="L9:N9"/>
    <mergeCell ref="B33:E33"/>
    <mergeCell ref="F33:N33"/>
    <mergeCell ref="L11:N11"/>
    <mergeCell ref="L12:N12"/>
    <mergeCell ref="L14:N14"/>
    <mergeCell ref="A22:D27"/>
    <mergeCell ref="E22:F27"/>
    <mergeCell ref="G22:K24"/>
    <mergeCell ref="L22:N22"/>
    <mergeCell ref="AA10:AG12"/>
    <mergeCell ref="AH10:AO27"/>
    <mergeCell ref="AP10:AW27"/>
    <mergeCell ref="O11:R11"/>
    <mergeCell ref="S11:V11"/>
    <mergeCell ref="W11:Z11"/>
    <mergeCell ref="O12:R12"/>
    <mergeCell ref="B32:E32"/>
    <mergeCell ref="F32:N32"/>
    <mergeCell ref="A10:D21"/>
    <mergeCell ref="E10:F15"/>
    <mergeCell ref="G10:K12"/>
    <mergeCell ref="L10:N10"/>
    <mergeCell ref="S12:V12"/>
    <mergeCell ref="W12:Z12"/>
    <mergeCell ref="G13:K15"/>
    <mergeCell ref="L13:N13"/>
    <mergeCell ref="O13:R13"/>
    <mergeCell ref="S13:V13"/>
    <mergeCell ref="W13:Z13"/>
    <mergeCell ref="O10:R10"/>
    <mergeCell ref="S10:V10"/>
    <mergeCell ref="W10:Z10"/>
    <mergeCell ref="AA13:AG15"/>
    <mergeCell ref="O14:R14"/>
    <mergeCell ref="S14:V14"/>
    <mergeCell ref="W14:Z14"/>
    <mergeCell ref="L15:N15"/>
    <mergeCell ref="O15:R15"/>
    <mergeCell ref="S15:V15"/>
    <mergeCell ref="W15:Z15"/>
    <mergeCell ref="E16:F21"/>
    <mergeCell ref="G16:K18"/>
    <mergeCell ref="L16:N16"/>
    <mergeCell ref="O16:R16"/>
    <mergeCell ref="S16:V16"/>
    <mergeCell ref="W16:Z16"/>
    <mergeCell ref="G19:K21"/>
    <mergeCell ref="L19:N19"/>
    <mergeCell ref="O19:R19"/>
    <mergeCell ref="S19:V19"/>
    <mergeCell ref="W19:Z19"/>
    <mergeCell ref="AA16:AG18"/>
    <mergeCell ref="L17:N17"/>
    <mergeCell ref="O17:R17"/>
    <mergeCell ref="S17:V17"/>
    <mergeCell ref="W17:Z17"/>
    <mergeCell ref="L18:N18"/>
    <mergeCell ref="O18:R18"/>
    <mergeCell ref="S18:V18"/>
    <mergeCell ref="W18:Z18"/>
    <mergeCell ref="AA25:AG27"/>
    <mergeCell ref="L26:N26"/>
    <mergeCell ref="O26:R26"/>
    <mergeCell ref="S26:V26"/>
    <mergeCell ref="W26:Z26"/>
    <mergeCell ref="L27:N27"/>
    <mergeCell ref="O27:R27"/>
    <mergeCell ref="AA19:AG21"/>
    <mergeCell ref="L20:N20"/>
    <mergeCell ref="O20:R20"/>
    <mergeCell ref="S20:V20"/>
    <mergeCell ref="W20:Z20"/>
    <mergeCell ref="L21:N21"/>
    <mergeCell ref="O21:R21"/>
    <mergeCell ref="S21:V21"/>
    <mergeCell ref="W21:Z21"/>
    <mergeCell ref="AA22:AG24"/>
    <mergeCell ref="L23:N23"/>
    <mergeCell ref="O23:R23"/>
    <mergeCell ref="S23:V23"/>
    <mergeCell ref="W23:Z23"/>
    <mergeCell ref="L24:N24"/>
    <mergeCell ref="O24:R24"/>
    <mergeCell ref="S24:V24"/>
    <mergeCell ref="W24:Z24"/>
    <mergeCell ref="S27:V27"/>
    <mergeCell ref="W27:Z27"/>
    <mergeCell ref="O22:R22"/>
    <mergeCell ref="S22:V22"/>
    <mergeCell ref="G25:K27"/>
    <mergeCell ref="L25:N25"/>
    <mergeCell ref="O25:R25"/>
    <mergeCell ref="S25:V25"/>
    <mergeCell ref="W22:Z22"/>
    <mergeCell ref="W25:Z25"/>
  </mergeCells>
  <phoneticPr fontId="2"/>
  <pageMargins left="0.39370078740157483" right="0.39370078740157483" top="0.59055118110236227" bottom="0.39370078740157483" header="0.51181102362204722" footer="0.19685039370078741"/>
  <pageSetup paperSize="9" scale="90" firstPageNumber="8" orientation="portrait" useFirstPageNumber="1" r:id="rId1"/>
  <headerFooter alignWithMargins="0">
    <oddFooter>&amp;C20260511臨時改定価格_SP_レーヨン和紙・ソフトクラフト（単袋）&amp;R&amp;P/&amp;N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84E09-C5C5-40EA-A326-E9165C103EFC}">
  <sheetPr>
    <tabColor indexed="10"/>
  </sheetPr>
  <dimension ref="A1:BK171"/>
  <sheetViews>
    <sheetView view="pageBreakPreview" zoomScaleSheetLayoutView="100" workbookViewId="0">
      <selection activeCell="BS8" sqref="BS8"/>
    </sheetView>
  </sheetViews>
  <sheetFormatPr defaultColWidth="8.875" defaultRowHeight="13.5"/>
  <cols>
    <col min="1" max="63" width="1.625" style="1" customWidth="1"/>
    <col min="64"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3" ht="16.5" customHeight="1"/>
    <row r="4" spans="1:63" ht="16.5" customHeight="1">
      <c r="A4" s="109" t="s">
        <v>0</v>
      </c>
      <c r="B4" s="110"/>
      <c r="C4" s="110"/>
      <c r="D4" s="110"/>
      <c r="E4" s="110"/>
      <c r="F4" s="110"/>
      <c r="G4" s="110"/>
      <c r="H4" s="110"/>
      <c r="I4" s="110"/>
      <c r="J4" s="110"/>
      <c r="K4" s="172"/>
      <c r="L4" s="123" t="s">
        <v>101</v>
      </c>
      <c r="M4" s="124"/>
      <c r="N4" s="124"/>
      <c r="O4" s="124"/>
      <c r="P4" s="124"/>
      <c r="Q4" s="124"/>
      <c r="R4" s="124"/>
      <c r="S4" s="124"/>
      <c r="T4" s="124"/>
      <c r="U4" s="124"/>
      <c r="V4" s="124"/>
      <c r="W4" s="124"/>
      <c r="X4" s="124"/>
      <c r="Y4" s="124"/>
      <c r="Z4" s="124"/>
      <c r="AA4" s="124"/>
      <c r="AB4" s="124"/>
      <c r="AC4" s="124"/>
      <c r="AD4" s="124"/>
      <c r="AE4" s="124"/>
      <c r="AF4" s="4"/>
      <c r="AG4" s="4"/>
      <c r="AH4" s="4"/>
      <c r="AI4" s="4"/>
      <c r="AJ4" s="4"/>
      <c r="AK4" s="4"/>
      <c r="AL4" s="4"/>
      <c r="AM4" s="4"/>
    </row>
    <row r="5" spans="1:63" ht="16.5" customHeight="1">
      <c r="A5" s="111"/>
      <c r="B5" s="112"/>
      <c r="C5" s="112"/>
      <c r="D5" s="112"/>
      <c r="E5" s="112"/>
      <c r="F5" s="112"/>
      <c r="G5" s="112"/>
      <c r="H5" s="112"/>
      <c r="I5" s="112"/>
      <c r="J5" s="112"/>
      <c r="K5" s="173"/>
      <c r="L5" s="125"/>
      <c r="M5" s="126"/>
      <c r="N5" s="126"/>
      <c r="O5" s="126"/>
      <c r="P5" s="126"/>
      <c r="Q5" s="126"/>
      <c r="R5" s="126"/>
      <c r="S5" s="126"/>
      <c r="T5" s="126"/>
      <c r="U5" s="126"/>
      <c r="V5" s="126"/>
      <c r="W5" s="126"/>
      <c r="X5" s="126"/>
      <c r="Y5" s="126"/>
      <c r="Z5" s="126"/>
      <c r="AA5" s="126"/>
      <c r="AB5" s="126"/>
      <c r="AC5" s="126"/>
      <c r="AD5" s="126"/>
      <c r="AE5" s="126"/>
      <c r="AF5" s="4"/>
      <c r="AG5" s="4"/>
      <c r="AH5" s="4"/>
      <c r="AI5" s="4"/>
      <c r="AJ5" s="4"/>
      <c r="AK5" s="4"/>
      <c r="AL5" s="4"/>
      <c r="AM5" s="4"/>
    </row>
    <row r="6" spans="1:63" ht="16.5" customHeight="1">
      <c r="A6" s="180" t="s">
        <v>2</v>
      </c>
      <c r="B6" s="181"/>
      <c r="C6" s="181"/>
      <c r="D6" s="181"/>
      <c r="E6" s="181"/>
      <c r="F6" s="181"/>
      <c r="G6" s="181"/>
      <c r="H6" s="181"/>
      <c r="I6" s="181"/>
      <c r="J6" s="181"/>
      <c r="K6" s="182"/>
      <c r="L6" s="125"/>
      <c r="M6" s="126"/>
      <c r="N6" s="126"/>
      <c r="O6" s="126"/>
      <c r="P6" s="126"/>
      <c r="Q6" s="126"/>
      <c r="R6" s="126"/>
      <c r="S6" s="126"/>
      <c r="T6" s="126"/>
      <c r="U6" s="126"/>
      <c r="V6" s="126"/>
      <c r="W6" s="126"/>
      <c r="X6" s="126"/>
      <c r="Y6" s="126"/>
      <c r="Z6" s="126"/>
      <c r="AA6" s="126"/>
      <c r="AB6" s="126"/>
      <c r="AC6" s="126"/>
      <c r="AD6" s="126"/>
      <c r="AE6" s="126"/>
      <c r="AF6" s="4"/>
      <c r="AG6" s="4"/>
      <c r="AH6" s="4"/>
      <c r="AI6" s="4"/>
      <c r="AJ6" s="4"/>
      <c r="AK6" s="4"/>
      <c r="AL6" s="4"/>
      <c r="AM6" s="4"/>
    </row>
    <row r="7" spans="1:63" ht="16.5" customHeight="1">
      <c r="A7" s="106"/>
      <c r="B7" s="107"/>
      <c r="C7" s="107"/>
      <c r="D7" s="107"/>
      <c r="E7" s="107"/>
      <c r="F7" s="107"/>
      <c r="G7" s="107"/>
      <c r="H7" s="107"/>
      <c r="I7" s="107"/>
      <c r="J7" s="107"/>
      <c r="K7" s="108"/>
      <c r="L7" s="127"/>
      <c r="M7" s="128"/>
      <c r="N7" s="128"/>
      <c r="O7" s="128"/>
      <c r="P7" s="128"/>
      <c r="Q7" s="128"/>
      <c r="R7" s="128"/>
      <c r="S7" s="128"/>
      <c r="T7" s="128"/>
      <c r="U7" s="128"/>
      <c r="V7" s="128"/>
      <c r="W7" s="128"/>
      <c r="X7" s="128"/>
      <c r="Y7" s="128"/>
      <c r="Z7" s="128"/>
      <c r="AA7" s="128"/>
      <c r="AB7" s="128"/>
      <c r="AC7" s="128"/>
      <c r="AD7" s="128"/>
      <c r="AE7" s="128"/>
      <c r="AF7" s="4"/>
      <c r="AG7" s="4"/>
      <c r="AH7" s="4"/>
      <c r="AI7" s="4"/>
      <c r="AJ7" s="4"/>
      <c r="AK7" s="4"/>
      <c r="AL7" s="4"/>
      <c r="AM7" s="4"/>
    </row>
    <row r="8" spans="1:63" ht="16.5" customHeight="1">
      <c r="A8" s="20"/>
      <c r="B8" s="20"/>
      <c r="C8" s="20"/>
      <c r="D8" s="20"/>
      <c r="E8" s="20"/>
      <c r="F8" s="20"/>
      <c r="G8" s="20"/>
      <c r="H8" s="20"/>
      <c r="I8" s="20"/>
      <c r="J8" s="20"/>
      <c r="K8" s="20"/>
      <c r="L8" s="48"/>
      <c r="M8" s="48"/>
      <c r="N8" s="48"/>
      <c r="O8" s="48"/>
      <c r="P8" s="48"/>
      <c r="Q8" s="48"/>
      <c r="R8" s="48"/>
      <c r="S8" s="48"/>
      <c r="T8" s="48"/>
      <c r="U8" s="48"/>
      <c r="V8" s="48"/>
      <c r="W8" s="48"/>
      <c r="X8" s="48"/>
      <c r="Y8" s="48"/>
      <c r="Z8" s="48"/>
      <c r="AA8" s="48"/>
      <c r="AB8" s="48"/>
      <c r="AC8" s="48"/>
      <c r="AD8" s="48"/>
      <c r="AE8" s="48"/>
      <c r="AF8" s="48"/>
      <c r="AG8" s="48"/>
      <c r="AH8" s="48"/>
      <c r="AI8" s="48"/>
      <c r="AJ8" s="48"/>
    </row>
    <row r="9" spans="1:63" ht="16.5" customHeight="1">
      <c r="A9" s="98" t="s">
        <v>3</v>
      </c>
      <c r="B9" s="98"/>
      <c r="C9" s="98"/>
      <c r="D9" s="98"/>
      <c r="E9" s="98"/>
      <c r="F9" s="155" t="s">
        <v>4</v>
      </c>
      <c r="G9" s="155"/>
      <c r="H9" s="155"/>
      <c r="I9" s="98" t="s">
        <v>5</v>
      </c>
      <c r="J9" s="98"/>
      <c r="K9" s="98"/>
      <c r="L9" s="98"/>
      <c r="M9" s="98"/>
      <c r="N9" s="98"/>
      <c r="O9" s="98"/>
      <c r="P9" s="98" t="s">
        <v>6</v>
      </c>
      <c r="Q9" s="98"/>
      <c r="R9" s="98"/>
      <c r="S9" s="98"/>
      <c r="T9" s="98" t="s">
        <v>7</v>
      </c>
      <c r="U9" s="98"/>
      <c r="V9" s="98"/>
      <c r="W9" s="98"/>
      <c r="X9" s="98" t="s">
        <v>8</v>
      </c>
      <c r="Y9" s="98"/>
      <c r="Z9" s="98"/>
      <c r="AA9" s="98"/>
      <c r="AB9" s="3"/>
      <c r="AC9" s="3"/>
      <c r="AD9" s="3"/>
      <c r="AE9" s="3"/>
      <c r="AF9" s="3"/>
      <c r="AG9" s="98" t="s">
        <v>3</v>
      </c>
      <c r="AH9" s="98"/>
      <c r="AI9" s="98"/>
      <c r="AJ9" s="98"/>
      <c r="AK9" s="98"/>
      <c r="AL9" s="155" t="s">
        <v>4</v>
      </c>
      <c r="AM9" s="155"/>
      <c r="AN9" s="155"/>
      <c r="AO9" s="98" t="s">
        <v>5</v>
      </c>
      <c r="AP9" s="98"/>
      <c r="AQ9" s="98"/>
      <c r="AR9" s="98"/>
      <c r="AS9" s="98"/>
      <c r="AT9" s="98"/>
      <c r="AU9" s="98"/>
      <c r="AV9" s="98" t="s">
        <v>6</v>
      </c>
      <c r="AW9" s="98"/>
      <c r="AX9" s="98"/>
      <c r="AY9" s="98"/>
      <c r="AZ9" s="98" t="s">
        <v>7</v>
      </c>
      <c r="BA9" s="98"/>
      <c r="BB9" s="98"/>
      <c r="BC9" s="98"/>
      <c r="BD9" s="98" t="s">
        <v>8</v>
      </c>
      <c r="BE9" s="98"/>
      <c r="BF9" s="98"/>
      <c r="BG9" s="98"/>
      <c r="BH9" s="3"/>
      <c r="BI9" s="3"/>
      <c r="BJ9" s="3"/>
      <c r="BK9" s="3"/>
    </row>
    <row r="10" spans="1:63" ht="16.5" customHeight="1">
      <c r="A10" s="202">
        <v>936</v>
      </c>
      <c r="B10" s="202"/>
      <c r="C10" s="202"/>
      <c r="D10" s="202"/>
      <c r="E10" s="202"/>
      <c r="F10" s="94">
        <v>1</v>
      </c>
      <c r="G10" s="94"/>
      <c r="H10" s="94"/>
      <c r="I10" s="95" t="s">
        <v>9</v>
      </c>
      <c r="J10" s="95"/>
      <c r="K10" s="95"/>
      <c r="L10" s="95"/>
      <c r="M10" s="95"/>
      <c r="N10" s="100" t="s">
        <v>10</v>
      </c>
      <c r="O10" s="100"/>
      <c r="P10" s="99">
        <f>P22+20</f>
        <v>220.5</v>
      </c>
      <c r="Q10" s="99"/>
      <c r="R10" s="99"/>
      <c r="S10" s="99"/>
      <c r="T10" s="99">
        <f>P10+30</f>
        <v>250.5</v>
      </c>
      <c r="U10" s="99"/>
      <c r="V10" s="99"/>
      <c r="W10" s="99"/>
      <c r="X10" s="99">
        <f>T10+30</f>
        <v>280.5</v>
      </c>
      <c r="Y10" s="99"/>
      <c r="Z10" s="99"/>
      <c r="AA10" s="99"/>
      <c r="AB10" s="10"/>
      <c r="AC10" s="10"/>
      <c r="AD10" s="10"/>
      <c r="AE10" s="10"/>
      <c r="AF10" s="49"/>
      <c r="AG10" s="202">
        <v>936</v>
      </c>
      <c r="AH10" s="202"/>
      <c r="AI10" s="202"/>
      <c r="AJ10" s="202"/>
      <c r="AK10" s="202"/>
      <c r="AL10" s="94">
        <v>2</v>
      </c>
      <c r="AM10" s="94"/>
      <c r="AN10" s="94"/>
      <c r="AO10" s="156" t="s">
        <v>9</v>
      </c>
      <c r="AP10" s="156"/>
      <c r="AQ10" s="156"/>
      <c r="AR10" s="156"/>
      <c r="AS10" s="156"/>
      <c r="AT10" s="100" t="s">
        <v>10</v>
      </c>
      <c r="AU10" s="100"/>
      <c r="AV10" s="99">
        <f>AV22+20</f>
        <v>224.5</v>
      </c>
      <c r="AW10" s="99"/>
      <c r="AX10" s="99"/>
      <c r="AY10" s="99"/>
      <c r="AZ10" s="99">
        <f>AV10+30</f>
        <v>254.5</v>
      </c>
      <c r="BA10" s="99"/>
      <c r="BB10" s="99"/>
      <c r="BC10" s="99"/>
      <c r="BD10" s="99">
        <f>AZ10+30</f>
        <v>284.5</v>
      </c>
      <c r="BE10" s="99"/>
      <c r="BF10" s="99"/>
      <c r="BG10" s="99"/>
      <c r="BH10" s="10"/>
      <c r="BI10" s="10"/>
      <c r="BJ10" s="10"/>
      <c r="BK10" s="10"/>
    </row>
    <row r="11" spans="1:63" ht="16.5" customHeight="1">
      <c r="A11" s="202"/>
      <c r="B11" s="202"/>
      <c r="C11" s="202"/>
      <c r="D11" s="202"/>
      <c r="E11" s="202"/>
      <c r="F11" s="94"/>
      <c r="G11" s="94"/>
      <c r="H11" s="94"/>
      <c r="I11" s="95"/>
      <c r="J11" s="95"/>
      <c r="K11" s="95"/>
      <c r="L11" s="95"/>
      <c r="M11" s="95"/>
      <c r="N11" s="100" t="s">
        <v>11</v>
      </c>
      <c r="O11" s="100"/>
      <c r="P11" s="99">
        <f>CEILING(P10*0.95,0.5)</f>
        <v>209.5</v>
      </c>
      <c r="Q11" s="99"/>
      <c r="R11" s="99"/>
      <c r="S11" s="99"/>
      <c r="T11" s="99">
        <f>CEILING(T10*0.95,0.5)</f>
        <v>238</v>
      </c>
      <c r="U11" s="99"/>
      <c r="V11" s="99"/>
      <c r="W11" s="99"/>
      <c r="X11" s="99">
        <f>CEILING(X10*0.95,0.5)</f>
        <v>266.5</v>
      </c>
      <c r="Y11" s="99"/>
      <c r="Z11" s="99"/>
      <c r="AA11" s="99"/>
      <c r="AB11" s="10"/>
      <c r="AC11" s="10"/>
      <c r="AD11" s="10"/>
      <c r="AE11" s="10"/>
      <c r="AF11" s="49"/>
      <c r="AG11" s="202"/>
      <c r="AH11" s="202"/>
      <c r="AI11" s="202"/>
      <c r="AJ11" s="202"/>
      <c r="AK11" s="202"/>
      <c r="AL11" s="94"/>
      <c r="AM11" s="94"/>
      <c r="AN11" s="94"/>
      <c r="AO11" s="156"/>
      <c r="AP11" s="156"/>
      <c r="AQ11" s="156"/>
      <c r="AR11" s="156"/>
      <c r="AS11" s="156"/>
      <c r="AT11" s="100" t="s">
        <v>11</v>
      </c>
      <c r="AU11" s="100"/>
      <c r="AV11" s="99">
        <f>CEILING(AV10*0.95,0.5)</f>
        <v>213.5</v>
      </c>
      <c r="AW11" s="99"/>
      <c r="AX11" s="99"/>
      <c r="AY11" s="99"/>
      <c r="AZ11" s="99">
        <f>CEILING(AZ10*0.95,0.5)</f>
        <v>242</v>
      </c>
      <c r="BA11" s="99"/>
      <c r="BB11" s="99"/>
      <c r="BC11" s="99"/>
      <c r="BD11" s="99">
        <f>CEILING(BD10*0.95,0.5)</f>
        <v>270.5</v>
      </c>
      <c r="BE11" s="99"/>
      <c r="BF11" s="99"/>
      <c r="BG11" s="99"/>
      <c r="BH11" s="10"/>
      <c r="BI11" s="10"/>
      <c r="BJ11" s="10"/>
      <c r="BK11" s="10"/>
    </row>
    <row r="12" spans="1:63" ht="16.5" customHeight="1">
      <c r="A12" s="202"/>
      <c r="B12" s="202"/>
      <c r="C12" s="202"/>
      <c r="D12" s="202"/>
      <c r="E12" s="202"/>
      <c r="F12" s="94"/>
      <c r="G12" s="94"/>
      <c r="H12" s="94"/>
      <c r="I12" s="95"/>
      <c r="J12" s="95"/>
      <c r="K12" s="95"/>
      <c r="L12" s="95"/>
      <c r="M12" s="95"/>
      <c r="N12" s="100" t="s">
        <v>12</v>
      </c>
      <c r="O12" s="100"/>
      <c r="P12" s="99">
        <f>P24+20</f>
        <v>188</v>
      </c>
      <c r="Q12" s="99"/>
      <c r="R12" s="99"/>
      <c r="S12" s="99"/>
      <c r="T12" s="99">
        <f>P12+30</f>
        <v>218</v>
      </c>
      <c r="U12" s="99"/>
      <c r="V12" s="99"/>
      <c r="W12" s="99"/>
      <c r="X12" s="99">
        <f>T12+30</f>
        <v>248</v>
      </c>
      <c r="Y12" s="99"/>
      <c r="Z12" s="99"/>
      <c r="AA12" s="99"/>
      <c r="AB12" s="10"/>
      <c r="AC12" s="10"/>
      <c r="AD12" s="10"/>
      <c r="AE12" s="10"/>
      <c r="AF12" s="49"/>
      <c r="AG12" s="202"/>
      <c r="AH12" s="202"/>
      <c r="AI12" s="202"/>
      <c r="AJ12" s="202"/>
      <c r="AK12" s="202"/>
      <c r="AL12" s="94"/>
      <c r="AM12" s="94"/>
      <c r="AN12" s="94"/>
      <c r="AO12" s="156"/>
      <c r="AP12" s="156"/>
      <c r="AQ12" s="156"/>
      <c r="AR12" s="156"/>
      <c r="AS12" s="156"/>
      <c r="AT12" s="100" t="s">
        <v>12</v>
      </c>
      <c r="AU12" s="100"/>
      <c r="AV12" s="99">
        <f>AV24+20</f>
        <v>191</v>
      </c>
      <c r="AW12" s="99"/>
      <c r="AX12" s="99"/>
      <c r="AY12" s="99"/>
      <c r="AZ12" s="99">
        <f>AV12+30</f>
        <v>221</v>
      </c>
      <c r="BA12" s="99"/>
      <c r="BB12" s="99"/>
      <c r="BC12" s="99"/>
      <c r="BD12" s="99">
        <f>AZ12+30</f>
        <v>251</v>
      </c>
      <c r="BE12" s="99"/>
      <c r="BF12" s="99"/>
      <c r="BG12" s="99"/>
      <c r="BH12" s="10"/>
      <c r="BI12" s="10"/>
      <c r="BJ12" s="10"/>
      <c r="BK12" s="10"/>
    </row>
    <row r="13" spans="1:63" ht="16.5" customHeight="1">
      <c r="A13" s="202"/>
      <c r="B13" s="202"/>
      <c r="C13" s="202"/>
      <c r="D13" s="202"/>
      <c r="E13" s="202"/>
      <c r="F13" s="94"/>
      <c r="G13" s="94"/>
      <c r="H13" s="94"/>
      <c r="I13" s="97" t="s">
        <v>55</v>
      </c>
      <c r="J13" s="97"/>
      <c r="K13" s="97"/>
      <c r="L13" s="97"/>
      <c r="M13" s="97"/>
      <c r="N13" s="98" t="s">
        <v>58</v>
      </c>
      <c r="O13" s="98"/>
      <c r="P13" s="96">
        <f>CEILING(P10*0.28+5,0.5)</f>
        <v>67</v>
      </c>
      <c r="Q13" s="96"/>
      <c r="R13" s="96"/>
      <c r="S13" s="96"/>
      <c r="T13" s="96">
        <f>CEILING(T10*0.28+5,0.5)</f>
        <v>75.5</v>
      </c>
      <c r="U13" s="96"/>
      <c r="V13" s="96"/>
      <c r="W13" s="96"/>
      <c r="X13" s="96">
        <f>CEILING(X10*0.28+5,0.5)</f>
        <v>84</v>
      </c>
      <c r="Y13" s="96"/>
      <c r="Z13" s="96"/>
      <c r="AA13" s="96"/>
      <c r="AB13" s="10"/>
      <c r="AC13" s="10"/>
      <c r="AD13" s="10"/>
      <c r="AE13" s="10"/>
      <c r="AF13" s="49"/>
      <c r="AG13" s="202"/>
      <c r="AH13" s="202"/>
      <c r="AI13" s="202"/>
      <c r="AJ13" s="202"/>
      <c r="AK13" s="202"/>
      <c r="AL13" s="94"/>
      <c r="AM13" s="94"/>
      <c r="AN13" s="94"/>
      <c r="AO13" s="97" t="s">
        <v>13</v>
      </c>
      <c r="AP13" s="97"/>
      <c r="AQ13" s="97"/>
      <c r="AR13" s="97"/>
      <c r="AS13" s="97"/>
      <c r="AT13" s="98" t="s">
        <v>58</v>
      </c>
      <c r="AU13" s="98"/>
      <c r="AV13" s="96">
        <f>CEILING(AV10*0.35+5,0.5)</f>
        <v>84</v>
      </c>
      <c r="AW13" s="96"/>
      <c r="AX13" s="96"/>
      <c r="AY13" s="96"/>
      <c r="AZ13" s="96">
        <f>CEILING(AZ10*0.35+5,0.5)</f>
        <v>94.5</v>
      </c>
      <c r="BA13" s="96"/>
      <c r="BB13" s="96"/>
      <c r="BC13" s="96"/>
      <c r="BD13" s="96">
        <f>CEILING(BD10*0.35+5,0.5)</f>
        <v>105</v>
      </c>
      <c r="BE13" s="96"/>
      <c r="BF13" s="96"/>
      <c r="BG13" s="96"/>
      <c r="BH13" s="10"/>
      <c r="BI13" s="10"/>
      <c r="BJ13" s="10"/>
      <c r="BK13" s="10"/>
    </row>
    <row r="14" spans="1:63" ht="16.5" customHeight="1">
      <c r="A14" s="202"/>
      <c r="B14" s="202"/>
      <c r="C14" s="202"/>
      <c r="D14" s="202"/>
      <c r="E14" s="202"/>
      <c r="F14" s="94"/>
      <c r="G14" s="94"/>
      <c r="H14" s="94"/>
      <c r="I14" s="97"/>
      <c r="J14" s="97"/>
      <c r="K14" s="157"/>
      <c r="L14" s="97"/>
      <c r="M14" s="97"/>
      <c r="N14" s="98" t="s">
        <v>11</v>
      </c>
      <c r="O14" s="98"/>
      <c r="P14" s="96">
        <f>CEILING(P13*0.95,0.5)</f>
        <v>64</v>
      </c>
      <c r="Q14" s="96"/>
      <c r="R14" s="96"/>
      <c r="S14" s="96"/>
      <c r="T14" s="96">
        <f>CEILING(T13*0.95,0.5)</f>
        <v>72</v>
      </c>
      <c r="U14" s="96"/>
      <c r="V14" s="96"/>
      <c r="W14" s="96"/>
      <c r="X14" s="96">
        <f>CEILING(X13*0.95,0.5)</f>
        <v>80</v>
      </c>
      <c r="Y14" s="96"/>
      <c r="Z14" s="96"/>
      <c r="AA14" s="96"/>
      <c r="AB14" s="10"/>
      <c r="AC14" s="10"/>
      <c r="AD14" s="10"/>
      <c r="AE14" s="10"/>
      <c r="AF14" s="49"/>
      <c r="AG14" s="202"/>
      <c r="AH14" s="202"/>
      <c r="AI14" s="202"/>
      <c r="AJ14" s="202"/>
      <c r="AK14" s="202"/>
      <c r="AL14" s="94"/>
      <c r="AM14" s="94"/>
      <c r="AN14" s="94"/>
      <c r="AO14" s="97"/>
      <c r="AP14" s="97"/>
      <c r="AQ14" s="97"/>
      <c r="AR14" s="97"/>
      <c r="AS14" s="97"/>
      <c r="AT14" s="98" t="s">
        <v>11</v>
      </c>
      <c r="AU14" s="98"/>
      <c r="AV14" s="96">
        <f>CEILING(AV13*0.95,0.5)</f>
        <v>80</v>
      </c>
      <c r="AW14" s="96"/>
      <c r="AX14" s="96"/>
      <c r="AY14" s="96"/>
      <c r="AZ14" s="96">
        <f>CEILING(AZ13*0.95,0.5)</f>
        <v>90</v>
      </c>
      <c r="BA14" s="96"/>
      <c r="BB14" s="96"/>
      <c r="BC14" s="96"/>
      <c r="BD14" s="96">
        <f>CEILING(BD13*0.95,0.5)</f>
        <v>100</v>
      </c>
      <c r="BE14" s="96"/>
      <c r="BF14" s="96"/>
      <c r="BG14" s="96"/>
      <c r="BH14" s="10"/>
      <c r="BI14" s="10"/>
      <c r="BJ14" s="10"/>
      <c r="BK14" s="10"/>
    </row>
    <row r="15" spans="1:63" ht="16.5" customHeight="1">
      <c r="A15" s="202"/>
      <c r="B15" s="202"/>
      <c r="C15" s="202"/>
      <c r="D15" s="202"/>
      <c r="E15" s="202"/>
      <c r="F15" s="94"/>
      <c r="G15" s="94"/>
      <c r="H15" s="94"/>
      <c r="I15" s="97"/>
      <c r="J15" s="97"/>
      <c r="K15" s="97"/>
      <c r="L15" s="97"/>
      <c r="M15" s="97"/>
      <c r="N15" s="98" t="s">
        <v>12</v>
      </c>
      <c r="O15" s="98"/>
      <c r="P15" s="96">
        <f>CEILING(P12*0.28+5,0.5)</f>
        <v>58</v>
      </c>
      <c r="Q15" s="96"/>
      <c r="R15" s="96"/>
      <c r="S15" s="96"/>
      <c r="T15" s="96">
        <f>CEILING(T12*0.28+5,0.5)</f>
        <v>66.5</v>
      </c>
      <c r="U15" s="96"/>
      <c r="V15" s="96"/>
      <c r="W15" s="96"/>
      <c r="X15" s="96">
        <f>CEILING(X12*0.28+5,0.5)</f>
        <v>74.5</v>
      </c>
      <c r="Y15" s="96"/>
      <c r="Z15" s="96"/>
      <c r="AA15" s="96"/>
      <c r="AB15" s="10"/>
      <c r="AC15" s="10"/>
      <c r="AD15" s="10"/>
      <c r="AE15" s="10"/>
      <c r="AF15" s="49"/>
      <c r="AG15" s="202"/>
      <c r="AH15" s="202"/>
      <c r="AI15" s="202"/>
      <c r="AJ15" s="202"/>
      <c r="AK15" s="202"/>
      <c r="AL15" s="94"/>
      <c r="AM15" s="94"/>
      <c r="AN15" s="94"/>
      <c r="AO15" s="97"/>
      <c r="AP15" s="97"/>
      <c r="AQ15" s="97"/>
      <c r="AR15" s="97"/>
      <c r="AS15" s="97"/>
      <c r="AT15" s="98" t="s">
        <v>12</v>
      </c>
      <c r="AU15" s="98"/>
      <c r="AV15" s="96">
        <f>CEILING(AV12*0.35+5,0.5)</f>
        <v>72</v>
      </c>
      <c r="AW15" s="96"/>
      <c r="AX15" s="96"/>
      <c r="AY15" s="96"/>
      <c r="AZ15" s="96">
        <f>CEILING(AZ12*0.35+5,0.5)</f>
        <v>82.5</v>
      </c>
      <c r="BA15" s="96"/>
      <c r="BB15" s="96"/>
      <c r="BC15" s="96"/>
      <c r="BD15" s="96">
        <f>CEILING(BD12*0.35+5,0.5)</f>
        <v>93</v>
      </c>
      <c r="BE15" s="96"/>
      <c r="BF15" s="96"/>
      <c r="BG15" s="96"/>
      <c r="BH15" s="10"/>
      <c r="BI15" s="10"/>
      <c r="BJ15" s="10"/>
      <c r="BK15" s="10"/>
    </row>
    <row r="16" spans="1:63" ht="16.5" customHeight="1">
      <c r="A16" s="202"/>
      <c r="B16" s="202"/>
      <c r="C16" s="202"/>
      <c r="D16" s="202"/>
      <c r="E16" s="202"/>
      <c r="F16" s="94"/>
      <c r="G16" s="94"/>
      <c r="H16" s="94"/>
      <c r="I16" s="95" t="s">
        <v>15</v>
      </c>
      <c r="J16" s="95"/>
      <c r="K16" s="95"/>
      <c r="L16" s="95"/>
      <c r="M16" s="95"/>
      <c r="N16" s="100" t="s">
        <v>10</v>
      </c>
      <c r="O16" s="100"/>
      <c r="P16" s="99">
        <f>P22+10</f>
        <v>210.5</v>
      </c>
      <c r="Q16" s="99"/>
      <c r="R16" s="99"/>
      <c r="S16" s="99"/>
      <c r="T16" s="99">
        <f>P16+15</f>
        <v>225.5</v>
      </c>
      <c r="U16" s="99"/>
      <c r="V16" s="99"/>
      <c r="W16" s="99"/>
      <c r="X16" s="99">
        <f>T16+15</f>
        <v>240.5</v>
      </c>
      <c r="Y16" s="99"/>
      <c r="Z16" s="99"/>
      <c r="AA16" s="99"/>
      <c r="AB16" s="10"/>
      <c r="AC16" s="10"/>
      <c r="AD16" s="10"/>
      <c r="AE16" s="10"/>
      <c r="AF16" s="49"/>
      <c r="AG16" s="202"/>
      <c r="AH16" s="202"/>
      <c r="AI16" s="202"/>
      <c r="AJ16" s="202"/>
      <c r="AK16" s="202"/>
      <c r="AL16" s="94"/>
      <c r="AM16" s="94"/>
      <c r="AN16" s="94"/>
      <c r="AO16" s="156" t="s">
        <v>15</v>
      </c>
      <c r="AP16" s="156"/>
      <c r="AQ16" s="156"/>
      <c r="AR16" s="156"/>
      <c r="AS16" s="156"/>
      <c r="AT16" s="100" t="s">
        <v>10</v>
      </c>
      <c r="AU16" s="100"/>
      <c r="AV16" s="99">
        <f>AV22+10</f>
        <v>214.5</v>
      </c>
      <c r="AW16" s="99"/>
      <c r="AX16" s="99"/>
      <c r="AY16" s="99"/>
      <c r="AZ16" s="99">
        <f>AV16+15</f>
        <v>229.5</v>
      </c>
      <c r="BA16" s="99"/>
      <c r="BB16" s="99"/>
      <c r="BC16" s="99"/>
      <c r="BD16" s="99">
        <f>AZ16+15</f>
        <v>244.5</v>
      </c>
      <c r="BE16" s="99"/>
      <c r="BF16" s="99"/>
      <c r="BG16" s="99"/>
      <c r="BH16" s="10"/>
      <c r="BI16" s="10"/>
      <c r="BJ16" s="10"/>
      <c r="BK16" s="10"/>
    </row>
    <row r="17" spans="1:63" ht="16.5" customHeight="1">
      <c r="A17" s="202"/>
      <c r="B17" s="202"/>
      <c r="C17" s="202"/>
      <c r="D17" s="202"/>
      <c r="E17" s="202"/>
      <c r="F17" s="94"/>
      <c r="G17" s="94"/>
      <c r="H17" s="94"/>
      <c r="I17" s="95"/>
      <c r="J17" s="95"/>
      <c r="K17" s="95"/>
      <c r="L17" s="95"/>
      <c r="M17" s="95"/>
      <c r="N17" s="100" t="s">
        <v>11</v>
      </c>
      <c r="O17" s="100"/>
      <c r="P17" s="99">
        <f>CEILING(P16*0.95,0.5)</f>
        <v>200</v>
      </c>
      <c r="Q17" s="99"/>
      <c r="R17" s="99"/>
      <c r="S17" s="99"/>
      <c r="T17" s="99">
        <f>CEILING(T16*0.95,0.5)</f>
        <v>214.5</v>
      </c>
      <c r="U17" s="99"/>
      <c r="V17" s="99"/>
      <c r="W17" s="99"/>
      <c r="X17" s="99">
        <f>CEILING(X16*0.95,0.5)</f>
        <v>228.5</v>
      </c>
      <c r="Y17" s="99"/>
      <c r="Z17" s="99"/>
      <c r="AA17" s="99"/>
      <c r="AB17" s="10"/>
      <c r="AC17" s="10"/>
      <c r="AD17" s="10"/>
      <c r="AE17" s="10"/>
      <c r="AF17" s="49"/>
      <c r="AG17" s="202"/>
      <c r="AH17" s="202"/>
      <c r="AI17" s="202"/>
      <c r="AJ17" s="202"/>
      <c r="AK17" s="202"/>
      <c r="AL17" s="94"/>
      <c r="AM17" s="94"/>
      <c r="AN17" s="94"/>
      <c r="AO17" s="156"/>
      <c r="AP17" s="156"/>
      <c r="AQ17" s="156"/>
      <c r="AR17" s="156"/>
      <c r="AS17" s="156"/>
      <c r="AT17" s="100" t="s">
        <v>11</v>
      </c>
      <c r="AU17" s="100"/>
      <c r="AV17" s="99">
        <f>CEILING(AV16*0.95,0.5)</f>
        <v>204</v>
      </c>
      <c r="AW17" s="99"/>
      <c r="AX17" s="99"/>
      <c r="AY17" s="99"/>
      <c r="AZ17" s="99">
        <f>CEILING(AZ16*0.95,0.5)</f>
        <v>218.5</v>
      </c>
      <c r="BA17" s="99"/>
      <c r="BB17" s="99"/>
      <c r="BC17" s="99"/>
      <c r="BD17" s="99">
        <f>CEILING(BD16*0.95,0.5)</f>
        <v>232.5</v>
      </c>
      <c r="BE17" s="99"/>
      <c r="BF17" s="99"/>
      <c r="BG17" s="99"/>
      <c r="BH17" s="10"/>
      <c r="BI17" s="10"/>
      <c r="BJ17" s="10"/>
      <c r="BK17" s="10"/>
    </row>
    <row r="18" spans="1:63" ht="16.5" customHeight="1">
      <c r="A18" s="202"/>
      <c r="B18" s="202"/>
      <c r="C18" s="202"/>
      <c r="D18" s="202"/>
      <c r="E18" s="202"/>
      <c r="F18" s="94"/>
      <c r="G18" s="94"/>
      <c r="H18" s="94"/>
      <c r="I18" s="95"/>
      <c r="J18" s="95"/>
      <c r="K18" s="95"/>
      <c r="L18" s="95"/>
      <c r="M18" s="95"/>
      <c r="N18" s="100" t="s">
        <v>12</v>
      </c>
      <c r="O18" s="100"/>
      <c r="P18" s="99">
        <f>P24+10</f>
        <v>178</v>
      </c>
      <c r="Q18" s="99"/>
      <c r="R18" s="99"/>
      <c r="S18" s="99"/>
      <c r="T18" s="99">
        <f>P18+15</f>
        <v>193</v>
      </c>
      <c r="U18" s="99"/>
      <c r="V18" s="99"/>
      <c r="W18" s="99"/>
      <c r="X18" s="99">
        <f>T18+15</f>
        <v>208</v>
      </c>
      <c r="Y18" s="99"/>
      <c r="Z18" s="99"/>
      <c r="AA18" s="99"/>
      <c r="AB18" s="10"/>
      <c r="AC18" s="10"/>
      <c r="AD18" s="10"/>
      <c r="AE18" s="10"/>
      <c r="AF18" s="49"/>
      <c r="AG18" s="202"/>
      <c r="AH18" s="202"/>
      <c r="AI18" s="202"/>
      <c r="AJ18" s="202"/>
      <c r="AK18" s="202"/>
      <c r="AL18" s="94"/>
      <c r="AM18" s="94"/>
      <c r="AN18" s="94"/>
      <c r="AO18" s="156"/>
      <c r="AP18" s="156"/>
      <c r="AQ18" s="156"/>
      <c r="AR18" s="156"/>
      <c r="AS18" s="156"/>
      <c r="AT18" s="100" t="s">
        <v>12</v>
      </c>
      <c r="AU18" s="100"/>
      <c r="AV18" s="99">
        <f>AV24+10</f>
        <v>181</v>
      </c>
      <c r="AW18" s="99"/>
      <c r="AX18" s="99"/>
      <c r="AY18" s="99"/>
      <c r="AZ18" s="99">
        <f>AV18+15</f>
        <v>196</v>
      </c>
      <c r="BA18" s="99"/>
      <c r="BB18" s="99"/>
      <c r="BC18" s="99"/>
      <c r="BD18" s="99">
        <f>AZ18+15</f>
        <v>211</v>
      </c>
      <c r="BE18" s="99"/>
      <c r="BF18" s="99"/>
      <c r="BG18" s="99"/>
      <c r="BH18" s="10"/>
      <c r="BI18" s="10"/>
      <c r="BJ18" s="10"/>
      <c r="BK18" s="10"/>
    </row>
    <row r="19" spans="1:63" ht="16.5" customHeight="1">
      <c r="A19" s="202"/>
      <c r="B19" s="202"/>
      <c r="C19" s="202"/>
      <c r="D19" s="202"/>
      <c r="E19" s="202"/>
      <c r="F19" s="94"/>
      <c r="G19" s="94"/>
      <c r="H19" s="94"/>
      <c r="I19" s="97" t="s">
        <v>56</v>
      </c>
      <c r="J19" s="97"/>
      <c r="K19" s="97"/>
      <c r="L19" s="97"/>
      <c r="M19" s="97"/>
      <c r="N19" s="98" t="s">
        <v>58</v>
      </c>
      <c r="O19" s="98"/>
      <c r="P19" s="96">
        <f>CEILING(P16*0.28+5,0.5)</f>
        <v>64</v>
      </c>
      <c r="Q19" s="96"/>
      <c r="R19" s="96"/>
      <c r="S19" s="96"/>
      <c r="T19" s="96">
        <f>CEILING(T16*0.28+5,0.5)</f>
        <v>68.5</v>
      </c>
      <c r="U19" s="96"/>
      <c r="V19" s="96"/>
      <c r="W19" s="96"/>
      <c r="X19" s="96">
        <f>CEILING(X16*0.28+5,0.5)</f>
        <v>72.5</v>
      </c>
      <c r="Y19" s="96"/>
      <c r="Z19" s="96"/>
      <c r="AA19" s="96"/>
      <c r="AB19" s="10"/>
      <c r="AC19" s="10"/>
      <c r="AD19" s="10"/>
      <c r="AE19" s="10"/>
      <c r="AF19" s="49"/>
      <c r="AG19" s="202"/>
      <c r="AH19" s="202"/>
      <c r="AI19" s="202"/>
      <c r="AJ19" s="202"/>
      <c r="AK19" s="202"/>
      <c r="AL19" s="94"/>
      <c r="AM19" s="94"/>
      <c r="AN19" s="94"/>
      <c r="AO19" s="97" t="s">
        <v>16</v>
      </c>
      <c r="AP19" s="97"/>
      <c r="AQ19" s="97"/>
      <c r="AR19" s="97"/>
      <c r="AS19" s="97"/>
      <c r="AT19" s="98" t="s">
        <v>58</v>
      </c>
      <c r="AU19" s="98"/>
      <c r="AV19" s="96">
        <f>CEILING(AV16*0.35+5,0.5)</f>
        <v>80.5</v>
      </c>
      <c r="AW19" s="96"/>
      <c r="AX19" s="96"/>
      <c r="AY19" s="96"/>
      <c r="AZ19" s="96">
        <f>CEILING(AZ16*0.35+5,0.5)</f>
        <v>85.5</v>
      </c>
      <c r="BA19" s="96"/>
      <c r="BB19" s="96"/>
      <c r="BC19" s="96"/>
      <c r="BD19" s="96">
        <f>CEILING(BD16*0.35+5,0.5)</f>
        <v>91</v>
      </c>
      <c r="BE19" s="96"/>
      <c r="BF19" s="96"/>
      <c r="BG19" s="96"/>
      <c r="BH19" s="10"/>
      <c r="BI19" s="10"/>
      <c r="BJ19" s="10"/>
      <c r="BK19" s="10"/>
    </row>
    <row r="20" spans="1:63" ht="16.5" customHeight="1">
      <c r="A20" s="202"/>
      <c r="B20" s="202"/>
      <c r="C20" s="202"/>
      <c r="D20" s="202"/>
      <c r="E20" s="202"/>
      <c r="F20" s="94"/>
      <c r="G20" s="94"/>
      <c r="H20" s="94"/>
      <c r="I20" s="97"/>
      <c r="J20" s="97"/>
      <c r="K20" s="157"/>
      <c r="L20" s="97"/>
      <c r="M20" s="97"/>
      <c r="N20" s="98" t="s">
        <v>11</v>
      </c>
      <c r="O20" s="98"/>
      <c r="P20" s="96">
        <f>CEILING(P19*0.95,0.5)</f>
        <v>61</v>
      </c>
      <c r="Q20" s="96"/>
      <c r="R20" s="96"/>
      <c r="S20" s="96"/>
      <c r="T20" s="96">
        <f>CEILING(T19*0.95,0.5)</f>
        <v>65.5</v>
      </c>
      <c r="U20" s="96"/>
      <c r="V20" s="96"/>
      <c r="W20" s="96"/>
      <c r="X20" s="96">
        <f>CEILING(X19*0.95,0.5)</f>
        <v>69</v>
      </c>
      <c r="Y20" s="96"/>
      <c r="Z20" s="96"/>
      <c r="AA20" s="96"/>
      <c r="AB20" s="10"/>
      <c r="AC20" s="10"/>
      <c r="AD20" s="10"/>
      <c r="AE20" s="10"/>
      <c r="AF20" s="49"/>
      <c r="AG20" s="202"/>
      <c r="AH20" s="202"/>
      <c r="AI20" s="202"/>
      <c r="AJ20" s="202"/>
      <c r="AK20" s="202"/>
      <c r="AL20" s="94"/>
      <c r="AM20" s="94"/>
      <c r="AN20" s="94"/>
      <c r="AO20" s="97"/>
      <c r="AP20" s="97"/>
      <c r="AQ20" s="97"/>
      <c r="AR20" s="97"/>
      <c r="AS20" s="97"/>
      <c r="AT20" s="98" t="s">
        <v>11</v>
      </c>
      <c r="AU20" s="98"/>
      <c r="AV20" s="96">
        <f>CEILING(AV19*0.95,0.5)</f>
        <v>76.5</v>
      </c>
      <c r="AW20" s="96"/>
      <c r="AX20" s="96"/>
      <c r="AY20" s="96"/>
      <c r="AZ20" s="96">
        <f>CEILING(AZ19*0.95,0.5)</f>
        <v>81.5</v>
      </c>
      <c r="BA20" s="96"/>
      <c r="BB20" s="96"/>
      <c r="BC20" s="96"/>
      <c r="BD20" s="96">
        <f>CEILING(BD19*0.95,0.5)</f>
        <v>86.5</v>
      </c>
      <c r="BE20" s="96"/>
      <c r="BF20" s="96"/>
      <c r="BG20" s="96"/>
      <c r="BH20" s="10"/>
      <c r="BI20" s="10"/>
      <c r="BJ20" s="10"/>
      <c r="BK20" s="10"/>
    </row>
    <row r="21" spans="1:63" ht="16.5" customHeight="1">
      <c r="A21" s="202"/>
      <c r="B21" s="202"/>
      <c r="C21" s="202"/>
      <c r="D21" s="202"/>
      <c r="E21" s="202"/>
      <c r="F21" s="94"/>
      <c r="G21" s="94"/>
      <c r="H21" s="94"/>
      <c r="I21" s="97"/>
      <c r="J21" s="97"/>
      <c r="K21" s="97"/>
      <c r="L21" s="97"/>
      <c r="M21" s="97"/>
      <c r="N21" s="98" t="s">
        <v>12</v>
      </c>
      <c r="O21" s="98"/>
      <c r="P21" s="96">
        <f>CEILING(P18*0.28+5,0.5)</f>
        <v>55</v>
      </c>
      <c r="Q21" s="96"/>
      <c r="R21" s="96"/>
      <c r="S21" s="96"/>
      <c r="T21" s="96">
        <f>CEILING(T18*0.28+5,0.5)</f>
        <v>59.5</v>
      </c>
      <c r="U21" s="96"/>
      <c r="V21" s="96"/>
      <c r="W21" s="96"/>
      <c r="X21" s="96">
        <f>CEILING(X18*0.28+5,0.5)</f>
        <v>63.5</v>
      </c>
      <c r="Y21" s="96"/>
      <c r="Z21" s="96"/>
      <c r="AA21" s="96"/>
      <c r="AB21" s="10"/>
      <c r="AC21" s="10"/>
      <c r="AD21" s="10"/>
      <c r="AE21" s="10"/>
      <c r="AF21" s="49"/>
      <c r="AG21" s="202"/>
      <c r="AH21" s="202"/>
      <c r="AI21" s="202"/>
      <c r="AJ21" s="202"/>
      <c r="AK21" s="202"/>
      <c r="AL21" s="94"/>
      <c r="AM21" s="94"/>
      <c r="AN21" s="94"/>
      <c r="AO21" s="97"/>
      <c r="AP21" s="97"/>
      <c r="AQ21" s="97"/>
      <c r="AR21" s="97"/>
      <c r="AS21" s="97"/>
      <c r="AT21" s="98" t="s">
        <v>12</v>
      </c>
      <c r="AU21" s="98"/>
      <c r="AV21" s="96">
        <f>CEILING(AV18*0.35+5,0.5)</f>
        <v>68.5</v>
      </c>
      <c r="AW21" s="96"/>
      <c r="AX21" s="96"/>
      <c r="AY21" s="96"/>
      <c r="AZ21" s="96">
        <f>CEILING(AZ18*0.35+5,0.5)</f>
        <v>74</v>
      </c>
      <c r="BA21" s="96"/>
      <c r="BB21" s="96"/>
      <c r="BC21" s="96"/>
      <c r="BD21" s="96">
        <f>CEILING(BD18*0.35+5,0.5)</f>
        <v>79</v>
      </c>
      <c r="BE21" s="96"/>
      <c r="BF21" s="96"/>
      <c r="BG21" s="96"/>
      <c r="BH21" s="10"/>
      <c r="BI21" s="10"/>
      <c r="BJ21" s="10"/>
      <c r="BK21" s="10"/>
    </row>
    <row r="22" spans="1:63" ht="16.5" customHeight="1">
      <c r="A22" s="202"/>
      <c r="B22" s="202"/>
      <c r="C22" s="202"/>
      <c r="D22" s="202"/>
      <c r="E22" s="202"/>
      <c r="F22" s="94"/>
      <c r="G22" s="94"/>
      <c r="H22" s="94"/>
      <c r="I22" s="95" t="s">
        <v>18</v>
      </c>
      <c r="J22" s="95"/>
      <c r="K22" s="95"/>
      <c r="L22" s="95"/>
      <c r="M22" s="95"/>
      <c r="N22" s="100" t="s">
        <v>10</v>
      </c>
      <c r="O22" s="100"/>
      <c r="P22" s="101">
        <f>CEILING(154*1.3,0.5)</f>
        <v>200.5</v>
      </c>
      <c r="Q22" s="101"/>
      <c r="R22" s="101"/>
      <c r="S22" s="101"/>
      <c r="T22" s="99">
        <f>P22+10</f>
        <v>210.5</v>
      </c>
      <c r="U22" s="99"/>
      <c r="V22" s="99"/>
      <c r="W22" s="99"/>
      <c r="X22" s="99">
        <f>T22+10</f>
        <v>220.5</v>
      </c>
      <c r="Y22" s="99"/>
      <c r="Z22" s="99"/>
      <c r="AA22" s="99"/>
      <c r="AB22" s="10"/>
      <c r="AC22" s="10"/>
      <c r="AD22" s="10"/>
      <c r="AE22" s="10"/>
      <c r="AF22" s="49"/>
      <c r="AG22" s="202"/>
      <c r="AH22" s="202"/>
      <c r="AI22" s="202"/>
      <c r="AJ22" s="202"/>
      <c r="AK22" s="202"/>
      <c r="AL22" s="94"/>
      <c r="AM22" s="94"/>
      <c r="AN22" s="94"/>
      <c r="AO22" s="156" t="s">
        <v>18</v>
      </c>
      <c r="AP22" s="156"/>
      <c r="AQ22" s="156"/>
      <c r="AR22" s="156"/>
      <c r="AS22" s="156"/>
      <c r="AT22" s="100" t="s">
        <v>10</v>
      </c>
      <c r="AU22" s="100"/>
      <c r="AV22" s="101">
        <f>CEILING(157*1.3,0.5)</f>
        <v>204.5</v>
      </c>
      <c r="AW22" s="101"/>
      <c r="AX22" s="101"/>
      <c r="AY22" s="101"/>
      <c r="AZ22" s="99">
        <f>AV22+10</f>
        <v>214.5</v>
      </c>
      <c r="BA22" s="99"/>
      <c r="BB22" s="99"/>
      <c r="BC22" s="99"/>
      <c r="BD22" s="99">
        <f>AZ22+10</f>
        <v>224.5</v>
      </c>
      <c r="BE22" s="99"/>
      <c r="BF22" s="99"/>
      <c r="BG22" s="99"/>
      <c r="BH22" s="10"/>
      <c r="BI22" s="10"/>
      <c r="BJ22" s="10"/>
      <c r="BK22" s="10"/>
    </row>
    <row r="23" spans="1:63" ht="16.5" customHeight="1">
      <c r="A23" s="202"/>
      <c r="B23" s="202"/>
      <c r="C23" s="202"/>
      <c r="D23" s="202"/>
      <c r="E23" s="202"/>
      <c r="F23" s="94"/>
      <c r="G23" s="94"/>
      <c r="H23" s="94"/>
      <c r="I23" s="95"/>
      <c r="J23" s="95"/>
      <c r="K23" s="95"/>
      <c r="L23" s="95"/>
      <c r="M23" s="95"/>
      <c r="N23" s="100" t="s">
        <v>11</v>
      </c>
      <c r="O23" s="100"/>
      <c r="P23" s="99">
        <f>CEILING(P22*0.95,0.5)</f>
        <v>190.5</v>
      </c>
      <c r="Q23" s="99"/>
      <c r="R23" s="99"/>
      <c r="S23" s="99"/>
      <c r="T23" s="99">
        <f>CEILING(T22*0.95,0.5)</f>
        <v>200</v>
      </c>
      <c r="U23" s="99"/>
      <c r="V23" s="99"/>
      <c r="W23" s="99"/>
      <c r="X23" s="99">
        <f>CEILING(X22*0.95,0.5)</f>
        <v>209.5</v>
      </c>
      <c r="Y23" s="99"/>
      <c r="Z23" s="99"/>
      <c r="AA23" s="99"/>
      <c r="AB23" s="10"/>
      <c r="AC23" s="10"/>
      <c r="AD23" s="10"/>
      <c r="AE23" s="10"/>
      <c r="AF23" s="49"/>
      <c r="AG23" s="202"/>
      <c r="AH23" s="202"/>
      <c r="AI23" s="202"/>
      <c r="AJ23" s="202"/>
      <c r="AK23" s="202"/>
      <c r="AL23" s="94"/>
      <c r="AM23" s="94"/>
      <c r="AN23" s="94"/>
      <c r="AO23" s="156"/>
      <c r="AP23" s="156"/>
      <c r="AQ23" s="156"/>
      <c r="AR23" s="156"/>
      <c r="AS23" s="156"/>
      <c r="AT23" s="100" t="s">
        <v>11</v>
      </c>
      <c r="AU23" s="100"/>
      <c r="AV23" s="99">
        <f>CEILING(AV22*0.95,0.5)</f>
        <v>194.5</v>
      </c>
      <c r="AW23" s="99"/>
      <c r="AX23" s="99"/>
      <c r="AY23" s="99"/>
      <c r="AZ23" s="99">
        <f>CEILING(AZ22*0.95,0.5)</f>
        <v>204</v>
      </c>
      <c r="BA23" s="99"/>
      <c r="BB23" s="99"/>
      <c r="BC23" s="99"/>
      <c r="BD23" s="99">
        <f>CEILING(BD22*0.95,0.5)</f>
        <v>213.5</v>
      </c>
      <c r="BE23" s="99"/>
      <c r="BF23" s="99"/>
      <c r="BG23" s="99"/>
      <c r="BH23" s="10"/>
      <c r="BI23" s="10"/>
      <c r="BJ23" s="10"/>
      <c r="BK23" s="10"/>
    </row>
    <row r="24" spans="1:63" ht="16.5" customHeight="1">
      <c r="A24" s="202"/>
      <c r="B24" s="202"/>
      <c r="C24" s="202"/>
      <c r="D24" s="202"/>
      <c r="E24" s="202"/>
      <c r="F24" s="94"/>
      <c r="G24" s="94"/>
      <c r="H24" s="94"/>
      <c r="I24" s="95"/>
      <c r="J24" s="95"/>
      <c r="K24" s="95"/>
      <c r="L24" s="95"/>
      <c r="M24" s="95"/>
      <c r="N24" s="100" t="s">
        <v>12</v>
      </c>
      <c r="O24" s="100"/>
      <c r="P24" s="101">
        <f>CEILING(129*1.3,0.5)</f>
        <v>168</v>
      </c>
      <c r="Q24" s="101"/>
      <c r="R24" s="101"/>
      <c r="S24" s="101"/>
      <c r="T24" s="99">
        <f>P24+10</f>
        <v>178</v>
      </c>
      <c r="U24" s="99"/>
      <c r="V24" s="99"/>
      <c r="W24" s="99"/>
      <c r="X24" s="99">
        <f>T24+10</f>
        <v>188</v>
      </c>
      <c r="Y24" s="99"/>
      <c r="Z24" s="99"/>
      <c r="AA24" s="99"/>
      <c r="AB24" s="10"/>
      <c r="AC24" s="10"/>
      <c r="AD24" s="10"/>
      <c r="AE24" s="10"/>
      <c r="AF24" s="49"/>
      <c r="AG24" s="202"/>
      <c r="AH24" s="202"/>
      <c r="AI24" s="202"/>
      <c r="AJ24" s="202"/>
      <c r="AK24" s="202"/>
      <c r="AL24" s="94"/>
      <c r="AM24" s="94"/>
      <c r="AN24" s="94"/>
      <c r="AO24" s="156"/>
      <c r="AP24" s="156"/>
      <c r="AQ24" s="156"/>
      <c r="AR24" s="156"/>
      <c r="AS24" s="156"/>
      <c r="AT24" s="100" t="s">
        <v>12</v>
      </c>
      <c r="AU24" s="100"/>
      <c r="AV24" s="101">
        <f>CEILING(131.5*1.3,0.5)</f>
        <v>171</v>
      </c>
      <c r="AW24" s="101"/>
      <c r="AX24" s="101"/>
      <c r="AY24" s="101"/>
      <c r="AZ24" s="99">
        <f>AV24+10</f>
        <v>181</v>
      </c>
      <c r="BA24" s="99"/>
      <c r="BB24" s="99"/>
      <c r="BC24" s="99"/>
      <c r="BD24" s="99">
        <f>AZ24+10</f>
        <v>191</v>
      </c>
      <c r="BE24" s="99"/>
      <c r="BF24" s="99"/>
      <c r="BG24" s="99"/>
      <c r="BH24" s="10"/>
      <c r="BI24" s="10"/>
      <c r="BJ24" s="10"/>
      <c r="BK24" s="10"/>
    </row>
    <row r="25" spans="1:63" ht="16.5" customHeight="1">
      <c r="A25" s="202"/>
      <c r="B25" s="202"/>
      <c r="C25" s="202"/>
      <c r="D25" s="202"/>
      <c r="E25" s="202"/>
      <c r="F25" s="94"/>
      <c r="G25" s="94"/>
      <c r="H25" s="94"/>
      <c r="I25" s="97" t="s">
        <v>57</v>
      </c>
      <c r="J25" s="97"/>
      <c r="K25" s="97"/>
      <c r="L25" s="97"/>
      <c r="M25" s="97"/>
      <c r="N25" s="98" t="s">
        <v>58</v>
      </c>
      <c r="O25" s="98"/>
      <c r="P25" s="96">
        <f>CEILING(P22*0.28+5,0.5)</f>
        <v>61.5</v>
      </c>
      <c r="Q25" s="96"/>
      <c r="R25" s="96"/>
      <c r="S25" s="96"/>
      <c r="T25" s="96">
        <f>CEILING(T22*0.28+5,0.5)</f>
        <v>64</v>
      </c>
      <c r="U25" s="96"/>
      <c r="V25" s="96"/>
      <c r="W25" s="96"/>
      <c r="X25" s="96">
        <f>CEILING(X22*0.28+5,0.5)</f>
        <v>67</v>
      </c>
      <c r="Y25" s="96"/>
      <c r="Z25" s="96"/>
      <c r="AA25" s="96"/>
      <c r="AB25" s="10"/>
      <c r="AC25" s="10"/>
      <c r="AD25" s="10"/>
      <c r="AE25" s="10"/>
      <c r="AF25" s="49"/>
      <c r="AG25" s="202"/>
      <c r="AH25" s="202"/>
      <c r="AI25" s="202"/>
      <c r="AJ25" s="202"/>
      <c r="AK25" s="202"/>
      <c r="AL25" s="94"/>
      <c r="AM25" s="94"/>
      <c r="AN25" s="94"/>
      <c r="AO25" s="97" t="s">
        <v>19</v>
      </c>
      <c r="AP25" s="97"/>
      <c r="AQ25" s="97"/>
      <c r="AR25" s="97"/>
      <c r="AS25" s="97"/>
      <c r="AT25" s="98" t="s">
        <v>58</v>
      </c>
      <c r="AU25" s="98"/>
      <c r="AV25" s="96">
        <f>CEILING(AV22*0.35+5,0.5)</f>
        <v>77</v>
      </c>
      <c r="AW25" s="96"/>
      <c r="AX25" s="96"/>
      <c r="AY25" s="96"/>
      <c r="AZ25" s="96">
        <f>CEILING(AZ22*0.35+5,0.5)</f>
        <v>80.5</v>
      </c>
      <c r="BA25" s="96"/>
      <c r="BB25" s="96"/>
      <c r="BC25" s="96"/>
      <c r="BD25" s="96">
        <f>CEILING(BD22*0.35+5,0.5)</f>
        <v>84</v>
      </c>
      <c r="BE25" s="96"/>
      <c r="BF25" s="96"/>
      <c r="BG25" s="96"/>
      <c r="BH25" s="10"/>
      <c r="BI25" s="10"/>
      <c r="BJ25" s="10"/>
      <c r="BK25" s="10"/>
    </row>
    <row r="26" spans="1:63" ht="16.5" customHeight="1">
      <c r="A26" s="202"/>
      <c r="B26" s="202"/>
      <c r="C26" s="202"/>
      <c r="D26" s="202"/>
      <c r="E26" s="202"/>
      <c r="F26" s="94"/>
      <c r="G26" s="94"/>
      <c r="H26" s="94"/>
      <c r="I26" s="97"/>
      <c r="J26" s="97"/>
      <c r="K26" s="97"/>
      <c r="L26" s="97"/>
      <c r="M26" s="97"/>
      <c r="N26" s="98" t="s">
        <v>11</v>
      </c>
      <c r="O26" s="98"/>
      <c r="P26" s="96">
        <f>CEILING(P25*0.95,0.5)</f>
        <v>58.5</v>
      </c>
      <c r="Q26" s="96"/>
      <c r="R26" s="96"/>
      <c r="S26" s="96"/>
      <c r="T26" s="96">
        <f>CEILING(T25*0.95,0.5)</f>
        <v>61</v>
      </c>
      <c r="U26" s="96"/>
      <c r="V26" s="96"/>
      <c r="W26" s="96"/>
      <c r="X26" s="96">
        <f>CEILING(X25*0.95,0.5)</f>
        <v>64</v>
      </c>
      <c r="Y26" s="96"/>
      <c r="Z26" s="96"/>
      <c r="AA26" s="96"/>
      <c r="AB26" s="10"/>
      <c r="AC26" s="10"/>
      <c r="AD26" s="10"/>
      <c r="AE26" s="10"/>
      <c r="AF26" s="49"/>
      <c r="AG26" s="202"/>
      <c r="AH26" s="202"/>
      <c r="AI26" s="202"/>
      <c r="AJ26" s="202"/>
      <c r="AK26" s="202"/>
      <c r="AL26" s="94"/>
      <c r="AM26" s="94"/>
      <c r="AN26" s="94"/>
      <c r="AO26" s="97"/>
      <c r="AP26" s="97"/>
      <c r="AQ26" s="97"/>
      <c r="AR26" s="97"/>
      <c r="AS26" s="97"/>
      <c r="AT26" s="98" t="s">
        <v>11</v>
      </c>
      <c r="AU26" s="98"/>
      <c r="AV26" s="96">
        <f>CEILING(AV25*0.95,0.5)</f>
        <v>73.5</v>
      </c>
      <c r="AW26" s="96"/>
      <c r="AX26" s="96"/>
      <c r="AY26" s="96"/>
      <c r="AZ26" s="96">
        <f>CEILING(AZ25*0.95,0.5)</f>
        <v>76.5</v>
      </c>
      <c r="BA26" s="96"/>
      <c r="BB26" s="96"/>
      <c r="BC26" s="96"/>
      <c r="BD26" s="96">
        <f>CEILING(BD25*0.95,0.5)</f>
        <v>80</v>
      </c>
      <c r="BE26" s="96"/>
      <c r="BF26" s="96"/>
      <c r="BG26" s="96"/>
      <c r="BH26" s="10"/>
      <c r="BI26" s="10"/>
      <c r="BJ26" s="10"/>
      <c r="BK26" s="10"/>
    </row>
    <row r="27" spans="1:63" ht="16.5" customHeight="1">
      <c r="A27" s="202"/>
      <c r="B27" s="202"/>
      <c r="C27" s="202"/>
      <c r="D27" s="202"/>
      <c r="E27" s="202"/>
      <c r="F27" s="94"/>
      <c r="G27" s="94"/>
      <c r="H27" s="94"/>
      <c r="I27" s="97"/>
      <c r="J27" s="97"/>
      <c r="K27" s="97"/>
      <c r="L27" s="97"/>
      <c r="M27" s="97"/>
      <c r="N27" s="98" t="s">
        <v>12</v>
      </c>
      <c r="O27" s="98"/>
      <c r="P27" s="96">
        <f>CEILING(P24*0.28+5,0.5)</f>
        <v>52.5</v>
      </c>
      <c r="Q27" s="96"/>
      <c r="R27" s="96"/>
      <c r="S27" s="96"/>
      <c r="T27" s="96">
        <f>CEILING(T24*0.28+5,0.5)</f>
        <v>55</v>
      </c>
      <c r="U27" s="96"/>
      <c r="V27" s="96"/>
      <c r="W27" s="96"/>
      <c r="X27" s="96">
        <f>CEILING(X24*0.28+5,0.5)</f>
        <v>58</v>
      </c>
      <c r="Y27" s="96"/>
      <c r="Z27" s="96"/>
      <c r="AA27" s="96"/>
      <c r="AB27" s="10"/>
      <c r="AC27" s="10"/>
      <c r="AD27" s="10"/>
      <c r="AE27" s="10"/>
      <c r="AF27" s="49"/>
      <c r="AG27" s="202"/>
      <c r="AH27" s="202"/>
      <c r="AI27" s="202"/>
      <c r="AJ27" s="202"/>
      <c r="AK27" s="202"/>
      <c r="AL27" s="94"/>
      <c r="AM27" s="94"/>
      <c r="AN27" s="94"/>
      <c r="AO27" s="97"/>
      <c r="AP27" s="97"/>
      <c r="AQ27" s="97"/>
      <c r="AR27" s="97"/>
      <c r="AS27" s="97"/>
      <c r="AT27" s="98" t="s">
        <v>12</v>
      </c>
      <c r="AU27" s="98"/>
      <c r="AV27" s="96">
        <f>CEILING(AV24*0.35+5,0.5)</f>
        <v>65</v>
      </c>
      <c r="AW27" s="96"/>
      <c r="AX27" s="96"/>
      <c r="AY27" s="96"/>
      <c r="AZ27" s="96">
        <f>CEILING(AZ24*0.35+5,0.5)</f>
        <v>68.5</v>
      </c>
      <c r="BA27" s="96"/>
      <c r="BB27" s="96"/>
      <c r="BC27" s="96"/>
      <c r="BD27" s="96">
        <f>CEILING(BD24*0.35+5,0.5)</f>
        <v>72</v>
      </c>
      <c r="BE27" s="96"/>
      <c r="BF27" s="96"/>
      <c r="BG27" s="96"/>
      <c r="BH27" s="10"/>
      <c r="BI27" s="10"/>
      <c r="BJ27" s="10"/>
      <c r="BK27" s="10"/>
    </row>
    <row r="28" spans="1:63" ht="16.5" customHeight="1">
      <c r="A28" s="202"/>
      <c r="B28" s="202"/>
      <c r="C28" s="202"/>
      <c r="D28" s="202"/>
      <c r="E28" s="202"/>
      <c r="F28" s="94"/>
      <c r="G28" s="94"/>
      <c r="H28" s="94"/>
      <c r="I28" s="82" t="s">
        <v>21</v>
      </c>
      <c r="J28" s="82"/>
      <c r="K28" s="82"/>
      <c r="L28" s="82"/>
      <c r="M28" s="82"/>
      <c r="N28" s="84" t="s">
        <v>10</v>
      </c>
      <c r="O28" s="84"/>
      <c r="P28" s="83">
        <f>P22-4</f>
        <v>196.5</v>
      </c>
      <c r="Q28" s="83"/>
      <c r="R28" s="83"/>
      <c r="S28" s="83"/>
      <c r="T28" s="83">
        <f>P28+8</f>
        <v>204.5</v>
      </c>
      <c r="U28" s="83"/>
      <c r="V28" s="83"/>
      <c r="W28" s="83"/>
      <c r="X28" s="83">
        <f>T28+8</f>
        <v>212.5</v>
      </c>
      <c r="Y28" s="83"/>
      <c r="Z28" s="83"/>
      <c r="AA28" s="83"/>
      <c r="AB28" s="10"/>
      <c r="AC28" s="10"/>
      <c r="AD28" s="10"/>
      <c r="AE28" s="10"/>
      <c r="AF28" s="49"/>
      <c r="AG28" s="202"/>
      <c r="AH28" s="202"/>
      <c r="AI28" s="202"/>
      <c r="AJ28" s="202"/>
      <c r="AK28" s="202"/>
      <c r="AL28" s="94"/>
      <c r="AM28" s="94"/>
      <c r="AN28" s="94"/>
      <c r="AO28" s="158" t="s">
        <v>21</v>
      </c>
      <c r="AP28" s="158"/>
      <c r="AQ28" s="158"/>
      <c r="AR28" s="158"/>
      <c r="AS28" s="158"/>
      <c r="AT28" s="84" t="s">
        <v>10</v>
      </c>
      <c r="AU28" s="84"/>
      <c r="AV28" s="83">
        <f>AV22-4</f>
        <v>200.5</v>
      </c>
      <c r="AW28" s="83"/>
      <c r="AX28" s="83"/>
      <c r="AY28" s="83"/>
      <c r="AZ28" s="83">
        <f>AV28+8</f>
        <v>208.5</v>
      </c>
      <c r="BA28" s="83"/>
      <c r="BB28" s="83"/>
      <c r="BC28" s="83"/>
      <c r="BD28" s="83">
        <f>AZ28+8</f>
        <v>216.5</v>
      </c>
      <c r="BE28" s="83"/>
      <c r="BF28" s="83"/>
      <c r="BG28" s="83"/>
      <c r="BH28" s="10"/>
      <c r="BI28" s="10"/>
      <c r="BJ28" s="10"/>
      <c r="BK28" s="10"/>
    </row>
    <row r="29" spans="1:63" ht="16.5" customHeight="1">
      <c r="A29" s="202"/>
      <c r="B29" s="202"/>
      <c r="C29" s="202"/>
      <c r="D29" s="202"/>
      <c r="E29" s="202"/>
      <c r="F29" s="94"/>
      <c r="G29" s="94"/>
      <c r="H29" s="94"/>
      <c r="I29" s="82"/>
      <c r="J29" s="82"/>
      <c r="K29" s="82"/>
      <c r="L29" s="82"/>
      <c r="M29" s="82"/>
      <c r="N29" s="84" t="s">
        <v>11</v>
      </c>
      <c r="O29" s="84"/>
      <c r="P29" s="83">
        <f>CEILING(P28*0.95,0.5)</f>
        <v>187</v>
      </c>
      <c r="Q29" s="83"/>
      <c r="R29" s="83"/>
      <c r="S29" s="83"/>
      <c r="T29" s="83">
        <f>CEILING(T28*0.95,0.5)</f>
        <v>194.5</v>
      </c>
      <c r="U29" s="83"/>
      <c r="V29" s="83"/>
      <c r="W29" s="83"/>
      <c r="X29" s="83">
        <f>CEILING(X28*0.95,0.5)</f>
        <v>202</v>
      </c>
      <c r="Y29" s="83"/>
      <c r="Z29" s="83"/>
      <c r="AA29" s="83"/>
      <c r="AB29" s="10"/>
      <c r="AC29" s="10"/>
      <c r="AD29" s="10"/>
      <c r="AE29" s="10"/>
      <c r="AF29" s="49"/>
      <c r="AG29" s="202"/>
      <c r="AH29" s="202"/>
      <c r="AI29" s="202"/>
      <c r="AJ29" s="202"/>
      <c r="AK29" s="202"/>
      <c r="AL29" s="94"/>
      <c r="AM29" s="94"/>
      <c r="AN29" s="94"/>
      <c r="AO29" s="158"/>
      <c r="AP29" s="158"/>
      <c r="AQ29" s="158"/>
      <c r="AR29" s="158"/>
      <c r="AS29" s="158"/>
      <c r="AT29" s="84" t="s">
        <v>11</v>
      </c>
      <c r="AU29" s="84"/>
      <c r="AV29" s="83">
        <f>CEILING(AV28*0.95,0.5)</f>
        <v>190.5</v>
      </c>
      <c r="AW29" s="83"/>
      <c r="AX29" s="83"/>
      <c r="AY29" s="83"/>
      <c r="AZ29" s="83">
        <f>CEILING(AZ28*0.95,0.5)</f>
        <v>198.5</v>
      </c>
      <c r="BA29" s="83"/>
      <c r="BB29" s="83"/>
      <c r="BC29" s="83"/>
      <c r="BD29" s="83">
        <f>CEILING(BD28*0.95,0.5)</f>
        <v>206</v>
      </c>
      <c r="BE29" s="83"/>
      <c r="BF29" s="83"/>
      <c r="BG29" s="83"/>
      <c r="BH29" s="10"/>
      <c r="BI29" s="10"/>
      <c r="BJ29" s="10"/>
      <c r="BK29" s="10"/>
    </row>
    <row r="30" spans="1:63" ht="16.5" customHeight="1">
      <c r="A30" s="202"/>
      <c r="B30" s="202"/>
      <c r="C30" s="202"/>
      <c r="D30" s="202"/>
      <c r="E30" s="202"/>
      <c r="F30" s="94"/>
      <c r="G30" s="94"/>
      <c r="H30" s="94"/>
      <c r="I30" s="82"/>
      <c r="J30" s="82"/>
      <c r="K30" s="82"/>
      <c r="L30" s="82"/>
      <c r="M30" s="82"/>
      <c r="N30" s="84" t="s">
        <v>12</v>
      </c>
      <c r="O30" s="84"/>
      <c r="P30" s="83">
        <f>P24-4</f>
        <v>164</v>
      </c>
      <c r="Q30" s="83"/>
      <c r="R30" s="83"/>
      <c r="S30" s="83"/>
      <c r="T30" s="83">
        <f>P30+8</f>
        <v>172</v>
      </c>
      <c r="U30" s="83"/>
      <c r="V30" s="83"/>
      <c r="W30" s="83"/>
      <c r="X30" s="83">
        <f>T30+8</f>
        <v>180</v>
      </c>
      <c r="Y30" s="83"/>
      <c r="Z30" s="83"/>
      <c r="AA30" s="83"/>
      <c r="AB30" s="10"/>
      <c r="AC30" s="10"/>
      <c r="AD30" s="10"/>
      <c r="AE30" s="10"/>
      <c r="AF30" s="49"/>
      <c r="AG30" s="202"/>
      <c r="AH30" s="202"/>
      <c r="AI30" s="202"/>
      <c r="AJ30" s="202"/>
      <c r="AK30" s="202"/>
      <c r="AL30" s="94"/>
      <c r="AM30" s="94"/>
      <c r="AN30" s="94"/>
      <c r="AO30" s="158"/>
      <c r="AP30" s="158"/>
      <c r="AQ30" s="158"/>
      <c r="AR30" s="158"/>
      <c r="AS30" s="158"/>
      <c r="AT30" s="84" t="s">
        <v>12</v>
      </c>
      <c r="AU30" s="84"/>
      <c r="AV30" s="83">
        <f>AV24-4</f>
        <v>167</v>
      </c>
      <c r="AW30" s="83"/>
      <c r="AX30" s="83"/>
      <c r="AY30" s="83"/>
      <c r="AZ30" s="83">
        <f>AV30+8</f>
        <v>175</v>
      </c>
      <c r="BA30" s="83"/>
      <c r="BB30" s="83"/>
      <c r="BC30" s="83"/>
      <c r="BD30" s="83">
        <f>AZ30+8</f>
        <v>183</v>
      </c>
      <c r="BE30" s="83"/>
      <c r="BF30" s="83"/>
      <c r="BG30" s="83"/>
      <c r="BH30" s="10"/>
      <c r="BI30" s="10"/>
      <c r="BJ30" s="10"/>
      <c r="BK30" s="10"/>
    </row>
    <row r="31" spans="1:63" ht="16.5" customHeight="1">
      <c r="A31" s="202"/>
      <c r="B31" s="202"/>
      <c r="C31" s="202"/>
      <c r="D31" s="202"/>
      <c r="E31" s="202"/>
      <c r="F31" s="94"/>
      <c r="G31" s="94"/>
      <c r="H31" s="94"/>
      <c r="I31" s="80" t="s">
        <v>59</v>
      </c>
      <c r="J31" s="80"/>
      <c r="K31" s="80"/>
      <c r="L31" s="80"/>
      <c r="M31" s="80"/>
      <c r="N31" s="81" t="s">
        <v>58</v>
      </c>
      <c r="O31" s="81"/>
      <c r="P31" s="89">
        <f>CEILING(P28*0.28+5,0.5)</f>
        <v>60.5</v>
      </c>
      <c r="Q31" s="89"/>
      <c r="R31" s="89"/>
      <c r="S31" s="89"/>
      <c r="T31" s="89">
        <f>CEILING(T28*0.28+5,0.5)</f>
        <v>62.5</v>
      </c>
      <c r="U31" s="89"/>
      <c r="V31" s="89"/>
      <c r="W31" s="89"/>
      <c r="X31" s="89">
        <f>CEILING(X28*0.28+5,0.5)</f>
        <v>64.5</v>
      </c>
      <c r="Y31" s="89"/>
      <c r="Z31" s="89"/>
      <c r="AA31" s="89"/>
      <c r="AB31" s="10"/>
      <c r="AC31" s="10"/>
      <c r="AD31" s="10"/>
      <c r="AE31" s="10"/>
      <c r="AF31" s="49"/>
      <c r="AG31" s="202"/>
      <c r="AH31" s="202"/>
      <c r="AI31" s="202"/>
      <c r="AJ31" s="202"/>
      <c r="AK31" s="202"/>
      <c r="AL31" s="94"/>
      <c r="AM31" s="94"/>
      <c r="AN31" s="94"/>
      <c r="AO31" s="80" t="s">
        <v>22</v>
      </c>
      <c r="AP31" s="80"/>
      <c r="AQ31" s="80"/>
      <c r="AR31" s="80"/>
      <c r="AS31" s="80"/>
      <c r="AT31" s="81" t="s">
        <v>58</v>
      </c>
      <c r="AU31" s="81"/>
      <c r="AV31" s="89">
        <f>CEILING(AV28*0.35+5,0.5)</f>
        <v>75.5</v>
      </c>
      <c r="AW31" s="89"/>
      <c r="AX31" s="89"/>
      <c r="AY31" s="89"/>
      <c r="AZ31" s="89">
        <f>CEILING(AZ28*0.35+5,0.5)</f>
        <v>78</v>
      </c>
      <c r="BA31" s="89"/>
      <c r="BB31" s="89"/>
      <c r="BC31" s="89"/>
      <c r="BD31" s="89">
        <f>CEILING(BD28*0.35+5,0.5)</f>
        <v>81</v>
      </c>
      <c r="BE31" s="89"/>
      <c r="BF31" s="89"/>
      <c r="BG31" s="89"/>
      <c r="BH31" s="10"/>
      <c r="BI31" s="10"/>
      <c r="BJ31" s="10"/>
      <c r="BK31" s="10"/>
    </row>
    <row r="32" spans="1:63" ht="16.5" customHeight="1">
      <c r="A32" s="202"/>
      <c r="B32" s="202"/>
      <c r="C32" s="202"/>
      <c r="D32" s="202"/>
      <c r="E32" s="202"/>
      <c r="F32" s="94"/>
      <c r="G32" s="94"/>
      <c r="H32" s="94"/>
      <c r="I32" s="80"/>
      <c r="J32" s="80"/>
      <c r="K32" s="80"/>
      <c r="L32" s="80"/>
      <c r="M32" s="80"/>
      <c r="N32" s="81" t="s">
        <v>11</v>
      </c>
      <c r="O32" s="81"/>
      <c r="P32" s="89">
        <f>CEILING(P31*0.95,0.5)</f>
        <v>57.5</v>
      </c>
      <c r="Q32" s="89"/>
      <c r="R32" s="89"/>
      <c r="S32" s="89"/>
      <c r="T32" s="89">
        <f>CEILING(T31*0.95,0.5)</f>
        <v>59.5</v>
      </c>
      <c r="U32" s="89"/>
      <c r="V32" s="89"/>
      <c r="W32" s="89"/>
      <c r="X32" s="89">
        <f>CEILING(X31*0.95,0.5)</f>
        <v>61.5</v>
      </c>
      <c r="Y32" s="89"/>
      <c r="Z32" s="89"/>
      <c r="AA32" s="89"/>
      <c r="AB32" s="10"/>
      <c r="AC32" s="10"/>
      <c r="AD32" s="10"/>
      <c r="AE32" s="10"/>
      <c r="AF32" s="49"/>
      <c r="AG32" s="202"/>
      <c r="AH32" s="202"/>
      <c r="AI32" s="202"/>
      <c r="AJ32" s="202"/>
      <c r="AK32" s="202"/>
      <c r="AL32" s="94"/>
      <c r="AM32" s="94"/>
      <c r="AN32" s="94"/>
      <c r="AO32" s="80"/>
      <c r="AP32" s="80"/>
      <c r="AQ32" s="80"/>
      <c r="AR32" s="80"/>
      <c r="AS32" s="80"/>
      <c r="AT32" s="81" t="s">
        <v>11</v>
      </c>
      <c r="AU32" s="81"/>
      <c r="AV32" s="89">
        <f>CEILING(AV31*0.95,0.5)</f>
        <v>72</v>
      </c>
      <c r="AW32" s="89"/>
      <c r="AX32" s="89"/>
      <c r="AY32" s="89"/>
      <c r="AZ32" s="89">
        <f>CEILING(AZ31*0.95,0.5)</f>
        <v>74.5</v>
      </c>
      <c r="BA32" s="89"/>
      <c r="BB32" s="89"/>
      <c r="BC32" s="89"/>
      <c r="BD32" s="89">
        <f>CEILING(BD31*0.95,0.5)</f>
        <v>77</v>
      </c>
      <c r="BE32" s="89"/>
      <c r="BF32" s="89"/>
      <c r="BG32" s="89"/>
      <c r="BH32" s="10"/>
      <c r="BI32" s="10"/>
      <c r="BJ32" s="10"/>
      <c r="BK32" s="10"/>
    </row>
    <row r="33" spans="1:63" ht="16.5" customHeight="1">
      <c r="A33" s="202"/>
      <c r="B33" s="202"/>
      <c r="C33" s="202"/>
      <c r="D33" s="202"/>
      <c r="E33" s="202"/>
      <c r="F33" s="94"/>
      <c r="G33" s="94"/>
      <c r="H33" s="94"/>
      <c r="I33" s="80"/>
      <c r="J33" s="80"/>
      <c r="K33" s="80"/>
      <c r="L33" s="80"/>
      <c r="M33" s="80"/>
      <c r="N33" s="81" t="s">
        <v>12</v>
      </c>
      <c r="O33" s="81"/>
      <c r="P33" s="89">
        <f>CEILING(P30*0.28+5,0.5)</f>
        <v>51</v>
      </c>
      <c r="Q33" s="89"/>
      <c r="R33" s="89"/>
      <c r="S33" s="89"/>
      <c r="T33" s="89">
        <f>CEILING(T30*0.28+5,0.5)</f>
        <v>53.5</v>
      </c>
      <c r="U33" s="89"/>
      <c r="V33" s="89"/>
      <c r="W33" s="89"/>
      <c r="X33" s="89">
        <f>CEILING(X30*0.28+5,0.5)</f>
        <v>55.5</v>
      </c>
      <c r="Y33" s="89"/>
      <c r="Z33" s="89"/>
      <c r="AA33" s="89"/>
      <c r="AB33" s="10"/>
      <c r="AC33" s="10"/>
      <c r="AD33" s="10"/>
      <c r="AE33" s="10"/>
      <c r="AF33" s="49"/>
      <c r="AG33" s="202"/>
      <c r="AH33" s="202"/>
      <c r="AI33" s="202"/>
      <c r="AJ33" s="202"/>
      <c r="AK33" s="202"/>
      <c r="AL33" s="94"/>
      <c r="AM33" s="94"/>
      <c r="AN33" s="94"/>
      <c r="AO33" s="80"/>
      <c r="AP33" s="80"/>
      <c r="AQ33" s="80"/>
      <c r="AR33" s="80"/>
      <c r="AS33" s="80"/>
      <c r="AT33" s="81" t="s">
        <v>12</v>
      </c>
      <c r="AU33" s="81"/>
      <c r="AV33" s="89">
        <f>CEILING(AV30*0.35+5,0.5)</f>
        <v>63.5</v>
      </c>
      <c r="AW33" s="89"/>
      <c r="AX33" s="89"/>
      <c r="AY33" s="89"/>
      <c r="AZ33" s="89">
        <f>CEILING(AZ30*0.35+5,0.5)</f>
        <v>66.5</v>
      </c>
      <c r="BA33" s="89"/>
      <c r="BB33" s="89"/>
      <c r="BC33" s="89"/>
      <c r="BD33" s="89">
        <f>CEILING(BD30*0.35+5,0.5)</f>
        <v>69.5</v>
      </c>
      <c r="BE33" s="89"/>
      <c r="BF33" s="89"/>
      <c r="BG33" s="89"/>
      <c r="BH33" s="10"/>
      <c r="BI33" s="10"/>
      <c r="BJ33" s="10"/>
      <c r="BK33" s="10"/>
    </row>
    <row r="34" spans="1:63" ht="16.5" customHeight="1">
      <c r="A34" s="9" t="s">
        <v>60</v>
      </c>
      <c r="E34" s="50"/>
      <c r="F34" s="27"/>
      <c r="G34" s="27"/>
      <c r="H34" s="27"/>
      <c r="I34" s="28"/>
      <c r="J34" s="28"/>
      <c r="K34" s="28"/>
      <c r="L34" s="28"/>
      <c r="M34" s="28"/>
      <c r="N34" s="22"/>
      <c r="O34" s="22"/>
      <c r="P34" s="29"/>
      <c r="Q34" s="29"/>
      <c r="R34" s="29"/>
      <c r="S34" s="29"/>
      <c r="T34" s="29"/>
      <c r="U34" s="29"/>
      <c r="V34" s="29"/>
      <c r="W34" s="29"/>
      <c r="X34" s="29"/>
      <c r="Y34" s="29"/>
      <c r="Z34" s="29"/>
      <c r="AA34" s="29"/>
      <c r="AB34" s="10"/>
      <c r="AC34" s="10"/>
      <c r="AD34" s="10"/>
      <c r="AE34" s="10"/>
      <c r="AF34" s="49"/>
      <c r="AG34" s="50"/>
      <c r="AK34" s="50"/>
      <c r="AL34" s="27"/>
      <c r="AM34" s="27"/>
      <c r="AN34" s="27"/>
      <c r="AO34" s="28"/>
      <c r="AP34" s="28"/>
      <c r="AQ34" s="28"/>
      <c r="AR34" s="28"/>
      <c r="AS34" s="28"/>
      <c r="AT34" s="22"/>
      <c r="AU34" s="22"/>
      <c r="AV34" s="29"/>
      <c r="AW34" s="29"/>
      <c r="AX34" s="29"/>
      <c r="AY34" s="29"/>
      <c r="AZ34" s="29"/>
      <c r="BA34" s="29"/>
      <c r="BB34" s="29"/>
      <c r="BC34" s="29"/>
      <c r="BD34" s="29"/>
      <c r="BE34" s="29"/>
      <c r="BF34" s="29"/>
      <c r="BG34" s="29"/>
      <c r="BH34" s="10"/>
      <c r="BI34" s="10"/>
      <c r="BJ34" s="10"/>
      <c r="BK34" s="10"/>
    </row>
    <row r="35" spans="1:63" ht="16.5" customHeight="1">
      <c r="A35" s="9" t="s">
        <v>25</v>
      </c>
      <c r="F35" s="27"/>
      <c r="G35" s="27"/>
      <c r="H35" s="27"/>
      <c r="I35" s="28"/>
      <c r="J35" s="28"/>
      <c r="K35" s="28"/>
      <c r="L35" s="28"/>
      <c r="M35" s="28"/>
      <c r="N35" s="22"/>
      <c r="O35" s="22"/>
      <c r="P35" s="29"/>
      <c r="Q35" s="29"/>
      <c r="R35" s="29"/>
      <c r="S35" s="29"/>
      <c r="T35" s="29"/>
      <c r="U35" s="29"/>
      <c r="V35" s="29"/>
      <c r="W35" s="29"/>
      <c r="X35" s="29"/>
      <c r="Y35" s="29"/>
      <c r="Z35" s="29"/>
      <c r="AA35" s="29"/>
      <c r="AB35" s="10"/>
      <c r="AC35" s="10"/>
      <c r="AD35" s="10"/>
      <c r="AE35" s="10"/>
      <c r="AF35" s="49"/>
      <c r="AG35" s="50"/>
      <c r="AK35" s="50"/>
      <c r="AL35" s="27"/>
      <c r="AM35" s="27"/>
      <c r="AN35" s="27"/>
      <c r="AO35" s="28"/>
      <c r="AP35" s="28"/>
      <c r="AQ35" s="28"/>
      <c r="AR35" s="28"/>
      <c r="AS35" s="28"/>
      <c r="AT35" s="22"/>
      <c r="AU35" s="22"/>
      <c r="AV35" s="29"/>
      <c r="AW35" s="29"/>
      <c r="AX35" s="29"/>
      <c r="AY35" s="29"/>
      <c r="AZ35" s="29"/>
      <c r="BA35" s="29"/>
      <c r="BB35" s="29"/>
      <c r="BC35" s="29"/>
      <c r="BD35" s="29"/>
      <c r="BE35" s="29"/>
      <c r="BF35" s="29"/>
      <c r="BG35" s="29"/>
      <c r="BH35" s="10"/>
      <c r="BI35" s="10"/>
      <c r="BJ35" s="10"/>
      <c r="BK35" s="10"/>
    </row>
    <row r="36" spans="1:63" ht="16.5" customHeight="1">
      <c r="A36" s="9" t="s">
        <v>26</v>
      </c>
      <c r="F36" s="27"/>
      <c r="G36" s="27"/>
      <c r="H36" s="27"/>
      <c r="I36" s="28"/>
      <c r="J36" s="28"/>
      <c r="K36" s="28"/>
      <c r="L36" s="28"/>
      <c r="M36" s="28"/>
      <c r="N36" s="22"/>
      <c r="O36" s="22"/>
      <c r="P36" s="29"/>
      <c r="Q36" s="29"/>
      <c r="R36" s="29"/>
      <c r="S36" s="29"/>
      <c r="T36" s="29"/>
      <c r="U36" s="29"/>
      <c r="V36" s="29"/>
      <c r="W36" s="29"/>
      <c r="X36" s="29"/>
      <c r="Y36" s="29"/>
      <c r="Z36" s="29"/>
      <c r="AA36" s="29"/>
      <c r="AB36" s="10"/>
      <c r="AC36" s="10"/>
      <c r="AD36" s="10"/>
      <c r="AE36" s="10"/>
      <c r="AF36" s="49"/>
      <c r="AG36" s="50"/>
      <c r="AK36" s="50"/>
      <c r="AL36" s="27"/>
      <c r="AM36" s="27"/>
      <c r="AN36" s="27"/>
      <c r="AO36" s="28"/>
      <c r="AP36" s="28"/>
      <c r="AQ36" s="28"/>
      <c r="AR36" s="28"/>
      <c r="AS36" s="28"/>
      <c r="AT36" s="22"/>
      <c r="AU36" s="22"/>
      <c r="AV36" s="29"/>
      <c r="AW36" s="29"/>
      <c r="AX36" s="29"/>
      <c r="AY36" s="29"/>
      <c r="AZ36" s="29"/>
      <c r="BA36" s="29"/>
      <c r="BB36" s="29"/>
      <c r="BC36" s="29"/>
      <c r="BD36" s="29"/>
      <c r="BE36" s="29"/>
      <c r="BF36" s="29"/>
      <c r="BG36" s="29"/>
      <c r="BH36" s="10"/>
      <c r="BI36" s="10"/>
      <c r="BJ36" s="10"/>
      <c r="BK36" s="10"/>
    </row>
    <row r="37" spans="1:63" ht="16.5" customHeight="1" thickBot="1">
      <c r="A37" s="9"/>
      <c r="B37" s="45"/>
      <c r="F37" s="27"/>
      <c r="G37" s="27"/>
      <c r="H37" s="27"/>
      <c r="I37" s="28"/>
      <c r="J37" s="28"/>
      <c r="K37" s="28"/>
      <c r="L37" s="28"/>
      <c r="M37" s="28"/>
      <c r="N37" s="22"/>
      <c r="O37" s="22"/>
      <c r="P37" s="29"/>
      <c r="Q37" s="29"/>
      <c r="R37" s="29"/>
      <c r="S37" s="29"/>
      <c r="T37" s="29"/>
      <c r="U37" s="29"/>
      <c r="V37" s="29"/>
      <c r="W37" s="29"/>
      <c r="X37" s="29"/>
      <c r="Y37" s="29"/>
      <c r="Z37" s="29"/>
      <c r="AA37" s="29"/>
      <c r="AB37" s="10"/>
      <c r="AC37" s="10"/>
      <c r="AD37" s="10"/>
      <c r="AE37" s="10"/>
      <c r="AF37" s="49"/>
      <c r="AG37" s="50"/>
      <c r="AK37" s="50"/>
      <c r="AL37" s="27"/>
      <c r="AM37" s="27"/>
      <c r="AN37" s="27"/>
      <c r="AO37" s="28"/>
      <c r="AP37" s="28"/>
      <c r="AQ37" s="28"/>
      <c r="AR37" s="28"/>
      <c r="AS37" s="28"/>
      <c r="AT37" s="22"/>
      <c r="AU37" s="22"/>
      <c r="AV37" s="29"/>
      <c r="AW37" s="29"/>
      <c r="AX37" s="29"/>
      <c r="AY37" s="29"/>
      <c r="AZ37" s="29"/>
      <c r="BA37" s="29"/>
      <c r="BB37" s="29"/>
      <c r="BC37" s="29"/>
      <c r="BD37" s="29"/>
      <c r="BE37" s="29"/>
      <c r="BF37" s="29"/>
      <c r="BG37" s="29"/>
      <c r="BH37" s="10"/>
      <c r="BI37" s="10"/>
      <c r="BJ37" s="10"/>
      <c r="BK37" s="10"/>
    </row>
    <row r="38" spans="1:63" ht="16.5" customHeight="1" thickTop="1">
      <c r="A38" s="90" t="s">
        <v>27</v>
      </c>
      <c r="B38" s="91"/>
      <c r="C38" s="91"/>
      <c r="D38" s="91"/>
      <c r="E38" s="91"/>
      <c r="F38" s="91"/>
      <c r="G38" s="91"/>
      <c r="H38" s="91"/>
      <c r="I38" s="91"/>
      <c r="J38" s="91"/>
      <c r="K38" s="91"/>
      <c r="L38" s="91"/>
      <c r="M38" s="91"/>
      <c r="N38" s="91"/>
      <c r="O38" s="91"/>
      <c r="P38" s="91"/>
      <c r="Q38" s="91"/>
      <c r="R38" s="91"/>
      <c r="S38" s="91"/>
      <c r="T38" s="92"/>
      <c r="U38" s="29"/>
      <c r="V38" s="29"/>
      <c r="W38" s="29"/>
      <c r="X38" s="29"/>
      <c r="Y38" s="29"/>
      <c r="Z38" s="29"/>
      <c r="AA38" s="29"/>
      <c r="AB38" s="10"/>
      <c r="AC38" s="10"/>
      <c r="AD38" s="10"/>
      <c r="AE38" s="10"/>
      <c r="AF38" s="49"/>
      <c r="AG38" s="50"/>
      <c r="AK38" s="50"/>
      <c r="AL38" s="27"/>
      <c r="AM38" s="27"/>
      <c r="AN38" s="27"/>
      <c r="AO38" s="28"/>
      <c r="AP38" s="28"/>
      <c r="AQ38" s="28"/>
      <c r="AR38" s="28"/>
      <c r="AS38" s="28"/>
      <c r="AT38" s="22"/>
      <c r="AU38" s="22"/>
      <c r="AV38" s="29"/>
      <c r="AW38" s="29"/>
      <c r="AX38" s="29"/>
      <c r="AY38" s="29"/>
      <c r="AZ38" s="29"/>
      <c r="BA38" s="29"/>
      <c r="BB38" s="29"/>
      <c r="BC38" s="29"/>
      <c r="BD38" s="29"/>
      <c r="BE38" s="29"/>
      <c r="BF38" s="29"/>
      <c r="BG38" s="29"/>
      <c r="BH38" s="10"/>
      <c r="BI38" s="10"/>
      <c r="BJ38" s="10"/>
      <c r="BK38" s="10"/>
    </row>
    <row r="39" spans="1:63" ht="16.5" customHeight="1" thickBot="1">
      <c r="A39" s="159" t="s">
        <v>61</v>
      </c>
      <c r="B39" s="160"/>
      <c r="C39" s="160"/>
      <c r="D39" s="160"/>
      <c r="E39" s="160"/>
      <c r="F39" s="160"/>
      <c r="G39" s="160"/>
      <c r="H39" s="161"/>
      <c r="I39" s="232" t="s">
        <v>29</v>
      </c>
      <c r="J39" s="160"/>
      <c r="K39" s="160"/>
      <c r="L39" s="160"/>
      <c r="M39" s="160"/>
      <c r="N39" s="160"/>
      <c r="O39" s="160"/>
      <c r="P39" s="160"/>
      <c r="Q39" s="160"/>
      <c r="R39" s="160"/>
      <c r="S39" s="160"/>
      <c r="T39" s="162"/>
      <c r="U39" s="29"/>
      <c r="V39" s="29"/>
      <c r="W39" s="29"/>
      <c r="X39" s="29"/>
      <c r="Y39" s="29"/>
      <c r="Z39" s="29"/>
      <c r="AA39" s="29"/>
      <c r="AB39" s="10"/>
      <c r="AC39" s="10"/>
      <c r="AD39" s="10"/>
      <c r="AE39" s="10"/>
      <c r="AF39" s="49"/>
      <c r="AG39" s="50"/>
      <c r="AK39" s="50"/>
      <c r="AL39" s="27"/>
      <c r="AM39" s="27"/>
      <c r="AN39" s="27"/>
      <c r="AO39" s="28"/>
      <c r="AP39" s="28"/>
      <c r="AQ39" s="28"/>
      <c r="AR39" s="28"/>
      <c r="AS39" s="28"/>
      <c r="AT39" s="22"/>
      <c r="AU39" s="22"/>
      <c r="AV39" s="29"/>
      <c r="AW39" s="29"/>
      <c r="AX39" s="29"/>
      <c r="AY39" s="29"/>
      <c r="AZ39" s="29"/>
      <c r="BA39" s="29"/>
      <c r="BB39" s="29"/>
      <c r="BC39" s="29"/>
      <c r="BD39" s="29"/>
      <c r="BE39" s="29"/>
      <c r="BF39" s="29"/>
      <c r="BG39" s="29"/>
      <c r="BH39" s="10"/>
      <c r="BI39" s="10"/>
      <c r="BJ39" s="10"/>
      <c r="BK39" s="10"/>
    </row>
    <row r="40" spans="1:63" ht="16.5" customHeight="1" thickTop="1">
      <c r="A40" s="50"/>
      <c r="E40" s="50"/>
      <c r="F40" s="27"/>
      <c r="G40" s="27"/>
      <c r="H40" s="27"/>
      <c r="I40" s="28"/>
      <c r="J40" s="28"/>
      <c r="K40" s="28"/>
      <c r="L40" s="28"/>
      <c r="M40" s="28"/>
      <c r="N40" s="22"/>
      <c r="O40" s="22"/>
      <c r="P40" s="29"/>
      <c r="Q40" s="29"/>
      <c r="R40" s="29"/>
      <c r="S40" s="29"/>
      <c r="T40" s="29"/>
      <c r="U40" s="29"/>
      <c r="V40" s="29"/>
      <c r="W40" s="29"/>
      <c r="X40" s="29"/>
      <c r="Y40" s="29"/>
      <c r="Z40" s="29"/>
      <c r="AA40" s="29"/>
      <c r="AB40" s="10"/>
      <c r="AC40" s="10"/>
      <c r="AD40" s="10"/>
      <c r="AE40" s="10"/>
      <c r="AF40" s="49"/>
      <c r="AG40" s="50"/>
      <c r="AK40" s="50"/>
      <c r="AL40" s="27"/>
      <c r="AM40" s="27"/>
      <c r="AN40" s="27"/>
      <c r="AO40" s="28"/>
      <c r="AP40" s="28"/>
      <c r="AQ40" s="28"/>
      <c r="AR40" s="28"/>
      <c r="AS40" s="28"/>
      <c r="AT40" s="22"/>
      <c r="AU40" s="22"/>
      <c r="AV40" s="29"/>
      <c r="AW40" s="29"/>
      <c r="AX40" s="29"/>
      <c r="AY40" s="29"/>
      <c r="AZ40" s="29"/>
      <c r="BA40" s="29"/>
      <c r="BB40" s="29"/>
      <c r="BC40" s="29"/>
      <c r="BD40" s="29"/>
      <c r="BE40" s="29"/>
      <c r="BF40" s="29"/>
      <c r="BG40" s="29"/>
      <c r="BH40" s="10"/>
      <c r="BI40" s="10"/>
      <c r="BJ40" s="10"/>
      <c r="BK40" s="10"/>
    </row>
    <row r="41" spans="1:63" ht="16.5" customHeight="1">
      <c r="A41" s="50"/>
      <c r="E41" s="50"/>
      <c r="F41" s="27"/>
      <c r="G41" s="27"/>
      <c r="H41" s="27"/>
      <c r="I41" s="28"/>
      <c r="J41" s="28"/>
      <c r="K41" s="28"/>
      <c r="L41" s="28"/>
      <c r="M41" s="28"/>
      <c r="N41" s="22"/>
      <c r="O41" s="22"/>
      <c r="P41" s="29"/>
      <c r="Q41" s="29"/>
      <c r="R41" s="29"/>
      <c r="S41" s="29"/>
      <c r="T41" s="29"/>
      <c r="U41" s="29"/>
      <c r="V41" s="29"/>
      <c r="W41" s="29"/>
      <c r="X41" s="29"/>
      <c r="Y41" s="29"/>
      <c r="Z41" s="29"/>
      <c r="AA41" s="29"/>
      <c r="AB41" s="10"/>
      <c r="AC41" s="10"/>
      <c r="AD41" s="10"/>
      <c r="AE41" s="10"/>
      <c r="AF41" s="49"/>
      <c r="AG41" s="50"/>
      <c r="AK41" s="50"/>
      <c r="AL41" s="27"/>
      <c r="AM41" s="27"/>
      <c r="AN41" s="27"/>
      <c r="AO41" s="28"/>
      <c r="AP41" s="28"/>
      <c r="AQ41" s="28"/>
      <c r="AR41" s="28"/>
      <c r="AS41" s="28"/>
      <c r="AT41" s="22"/>
      <c r="AU41" s="22"/>
      <c r="AV41" s="29"/>
      <c r="AW41" s="29"/>
      <c r="AX41" s="29"/>
      <c r="AY41" s="29"/>
      <c r="AZ41" s="29"/>
      <c r="BA41" s="29"/>
      <c r="BB41" s="29"/>
      <c r="BC41" s="29"/>
      <c r="BD41" s="29"/>
      <c r="BE41" s="29"/>
      <c r="BF41" s="29"/>
      <c r="BG41" s="29"/>
      <c r="BH41" s="10"/>
      <c r="BI41" s="10"/>
      <c r="BJ41" s="10"/>
      <c r="BK41" s="10"/>
    </row>
    <row r="42" spans="1:63" ht="16.5" customHeight="1">
      <c r="A42" s="50"/>
      <c r="E42" s="50"/>
      <c r="F42" s="27"/>
      <c r="G42" s="27"/>
      <c r="H42" s="27"/>
      <c r="I42" s="28"/>
      <c r="J42" s="28"/>
      <c r="K42" s="28"/>
      <c r="L42" s="28"/>
      <c r="M42" s="28"/>
      <c r="N42" s="22"/>
      <c r="O42" s="22"/>
      <c r="P42" s="29"/>
      <c r="Q42" s="29"/>
      <c r="R42" s="29"/>
      <c r="S42" s="29"/>
      <c r="T42" s="29"/>
      <c r="U42" s="29"/>
      <c r="V42" s="29"/>
      <c r="W42" s="29"/>
      <c r="X42" s="29"/>
      <c r="Y42" s="29"/>
      <c r="Z42" s="29"/>
      <c r="AA42" s="29"/>
      <c r="AB42" s="10"/>
      <c r="AC42" s="10"/>
      <c r="AD42" s="10"/>
      <c r="AE42" s="10"/>
      <c r="AF42" s="49"/>
      <c r="AG42" s="50"/>
      <c r="AK42" s="50"/>
      <c r="AL42" s="27"/>
      <c r="AM42" s="27"/>
      <c r="AN42" s="27"/>
      <c r="AO42" s="28"/>
      <c r="AP42" s="28"/>
      <c r="AQ42" s="28"/>
      <c r="AR42" s="28"/>
      <c r="AS42" s="28"/>
      <c r="AT42" s="22"/>
      <c r="AU42" s="22"/>
      <c r="AV42" s="29"/>
      <c r="AW42" s="29"/>
      <c r="AX42" s="29"/>
      <c r="AY42" s="29"/>
      <c r="AZ42" s="29"/>
      <c r="BA42" s="29"/>
      <c r="BB42" s="29"/>
      <c r="BC42" s="29"/>
      <c r="BD42" s="29"/>
      <c r="BE42" s="29"/>
      <c r="BF42" s="29"/>
      <c r="BG42" s="29"/>
      <c r="BH42" s="10"/>
      <c r="BI42" s="10"/>
      <c r="BJ42" s="10"/>
      <c r="BK42" s="10"/>
    </row>
    <row r="43" spans="1:63" ht="16.5" customHeight="1">
      <c r="A43" s="50"/>
      <c r="E43" s="50"/>
      <c r="F43" s="27"/>
      <c r="G43" s="27"/>
      <c r="H43" s="27"/>
      <c r="I43" s="28"/>
      <c r="J43" s="28"/>
      <c r="K43" s="28"/>
      <c r="L43" s="28"/>
      <c r="M43" s="28"/>
      <c r="N43" s="22"/>
      <c r="O43" s="22"/>
      <c r="P43" s="29"/>
      <c r="Q43" s="29"/>
      <c r="R43" s="29"/>
      <c r="S43" s="29"/>
      <c r="T43" s="29"/>
      <c r="U43" s="29"/>
      <c r="V43" s="29"/>
      <c r="W43" s="29"/>
      <c r="X43" s="29"/>
      <c r="Y43" s="29"/>
      <c r="Z43" s="29"/>
      <c r="AA43" s="29"/>
      <c r="AB43" s="10"/>
      <c r="AC43" s="10"/>
      <c r="AD43" s="10"/>
      <c r="AE43" s="10"/>
      <c r="AF43" s="49"/>
      <c r="AG43" s="50"/>
      <c r="AK43" s="50"/>
      <c r="AL43" s="27"/>
      <c r="AM43" s="27"/>
      <c r="AN43" s="27"/>
      <c r="AO43" s="28"/>
      <c r="AP43" s="28"/>
      <c r="AQ43" s="28"/>
      <c r="AR43" s="28"/>
      <c r="AS43" s="28"/>
      <c r="AT43" s="22"/>
      <c r="AU43" s="22"/>
      <c r="AV43" s="29"/>
      <c r="AW43" s="29"/>
      <c r="AX43" s="29"/>
      <c r="AY43" s="29"/>
      <c r="AZ43" s="29"/>
      <c r="BA43" s="29"/>
      <c r="BB43" s="29"/>
      <c r="BC43" s="29"/>
      <c r="BD43" s="29"/>
      <c r="BE43" s="29"/>
      <c r="BF43" s="29"/>
      <c r="BG43" s="29"/>
      <c r="BH43" s="10"/>
      <c r="BI43" s="10"/>
      <c r="BJ43" s="10"/>
      <c r="BK43" s="10"/>
    </row>
    <row r="44" spans="1:63" ht="16.5" customHeight="1">
      <c r="A44" s="50"/>
      <c r="E44" s="50"/>
      <c r="F44" s="27"/>
      <c r="G44" s="27"/>
      <c r="H44" s="27"/>
      <c r="I44" s="28"/>
      <c r="J44" s="28"/>
      <c r="K44" s="28"/>
      <c r="L44" s="28"/>
      <c r="M44" s="28"/>
      <c r="N44" s="22"/>
      <c r="O44" s="22"/>
      <c r="P44" s="29"/>
      <c r="Q44" s="29"/>
      <c r="R44" s="29"/>
      <c r="S44" s="29"/>
      <c r="T44" s="29"/>
      <c r="U44" s="29"/>
      <c r="V44" s="29"/>
      <c r="W44" s="29"/>
      <c r="X44" s="29"/>
      <c r="Y44" s="29"/>
      <c r="Z44" s="29"/>
      <c r="AA44" s="29"/>
      <c r="AB44" s="10"/>
      <c r="AC44" s="10"/>
      <c r="AD44" s="10"/>
      <c r="AE44" s="10"/>
      <c r="AF44" s="49"/>
      <c r="AG44" s="50"/>
      <c r="AK44" s="50"/>
      <c r="AL44" s="27"/>
      <c r="AM44" s="27"/>
      <c r="AN44" s="27"/>
      <c r="AO44" s="28"/>
      <c r="AP44" s="28"/>
      <c r="AQ44" s="28"/>
      <c r="AR44" s="28"/>
      <c r="AS44" s="28"/>
      <c r="AT44" s="22"/>
      <c r="AU44" s="22"/>
      <c r="AV44" s="29"/>
      <c r="AW44" s="29"/>
      <c r="AX44" s="29"/>
      <c r="AY44" s="29"/>
      <c r="AZ44" s="29"/>
      <c r="BA44" s="29"/>
      <c r="BB44" s="29"/>
      <c r="BC44" s="29"/>
      <c r="BD44" s="29"/>
      <c r="BE44" s="29"/>
      <c r="BF44" s="29"/>
      <c r="BG44" s="29"/>
      <c r="BH44" s="10"/>
      <c r="BI44" s="10"/>
      <c r="BJ44" s="10"/>
      <c r="BK44" s="10"/>
    </row>
    <row r="45" spans="1:63" ht="16.5" customHeight="1">
      <c r="A45" s="50"/>
      <c r="E45" s="50"/>
      <c r="F45" s="27"/>
      <c r="G45" s="27"/>
      <c r="H45" s="27"/>
      <c r="I45" s="28"/>
      <c r="J45" s="28"/>
      <c r="K45" s="28"/>
      <c r="L45" s="28"/>
      <c r="M45" s="28"/>
      <c r="N45" s="22"/>
      <c r="O45" s="22"/>
      <c r="P45" s="29"/>
      <c r="Q45" s="29"/>
      <c r="R45" s="29"/>
      <c r="S45" s="29"/>
      <c r="T45" s="29"/>
      <c r="U45" s="29"/>
      <c r="V45" s="29"/>
      <c r="W45" s="29"/>
      <c r="X45" s="29"/>
      <c r="Y45" s="29"/>
      <c r="Z45" s="29"/>
      <c r="AA45" s="29"/>
      <c r="AB45" s="10"/>
      <c r="AC45" s="10"/>
      <c r="AD45" s="10"/>
      <c r="AE45" s="10"/>
      <c r="AF45" s="49"/>
      <c r="AG45" s="50"/>
      <c r="AK45" s="50"/>
      <c r="AL45" s="27"/>
      <c r="AM45" s="27"/>
      <c r="AN45" s="27"/>
      <c r="AO45" s="28"/>
      <c r="AP45" s="28"/>
      <c r="AQ45" s="28"/>
      <c r="AR45" s="28"/>
      <c r="AS45" s="28"/>
      <c r="AT45" s="22"/>
      <c r="AU45" s="22"/>
      <c r="AV45" s="29"/>
      <c r="AW45" s="29"/>
      <c r="AX45" s="29"/>
      <c r="AY45" s="29"/>
      <c r="AZ45" s="29"/>
      <c r="BA45" s="29"/>
      <c r="BB45" s="29"/>
      <c r="BC45" s="29"/>
      <c r="BD45" s="29"/>
      <c r="BE45" s="29"/>
      <c r="BF45" s="29"/>
      <c r="BG45" s="29"/>
      <c r="BH45" s="10"/>
      <c r="BI45" s="10"/>
      <c r="BJ45" s="10"/>
      <c r="BK45" s="10"/>
    </row>
    <row r="46" spans="1:63" ht="16.5" customHeight="1">
      <c r="A46" s="50"/>
      <c r="E46" s="50"/>
      <c r="F46" s="27"/>
      <c r="G46" s="27"/>
      <c r="H46" s="27"/>
      <c r="I46" s="28"/>
      <c r="J46" s="28"/>
      <c r="K46" s="28"/>
      <c r="L46" s="28"/>
      <c r="M46" s="28"/>
      <c r="N46" s="22"/>
      <c r="O46" s="22"/>
      <c r="P46" s="29"/>
      <c r="Q46" s="29"/>
      <c r="R46" s="29"/>
      <c r="S46" s="29"/>
      <c r="T46" s="29"/>
      <c r="U46" s="29"/>
      <c r="V46" s="29"/>
      <c r="W46" s="29"/>
      <c r="X46" s="29"/>
      <c r="Y46" s="29"/>
      <c r="Z46" s="29"/>
      <c r="AA46" s="29"/>
      <c r="AB46" s="10"/>
      <c r="AC46" s="10"/>
      <c r="AD46" s="10"/>
      <c r="AE46" s="10"/>
      <c r="AF46" s="49"/>
      <c r="AG46" s="50"/>
      <c r="AK46" s="50"/>
      <c r="AL46" s="27"/>
      <c r="AM46" s="27"/>
      <c r="AN46" s="27"/>
      <c r="AO46" s="28"/>
      <c r="AP46" s="28"/>
      <c r="AQ46" s="28"/>
      <c r="AR46" s="28"/>
      <c r="AS46" s="28"/>
      <c r="AT46" s="22"/>
      <c r="AU46" s="22"/>
      <c r="AV46" s="29"/>
      <c r="AW46" s="29"/>
      <c r="AX46" s="29"/>
      <c r="AY46" s="29"/>
      <c r="AZ46" s="29"/>
      <c r="BA46" s="29"/>
      <c r="BB46" s="29"/>
      <c r="BC46" s="29"/>
      <c r="BD46" s="29"/>
      <c r="BE46" s="29"/>
      <c r="BF46" s="29"/>
      <c r="BG46" s="29"/>
      <c r="BH46" s="10"/>
      <c r="BI46" s="10"/>
      <c r="BJ46" s="10"/>
      <c r="BK46" s="10"/>
    </row>
    <row r="47" spans="1:63" ht="16.5" customHeight="1">
      <c r="A47" s="50"/>
      <c r="E47" s="50"/>
      <c r="F47" s="27"/>
      <c r="G47" s="27"/>
      <c r="H47" s="27"/>
      <c r="I47" s="28"/>
      <c r="J47" s="28"/>
      <c r="K47" s="28"/>
      <c r="L47" s="28"/>
      <c r="M47" s="28"/>
      <c r="N47" s="22"/>
      <c r="O47" s="22"/>
      <c r="P47" s="29"/>
      <c r="Q47" s="29"/>
      <c r="R47" s="29"/>
      <c r="S47" s="29"/>
      <c r="T47" s="29"/>
      <c r="U47" s="29"/>
      <c r="V47" s="29"/>
      <c r="W47" s="29"/>
      <c r="X47" s="29"/>
      <c r="Y47" s="29"/>
      <c r="Z47" s="29"/>
      <c r="AA47" s="29"/>
      <c r="AB47" s="10"/>
      <c r="AC47" s="10"/>
      <c r="AD47" s="10"/>
      <c r="AE47" s="10"/>
      <c r="AF47" s="49"/>
      <c r="AG47" s="50"/>
      <c r="AK47" s="50"/>
      <c r="AL47" s="27"/>
      <c r="AM47" s="27"/>
      <c r="AN47" s="27"/>
      <c r="AO47" s="28"/>
      <c r="AP47" s="28"/>
      <c r="AQ47" s="28"/>
      <c r="AR47" s="28"/>
      <c r="AS47" s="28"/>
      <c r="AT47" s="22"/>
      <c r="AU47" s="22"/>
      <c r="AV47" s="29"/>
      <c r="AW47" s="29"/>
      <c r="AX47" s="29"/>
      <c r="AY47" s="29"/>
      <c r="AZ47" s="29"/>
      <c r="BA47" s="29"/>
      <c r="BB47" s="29"/>
      <c r="BC47" s="29"/>
      <c r="BD47" s="29"/>
      <c r="BE47" s="29"/>
      <c r="BF47" s="29"/>
      <c r="BG47" s="29"/>
      <c r="BH47" s="10"/>
      <c r="BI47" s="10"/>
      <c r="BJ47" s="10"/>
      <c r="BK47" s="10"/>
    </row>
    <row r="48" spans="1:63" ht="16.5" customHeight="1">
      <c r="A48" s="50"/>
      <c r="E48" s="50"/>
      <c r="F48" s="27"/>
      <c r="G48" s="27"/>
      <c r="H48" s="27"/>
      <c r="I48" s="28"/>
      <c r="J48" s="28"/>
      <c r="K48" s="28"/>
      <c r="L48" s="28"/>
      <c r="M48" s="28"/>
      <c r="N48" s="22"/>
      <c r="O48" s="22"/>
      <c r="P48" s="29"/>
      <c r="Q48" s="29"/>
      <c r="R48" s="29"/>
      <c r="S48" s="29"/>
      <c r="T48" s="29"/>
      <c r="U48" s="29"/>
      <c r="V48" s="29"/>
      <c r="W48" s="29"/>
      <c r="X48" s="29"/>
      <c r="Y48" s="29"/>
      <c r="Z48" s="29"/>
      <c r="AA48" s="29"/>
      <c r="AB48" s="10"/>
      <c r="AC48" s="10"/>
      <c r="AD48" s="10"/>
      <c r="AE48" s="10"/>
      <c r="AF48" s="49"/>
      <c r="AG48" s="50"/>
      <c r="AK48" s="50"/>
      <c r="AL48" s="27"/>
      <c r="AM48" s="27"/>
      <c r="AN48" s="27"/>
      <c r="AO48" s="28"/>
      <c r="AP48" s="28"/>
      <c r="AQ48" s="28"/>
      <c r="AR48" s="28"/>
      <c r="AS48" s="28"/>
      <c r="AT48" s="22"/>
      <c r="AU48" s="22"/>
      <c r="AV48" s="29"/>
      <c r="AW48" s="29"/>
      <c r="AX48" s="29"/>
      <c r="AY48" s="29"/>
      <c r="AZ48" s="29"/>
      <c r="BA48" s="29"/>
      <c r="BB48" s="29"/>
      <c r="BC48" s="29"/>
      <c r="BD48" s="29"/>
      <c r="BE48" s="29"/>
      <c r="BF48" s="29"/>
      <c r="BG48" s="29"/>
      <c r="BH48" s="10"/>
      <c r="BI48" s="10"/>
      <c r="BJ48" s="10"/>
      <c r="BK48" s="10"/>
    </row>
    <row r="49" spans="1:63" ht="16.5" customHeight="1">
      <c r="A49" s="50"/>
      <c r="E49" s="50"/>
      <c r="F49" s="27"/>
      <c r="G49" s="27"/>
      <c r="H49" s="27"/>
      <c r="I49" s="28"/>
      <c r="J49" s="28"/>
      <c r="K49" s="28"/>
      <c r="L49" s="28"/>
      <c r="M49" s="28"/>
      <c r="N49" s="22"/>
      <c r="O49" s="22"/>
      <c r="P49" s="29"/>
      <c r="Q49" s="29"/>
      <c r="R49" s="29"/>
      <c r="S49" s="29"/>
      <c r="T49" s="29"/>
      <c r="U49" s="29"/>
      <c r="V49" s="29"/>
      <c r="W49" s="29"/>
      <c r="X49" s="29"/>
      <c r="Y49" s="29"/>
      <c r="Z49" s="29"/>
      <c r="AA49" s="29"/>
      <c r="AB49" s="10"/>
      <c r="AC49" s="10"/>
      <c r="AD49" s="10"/>
      <c r="AE49" s="10"/>
      <c r="AF49" s="49"/>
      <c r="AG49" s="50"/>
      <c r="AK49" s="50"/>
      <c r="AL49" s="27"/>
      <c r="AM49" s="27"/>
      <c r="AN49" s="27"/>
      <c r="AO49" s="28"/>
      <c r="AP49" s="28"/>
      <c r="AQ49" s="28"/>
      <c r="AR49" s="28"/>
      <c r="AS49" s="28"/>
      <c r="AT49" s="22"/>
      <c r="AU49" s="22"/>
      <c r="AV49" s="29"/>
      <c r="AW49" s="29"/>
      <c r="AX49" s="29"/>
      <c r="AY49" s="29"/>
      <c r="AZ49" s="29"/>
      <c r="BA49" s="29"/>
      <c r="BB49" s="29"/>
      <c r="BC49" s="29"/>
      <c r="BD49" s="29"/>
      <c r="BE49" s="29"/>
      <c r="BF49" s="29"/>
      <c r="BG49" s="29"/>
      <c r="BH49" s="10"/>
      <c r="BI49" s="10"/>
      <c r="BJ49" s="10"/>
      <c r="BK49" s="10"/>
    </row>
    <row r="50" spans="1:63" ht="16.5" customHeight="1">
      <c r="A50" s="50"/>
      <c r="E50" s="50"/>
      <c r="F50" s="27"/>
      <c r="G50" s="27"/>
      <c r="H50" s="27"/>
      <c r="I50" s="28"/>
      <c r="J50" s="28"/>
      <c r="K50" s="28"/>
      <c r="L50" s="28"/>
      <c r="M50" s="28"/>
      <c r="N50" s="22"/>
      <c r="O50" s="22"/>
      <c r="P50" s="29"/>
      <c r="Q50" s="29"/>
      <c r="R50" s="29"/>
      <c r="S50" s="29"/>
      <c r="T50" s="29"/>
      <c r="U50" s="29"/>
      <c r="V50" s="29"/>
      <c r="W50" s="29"/>
      <c r="X50" s="29"/>
      <c r="Y50" s="29"/>
      <c r="Z50" s="29"/>
      <c r="AA50" s="29"/>
      <c r="AB50" s="10"/>
      <c r="AC50" s="10"/>
      <c r="AD50" s="10"/>
      <c r="AE50" s="10"/>
      <c r="AF50" s="49"/>
      <c r="AG50" s="50"/>
      <c r="AK50" s="50"/>
      <c r="AL50" s="27"/>
      <c r="AM50" s="27"/>
      <c r="AN50" s="27"/>
      <c r="AO50" s="28"/>
      <c r="AP50" s="28"/>
      <c r="AQ50" s="28"/>
      <c r="AR50" s="28"/>
      <c r="AS50" s="28"/>
      <c r="AT50" s="22"/>
      <c r="AU50" s="22"/>
      <c r="AV50" s="29"/>
      <c r="AW50" s="29"/>
      <c r="AX50" s="29"/>
      <c r="AY50" s="29"/>
      <c r="AZ50" s="29"/>
      <c r="BA50" s="29"/>
      <c r="BB50" s="29"/>
      <c r="BC50" s="29"/>
      <c r="BD50" s="29"/>
      <c r="BE50" s="29"/>
      <c r="BF50" s="29"/>
      <c r="BG50" s="29"/>
      <c r="BH50" s="10"/>
      <c r="BI50" s="10"/>
      <c r="BJ50" s="10"/>
      <c r="BK50" s="10"/>
    </row>
    <row r="51" spans="1:63" ht="16.5" customHeight="1">
      <c r="A51" s="50"/>
      <c r="E51" s="50"/>
      <c r="F51" s="27"/>
      <c r="G51" s="27"/>
      <c r="H51" s="27"/>
      <c r="I51" s="28"/>
      <c r="J51" s="28"/>
      <c r="K51" s="28"/>
      <c r="L51" s="28"/>
      <c r="M51" s="28"/>
      <c r="N51" s="22"/>
      <c r="O51" s="22"/>
      <c r="P51" s="29"/>
      <c r="Q51" s="29"/>
      <c r="R51" s="29"/>
      <c r="S51" s="29"/>
      <c r="T51" s="29"/>
      <c r="U51" s="29"/>
      <c r="V51" s="29"/>
      <c r="W51" s="29"/>
      <c r="X51" s="29"/>
      <c r="Y51" s="29"/>
      <c r="Z51" s="29"/>
      <c r="AA51" s="29"/>
      <c r="AB51" s="10"/>
      <c r="AC51" s="10"/>
      <c r="AD51" s="10"/>
      <c r="AE51" s="10"/>
      <c r="AF51" s="49"/>
      <c r="AG51" s="50"/>
      <c r="AK51" s="50"/>
      <c r="AL51" s="27"/>
      <c r="AM51" s="27"/>
      <c r="AN51" s="27"/>
      <c r="AO51" s="28"/>
      <c r="AP51" s="28"/>
      <c r="AQ51" s="28"/>
      <c r="AR51" s="28"/>
      <c r="AS51" s="28"/>
      <c r="AT51" s="22"/>
      <c r="AU51" s="22"/>
      <c r="AV51" s="29"/>
      <c r="AW51" s="29"/>
      <c r="AX51" s="29"/>
      <c r="AY51" s="29"/>
      <c r="AZ51" s="29"/>
      <c r="BA51" s="29"/>
      <c r="BB51" s="29"/>
      <c r="BC51" s="29"/>
      <c r="BD51" s="29"/>
      <c r="BE51" s="29"/>
      <c r="BF51" s="29"/>
      <c r="BG51" s="29"/>
      <c r="BH51" s="10"/>
      <c r="BI51" s="10"/>
      <c r="BJ51" s="10"/>
      <c r="BK51" s="10"/>
    </row>
    <row r="52" spans="1:63" ht="16.5" customHeight="1">
      <c r="A52" s="50"/>
      <c r="E52" s="50"/>
      <c r="F52" s="27"/>
      <c r="G52" s="27"/>
      <c r="H52" s="27"/>
      <c r="I52" s="28"/>
      <c r="J52" s="28"/>
      <c r="K52" s="28"/>
      <c r="L52" s="28"/>
      <c r="M52" s="28"/>
      <c r="N52" s="22"/>
      <c r="O52" s="22"/>
      <c r="P52" s="29"/>
      <c r="Q52" s="29"/>
      <c r="R52" s="29"/>
      <c r="S52" s="29"/>
      <c r="T52" s="29"/>
      <c r="U52" s="29"/>
      <c r="V52" s="29"/>
      <c r="W52" s="29"/>
      <c r="X52" s="29"/>
      <c r="Y52" s="29"/>
      <c r="Z52" s="29"/>
      <c r="AA52" s="29"/>
      <c r="AB52" s="10"/>
      <c r="AC52" s="10"/>
      <c r="AD52" s="10"/>
      <c r="AE52" s="10"/>
      <c r="AF52" s="49"/>
      <c r="AG52" s="50"/>
      <c r="AK52" s="50"/>
      <c r="AL52" s="27"/>
      <c r="AM52" s="27"/>
      <c r="AN52" s="27"/>
      <c r="AO52" s="28"/>
      <c r="AP52" s="28"/>
      <c r="AQ52" s="28"/>
      <c r="AR52" s="28"/>
      <c r="AS52" s="28"/>
      <c r="AT52" s="22"/>
      <c r="AU52" s="22"/>
      <c r="AV52" s="29"/>
      <c r="AW52" s="29"/>
      <c r="AX52" s="29"/>
      <c r="AY52" s="29"/>
      <c r="AZ52" s="29"/>
      <c r="BA52" s="29"/>
      <c r="BB52" s="29"/>
      <c r="BC52" s="29"/>
      <c r="BD52" s="29"/>
      <c r="BE52" s="29"/>
      <c r="BF52" s="29"/>
      <c r="BG52" s="29"/>
      <c r="BH52" s="10"/>
      <c r="BI52" s="10"/>
      <c r="BJ52" s="10"/>
      <c r="BK52" s="10"/>
    </row>
    <row r="53" spans="1:63" ht="16.5" customHeight="1">
      <c r="A53" s="50"/>
      <c r="E53" s="50"/>
      <c r="F53" s="27"/>
      <c r="G53" s="27"/>
      <c r="H53" s="27"/>
      <c r="I53" s="28"/>
      <c r="J53" s="28"/>
      <c r="K53" s="28"/>
      <c r="L53" s="28"/>
      <c r="M53" s="28"/>
      <c r="N53" s="22"/>
      <c r="O53" s="22"/>
      <c r="P53" s="29"/>
      <c r="Q53" s="29"/>
      <c r="R53" s="29"/>
      <c r="S53" s="29"/>
      <c r="T53" s="29"/>
      <c r="U53" s="29"/>
      <c r="V53" s="29"/>
      <c r="W53" s="29"/>
      <c r="X53" s="29"/>
      <c r="Y53" s="29"/>
      <c r="Z53" s="29"/>
      <c r="AA53" s="29"/>
      <c r="AB53" s="10"/>
      <c r="AC53" s="10"/>
      <c r="AD53" s="10"/>
      <c r="AE53" s="10"/>
      <c r="AF53" s="49"/>
      <c r="AG53" s="50"/>
      <c r="AK53" s="50"/>
      <c r="AL53" s="27"/>
      <c r="AM53" s="27"/>
      <c r="AN53" s="27"/>
      <c r="AO53" s="28"/>
      <c r="AP53" s="28"/>
      <c r="AQ53" s="28"/>
      <c r="AR53" s="28"/>
      <c r="AS53" s="28"/>
      <c r="AT53" s="22"/>
      <c r="AU53" s="22"/>
      <c r="AV53" s="29"/>
      <c r="AW53" s="29"/>
      <c r="AX53" s="29"/>
      <c r="AY53" s="29"/>
      <c r="AZ53" s="29"/>
      <c r="BA53" s="29"/>
      <c r="BB53" s="29"/>
      <c r="BC53" s="29"/>
      <c r="BD53" s="29"/>
      <c r="BE53" s="29"/>
      <c r="BF53" s="29"/>
      <c r="BG53" s="29"/>
      <c r="BH53" s="10"/>
      <c r="BI53" s="10"/>
      <c r="BJ53" s="10"/>
      <c r="BK53" s="10"/>
    </row>
    <row r="54" spans="1:63" ht="16.5" customHeight="1">
      <c r="A54" s="50"/>
      <c r="E54" s="50"/>
      <c r="F54" s="27"/>
      <c r="G54" s="27"/>
      <c r="H54" s="27"/>
      <c r="I54" s="28"/>
      <c r="J54" s="28"/>
      <c r="K54" s="28"/>
      <c r="L54" s="28"/>
      <c r="M54" s="28"/>
      <c r="N54" s="22"/>
      <c r="O54" s="22"/>
      <c r="P54" s="29"/>
      <c r="Q54" s="29"/>
      <c r="R54" s="29"/>
      <c r="S54" s="29"/>
      <c r="T54" s="29"/>
      <c r="U54" s="29"/>
      <c r="V54" s="29"/>
      <c r="W54" s="29"/>
      <c r="X54" s="29"/>
      <c r="Y54" s="29"/>
      <c r="Z54" s="29"/>
      <c r="AA54" s="29"/>
      <c r="AB54" s="10"/>
      <c r="AC54" s="10"/>
      <c r="AD54" s="10"/>
      <c r="AE54" s="10"/>
      <c r="AF54" s="49"/>
      <c r="AG54" s="50"/>
      <c r="AK54" s="50"/>
      <c r="AL54" s="27"/>
      <c r="AM54" s="27"/>
      <c r="AN54" s="27"/>
      <c r="AO54" s="28"/>
      <c r="AP54" s="28"/>
      <c r="AQ54" s="28"/>
      <c r="AR54" s="28"/>
      <c r="AS54" s="28"/>
      <c r="AT54" s="22"/>
      <c r="AU54" s="22"/>
      <c r="AV54" s="29"/>
      <c r="AW54" s="29"/>
      <c r="AX54" s="29"/>
      <c r="AY54" s="29"/>
      <c r="AZ54" s="29"/>
      <c r="BA54" s="29"/>
      <c r="BB54" s="29"/>
      <c r="BC54" s="29"/>
      <c r="BD54" s="29"/>
      <c r="BE54" s="29"/>
      <c r="BF54" s="29"/>
      <c r="BG54" s="29"/>
      <c r="BH54" s="10"/>
      <c r="BI54" s="10"/>
      <c r="BJ54" s="10"/>
      <c r="BK54" s="10"/>
    </row>
    <row r="55" spans="1:63" ht="16.5" customHeight="1">
      <c r="A55" s="50"/>
      <c r="E55" s="50"/>
      <c r="F55" s="27"/>
      <c r="G55" s="27"/>
      <c r="H55" s="27"/>
      <c r="I55" s="28"/>
      <c r="J55" s="28"/>
      <c r="K55" s="28"/>
      <c r="L55" s="28"/>
      <c r="M55" s="28"/>
      <c r="N55" s="22"/>
      <c r="O55" s="22"/>
      <c r="P55" s="29"/>
      <c r="Q55" s="29"/>
      <c r="R55" s="29"/>
      <c r="S55" s="29"/>
      <c r="T55" s="29"/>
      <c r="U55" s="29"/>
      <c r="V55" s="29"/>
      <c r="W55" s="29"/>
      <c r="X55" s="29"/>
      <c r="Y55" s="29"/>
      <c r="Z55" s="29"/>
      <c r="AA55" s="29"/>
      <c r="AB55" s="10"/>
      <c r="AC55" s="10"/>
      <c r="AD55" s="10"/>
      <c r="AE55" s="10"/>
      <c r="AF55" s="49"/>
      <c r="AG55" s="50"/>
      <c r="AK55" s="50"/>
      <c r="AL55" s="27"/>
      <c r="AM55" s="27"/>
      <c r="AN55" s="27"/>
      <c r="AO55" s="28"/>
      <c r="AP55" s="28"/>
      <c r="AQ55" s="28"/>
      <c r="AR55" s="28"/>
      <c r="AS55" s="28"/>
      <c r="AT55" s="22"/>
      <c r="AU55" s="22"/>
      <c r="AV55" s="29"/>
      <c r="AW55" s="29"/>
      <c r="AX55" s="29"/>
      <c r="AY55" s="29"/>
      <c r="AZ55" s="29"/>
      <c r="BA55" s="29"/>
      <c r="BB55" s="29"/>
      <c r="BC55" s="29"/>
      <c r="BD55" s="29"/>
      <c r="BE55" s="29"/>
      <c r="BF55" s="29"/>
      <c r="BG55" s="29"/>
      <c r="BH55" s="10"/>
      <c r="BI55" s="10"/>
      <c r="BJ55" s="10"/>
      <c r="BK55" s="10"/>
    </row>
    <row r="56" spans="1:63" ht="16.5" customHeight="1">
      <c r="A56" s="50"/>
      <c r="E56" s="50"/>
      <c r="F56" s="27"/>
      <c r="G56" s="27"/>
      <c r="H56" s="27"/>
      <c r="I56" s="28"/>
      <c r="J56" s="28"/>
      <c r="K56" s="28"/>
      <c r="L56" s="28"/>
      <c r="M56" s="28"/>
      <c r="N56" s="22"/>
      <c r="O56" s="22"/>
      <c r="P56" s="29"/>
      <c r="Q56" s="29"/>
      <c r="R56" s="29"/>
      <c r="S56" s="29"/>
      <c r="T56" s="29"/>
      <c r="U56" s="29"/>
      <c r="V56" s="29"/>
      <c r="W56" s="29"/>
      <c r="X56" s="29"/>
      <c r="Y56" s="29"/>
      <c r="Z56" s="29"/>
      <c r="AA56" s="29"/>
      <c r="AB56" s="10"/>
      <c r="AC56" s="10"/>
      <c r="AD56" s="10"/>
      <c r="AE56" s="10"/>
      <c r="AF56" s="49"/>
      <c r="AG56" s="50"/>
      <c r="AK56" s="50"/>
      <c r="AL56" s="27"/>
      <c r="AM56" s="27"/>
      <c r="AN56" s="27"/>
      <c r="AO56" s="28"/>
      <c r="AP56" s="28"/>
      <c r="AQ56" s="28"/>
      <c r="AR56" s="28"/>
      <c r="AS56" s="28"/>
      <c r="AT56" s="22"/>
      <c r="AU56" s="22"/>
      <c r="AV56" s="29"/>
      <c r="AW56" s="29"/>
      <c r="AX56" s="29"/>
      <c r="AY56" s="29"/>
      <c r="AZ56" s="29"/>
      <c r="BA56" s="29"/>
      <c r="BB56" s="29"/>
      <c r="BC56" s="29"/>
      <c r="BD56" s="29"/>
      <c r="BE56" s="29"/>
      <c r="BF56" s="29"/>
      <c r="BG56" s="29"/>
      <c r="BH56" s="10"/>
      <c r="BI56" s="10"/>
      <c r="BJ56" s="10"/>
      <c r="BK56" s="10"/>
    </row>
    <row r="57" spans="1:63" ht="16.5" customHeight="1">
      <c r="A57" s="50"/>
      <c r="E57" s="50"/>
      <c r="F57" s="27"/>
      <c r="G57" s="27"/>
      <c r="H57" s="27"/>
      <c r="I57" s="28"/>
      <c r="J57" s="28"/>
      <c r="K57" s="28"/>
      <c r="L57" s="28"/>
      <c r="M57" s="28"/>
      <c r="N57" s="22"/>
      <c r="O57" s="22"/>
      <c r="P57" s="29"/>
      <c r="Q57" s="29"/>
      <c r="R57" s="29"/>
      <c r="S57" s="29"/>
      <c r="T57" s="29"/>
      <c r="U57" s="29"/>
      <c r="V57" s="29"/>
      <c r="W57" s="29"/>
      <c r="X57" s="29"/>
      <c r="Y57" s="29"/>
      <c r="Z57" s="29"/>
      <c r="AA57" s="29"/>
      <c r="AB57" s="10"/>
      <c r="AC57" s="10"/>
      <c r="AD57" s="10"/>
      <c r="AE57" s="10"/>
      <c r="AF57" s="49"/>
      <c r="AG57" s="50"/>
      <c r="AK57" s="50"/>
      <c r="AL57" s="27"/>
      <c r="AM57" s="27"/>
      <c r="AN57" s="27"/>
      <c r="AO57" s="28"/>
      <c r="AP57" s="28"/>
      <c r="AQ57" s="28"/>
      <c r="AR57" s="28"/>
      <c r="AS57" s="28"/>
      <c r="AT57" s="22"/>
      <c r="AU57" s="22"/>
      <c r="AV57" s="29"/>
      <c r="AW57" s="29"/>
      <c r="AX57" s="29"/>
      <c r="AY57" s="29"/>
      <c r="AZ57" s="29"/>
      <c r="BA57" s="29"/>
      <c r="BB57" s="29"/>
      <c r="BC57" s="29"/>
      <c r="BD57" s="29"/>
      <c r="BE57" s="29"/>
      <c r="BF57" s="29"/>
      <c r="BG57" s="29"/>
      <c r="BH57" s="10"/>
      <c r="BI57" s="10"/>
      <c r="BJ57" s="10"/>
      <c r="BK57" s="10"/>
    </row>
    <row r="58" spans="1:63" ht="16.5" customHeight="1">
      <c r="A58" s="98" t="s">
        <v>3</v>
      </c>
      <c r="B58" s="98"/>
      <c r="C58" s="98"/>
      <c r="D58" s="98"/>
      <c r="E58" s="98"/>
      <c r="F58" s="155" t="s">
        <v>4</v>
      </c>
      <c r="G58" s="155"/>
      <c r="H58" s="155"/>
      <c r="I58" s="98" t="s">
        <v>5</v>
      </c>
      <c r="J58" s="98"/>
      <c r="K58" s="98"/>
      <c r="L58" s="98"/>
      <c r="M58" s="98"/>
      <c r="N58" s="98"/>
      <c r="O58" s="98"/>
      <c r="P58" s="98" t="s">
        <v>6</v>
      </c>
      <c r="Q58" s="98"/>
      <c r="R58" s="98"/>
      <c r="S58" s="98"/>
      <c r="T58" s="98" t="s">
        <v>7</v>
      </c>
      <c r="U58" s="98"/>
      <c r="V58" s="98"/>
      <c r="W58" s="98"/>
      <c r="X58" s="98" t="s">
        <v>8</v>
      </c>
      <c r="Y58" s="98"/>
      <c r="Z58" s="98"/>
      <c r="AA58" s="98"/>
      <c r="AB58" s="3"/>
      <c r="AC58" s="3"/>
      <c r="AD58" s="3"/>
      <c r="AE58" s="3"/>
      <c r="AF58" s="3"/>
      <c r="AG58" s="98" t="s">
        <v>3</v>
      </c>
      <c r="AH58" s="98"/>
      <c r="AI58" s="98"/>
      <c r="AJ58" s="98"/>
      <c r="AK58" s="98"/>
      <c r="AL58" s="155" t="s">
        <v>4</v>
      </c>
      <c r="AM58" s="155"/>
      <c r="AN58" s="155"/>
      <c r="AO58" s="98" t="s">
        <v>5</v>
      </c>
      <c r="AP58" s="98"/>
      <c r="AQ58" s="98"/>
      <c r="AR58" s="98"/>
      <c r="AS58" s="98"/>
      <c r="AT58" s="98"/>
      <c r="AU58" s="98"/>
      <c r="AV58" s="98" t="s">
        <v>6</v>
      </c>
      <c r="AW58" s="98"/>
      <c r="AX58" s="98"/>
      <c r="AY58" s="98"/>
      <c r="AZ58" s="98" t="s">
        <v>7</v>
      </c>
      <c r="BA58" s="98"/>
      <c r="BB58" s="98"/>
      <c r="BC58" s="98"/>
      <c r="BD58" s="98" t="s">
        <v>8</v>
      </c>
      <c r="BE58" s="98"/>
      <c r="BF58" s="98"/>
      <c r="BG58" s="98"/>
      <c r="BH58" s="10"/>
      <c r="BI58" s="10"/>
      <c r="BJ58" s="10"/>
      <c r="BK58" s="10"/>
    </row>
    <row r="59" spans="1:63" ht="16.5" customHeight="1">
      <c r="A59" s="202">
        <v>936</v>
      </c>
      <c r="B59" s="202"/>
      <c r="C59" s="202"/>
      <c r="D59" s="202"/>
      <c r="E59" s="202"/>
      <c r="F59" s="94">
        <v>3</v>
      </c>
      <c r="G59" s="94"/>
      <c r="H59" s="94"/>
      <c r="I59" s="156" t="s">
        <v>9</v>
      </c>
      <c r="J59" s="156"/>
      <c r="K59" s="156"/>
      <c r="L59" s="156"/>
      <c r="M59" s="156"/>
      <c r="N59" s="100" t="s">
        <v>10</v>
      </c>
      <c r="O59" s="100"/>
      <c r="P59" s="99">
        <f>P71+20</f>
        <v>229.5</v>
      </c>
      <c r="Q59" s="99"/>
      <c r="R59" s="99"/>
      <c r="S59" s="99"/>
      <c r="T59" s="99">
        <f>P59+30</f>
        <v>259.5</v>
      </c>
      <c r="U59" s="99"/>
      <c r="V59" s="99"/>
      <c r="W59" s="99"/>
      <c r="X59" s="99">
        <f>T59+30</f>
        <v>289.5</v>
      </c>
      <c r="Y59" s="99"/>
      <c r="Z59" s="99"/>
      <c r="AA59" s="99"/>
      <c r="AB59" s="10"/>
      <c r="AC59" s="10"/>
      <c r="AD59" s="10"/>
      <c r="AE59" s="10"/>
      <c r="AF59" s="49"/>
      <c r="AG59" s="202">
        <v>936</v>
      </c>
      <c r="AH59" s="202"/>
      <c r="AI59" s="202"/>
      <c r="AJ59" s="202"/>
      <c r="AK59" s="202"/>
      <c r="AL59" s="94">
        <v>5</v>
      </c>
      <c r="AM59" s="94"/>
      <c r="AN59" s="94"/>
      <c r="AO59" s="95" t="s">
        <v>9</v>
      </c>
      <c r="AP59" s="95"/>
      <c r="AQ59" s="95"/>
      <c r="AR59" s="95"/>
      <c r="AS59" s="95"/>
      <c r="AT59" s="100" t="s">
        <v>10</v>
      </c>
      <c r="AU59" s="100"/>
      <c r="AV59" s="99">
        <f>AV71+20</f>
        <v>246.5</v>
      </c>
      <c r="AW59" s="99"/>
      <c r="AX59" s="99"/>
      <c r="AY59" s="99"/>
      <c r="AZ59" s="99">
        <f>AV59+30</f>
        <v>276.5</v>
      </c>
      <c r="BA59" s="99"/>
      <c r="BB59" s="99"/>
      <c r="BC59" s="99"/>
      <c r="BD59" s="99">
        <f>AZ59+30</f>
        <v>306.5</v>
      </c>
      <c r="BE59" s="99"/>
      <c r="BF59" s="99"/>
      <c r="BG59" s="99"/>
      <c r="BH59" s="10"/>
      <c r="BI59" s="10"/>
      <c r="BJ59" s="10"/>
      <c r="BK59" s="10"/>
    </row>
    <row r="60" spans="1:63" ht="16.5" customHeight="1">
      <c r="A60" s="202"/>
      <c r="B60" s="202"/>
      <c r="C60" s="202"/>
      <c r="D60" s="202"/>
      <c r="E60" s="202"/>
      <c r="F60" s="94"/>
      <c r="G60" s="94"/>
      <c r="H60" s="94"/>
      <c r="I60" s="156"/>
      <c r="J60" s="156"/>
      <c r="K60" s="156"/>
      <c r="L60" s="156"/>
      <c r="M60" s="156"/>
      <c r="N60" s="100" t="s">
        <v>11</v>
      </c>
      <c r="O60" s="100"/>
      <c r="P60" s="99">
        <f>CEILING(P59*0.95,0.5)</f>
        <v>218.5</v>
      </c>
      <c r="Q60" s="99"/>
      <c r="R60" s="99"/>
      <c r="S60" s="99"/>
      <c r="T60" s="99">
        <f>CEILING(T59*0.95,0.5)</f>
        <v>247</v>
      </c>
      <c r="U60" s="99"/>
      <c r="V60" s="99"/>
      <c r="W60" s="99"/>
      <c r="X60" s="99">
        <f>CEILING(X59*0.95,0.5)</f>
        <v>275.5</v>
      </c>
      <c r="Y60" s="99"/>
      <c r="Z60" s="99"/>
      <c r="AA60" s="99"/>
      <c r="AB60" s="10"/>
      <c r="AC60" s="10"/>
      <c r="AD60" s="10"/>
      <c r="AE60" s="10"/>
      <c r="AF60" s="49"/>
      <c r="AG60" s="202"/>
      <c r="AH60" s="202"/>
      <c r="AI60" s="202"/>
      <c r="AJ60" s="202"/>
      <c r="AK60" s="202"/>
      <c r="AL60" s="94"/>
      <c r="AM60" s="94"/>
      <c r="AN60" s="94"/>
      <c r="AO60" s="95"/>
      <c r="AP60" s="95"/>
      <c r="AQ60" s="95"/>
      <c r="AR60" s="95"/>
      <c r="AS60" s="95"/>
      <c r="AT60" s="100" t="s">
        <v>11</v>
      </c>
      <c r="AU60" s="100"/>
      <c r="AV60" s="99">
        <f>CEILING(AV59*0.95,0.5)</f>
        <v>234.5</v>
      </c>
      <c r="AW60" s="99"/>
      <c r="AX60" s="99"/>
      <c r="AY60" s="99"/>
      <c r="AZ60" s="99">
        <f>CEILING(AZ59*0.95,0.5)</f>
        <v>263</v>
      </c>
      <c r="BA60" s="99"/>
      <c r="BB60" s="99"/>
      <c r="BC60" s="99"/>
      <c r="BD60" s="99">
        <f>CEILING(BD59*0.95,0.5)</f>
        <v>291.5</v>
      </c>
      <c r="BE60" s="99"/>
      <c r="BF60" s="99"/>
      <c r="BG60" s="99"/>
      <c r="BH60" s="10"/>
      <c r="BI60" s="10"/>
      <c r="BJ60" s="10"/>
      <c r="BK60" s="10"/>
    </row>
    <row r="61" spans="1:63" ht="16.5" customHeight="1">
      <c r="A61" s="202"/>
      <c r="B61" s="202"/>
      <c r="C61" s="202"/>
      <c r="D61" s="202"/>
      <c r="E61" s="202"/>
      <c r="F61" s="94"/>
      <c r="G61" s="94"/>
      <c r="H61" s="94"/>
      <c r="I61" s="156"/>
      <c r="J61" s="156"/>
      <c r="K61" s="156"/>
      <c r="L61" s="156"/>
      <c r="M61" s="156"/>
      <c r="N61" s="100" t="s">
        <v>12</v>
      </c>
      <c r="O61" s="100"/>
      <c r="P61" s="99">
        <f>P73+20</f>
        <v>196.5</v>
      </c>
      <c r="Q61" s="99"/>
      <c r="R61" s="99"/>
      <c r="S61" s="99"/>
      <c r="T61" s="99">
        <f>P61+30</f>
        <v>226.5</v>
      </c>
      <c r="U61" s="99"/>
      <c r="V61" s="99"/>
      <c r="W61" s="99"/>
      <c r="X61" s="99">
        <f>T61+30</f>
        <v>256.5</v>
      </c>
      <c r="Y61" s="99"/>
      <c r="Z61" s="99"/>
      <c r="AA61" s="99"/>
      <c r="AB61" s="10"/>
      <c r="AC61" s="10"/>
      <c r="AD61" s="10"/>
      <c r="AE61" s="10"/>
      <c r="AF61" s="49"/>
      <c r="AG61" s="202"/>
      <c r="AH61" s="202"/>
      <c r="AI61" s="202"/>
      <c r="AJ61" s="202"/>
      <c r="AK61" s="202"/>
      <c r="AL61" s="94"/>
      <c r="AM61" s="94"/>
      <c r="AN61" s="94"/>
      <c r="AO61" s="95"/>
      <c r="AP61" s="95"/>
      <c r="AQ61" s="95"/>
      <c r="AR61" s="95"/>
      <c r="AS61" s="95"/>
      <c r="AT61" s="100" t="s">
        <v>12</v>
      </c>
      <c r="AU61" s="100"/>
      <c r="AV61" s="99">
        <f>AV73+20</f>
        <v>203.5</v>
      </c>
      <c r="AW61" s="99"/>
      <c r="AX61" s="99"/>
      <c r="AY61" s="99"/>
      <c r="AZ61" s="99">
        <f>AV61+30</f>
        <v>233.5</v>
      </c>
      <c r="BA61" s="99"/>
      <c r="BB61" s="99"/>
      <c r="BC61" s="99"/>
      <c r="BD61" s="99">
        <f>AZ61+30</f>
        <v>263.5</v>
      </c>
      <c r="BE61" s="99"/>
      <c r="BF61" s="99"/>
      <c r="BG61" s="99"/>
      <c r="BH61" s="10"/>
      <c r="BI61" s="10"/>
      <c r="BJ61" s="10"/>
      <c r="BK61" s="10"/>
    </row>
    <row r="62" spans="1:63" ht="16.5" customHeight="1">
      <c r="A62" s="202"/>
      <c r="B62" s="202"/>
      <c r="C62" s="202"/>
      <c r="D62" s="202"/>
      <c r="E62" s="202"/>
      <c r="F62" s="94"/>
      <c r="G62" s="94"/>
      <c r="H62" s="94"/>
      <c r="I62" s="97" t="s">
        <v>63</v>
      </c>
      <c r="J62" s="97"/>
      <c r="K62" s="97"/>
      <c r="L62" s="97"/>
      <c r="M62" s="97"/>
      <c r="N62" s="98" t="s">
        <v>58</v>
      </c>
      <c r="O62" s="98"/>
      <c r="P62" s="96">
        <f>CEILING(P59*0.4+5,0.5)</f>
        <v>97</v>
      </c>
      <c r="Q62" s="96"/>
      <c r="R62" s="96"/>
      <c r="S62" s="96"/>
      <c r="T62" s="96">
        <f>CEILING(T59*0.4+5,0.5)</f>
        <v>109</v>
      </c>
      <c r="U62" s="96"/>
      <c r="V62" s="96"/>
      <c r="W62" s="96"/>
      <c r="X62" s="96">
        <f>CEILING(X59*0.4+5,0.5)</f>
        <v>121</v>
      </c>
      <c r="Y62" s="96"/>
      <c r="Z62" s="96"/>
      <c r="AA62" s="96"/>
      <c r="AB62" s="10"/>
      <c r="AC62" s="10"/>
      <c r="AD62" s="10"/>
      <c r="AE62" s="10"/>
      <c r="AF62" s="49"/>
      <c r="AG62" s="202"/>
      <c r="AH62" s="202"/>
      <c r="AI62" s="202"/>
      <c r="AJ62" s="202"/>
      <c r="AK62" s="202"/>
      <c r="AL62" s="94"/>
      <c r="AM62" s="94"/>
      <c r="AN62" s="94"/>
      <c r="AO62" s="97" t="s">
        <v>14</v>
      </c>
      <c r="AP62" s="97"/>
      <c r="AQ62" s="97"/>
      <c r="AR62" s="97"/>
      <c r="AS62" s="97"/>
      <c r="AT62" s="98" t="s">
        <v>58</v>
      </c>
      <c r="AU62" s="98"/>
      <c r="AV62" s="96">
        <f>CEILING(AV59*0.47+5,0.5)</f>
        <v>121</v>
      </c>
      <c r="AW62" s="96"/>
      <c r="AX62" s="96"/>
      <c r="AY62" s="96"/>
      <c r="AZ62" s="96">
        <f>CEILING(AZ59*0.47+5,0.5)</f>
        <v>135</v>
      </c>
      <c r="BA62" s="96"/>
      <c r="BB62" s="96"/>
      <c r="BC62" s="96"/>
      <c r="BD62" s="96">
        <f>CEILING(BD59*0.47+5,0.5)</f>
        <v>149.5</v>
      </c>
      <c r="BE62" s="96"/>
      <c r="BF62" s="96"/>
      <c r="BG62" s="96"/>
      <c r="BH62" s="10"/>
      <c r="BI62" s="10"/>
      <c r="BJ62" s="10"/>
      <c r="BK62" s="10"/>
    </row>
    <row r="63" spans="1:63" ht="16.5" customHeight="1">
      <c r="A63" s="202"/>
      <c r="B63" s="202"/>
      <c r="C63" s="202"/>
      <c r="D63" s="202"/>
      <c r="E63" s="202"/>
      <c r="F63" s="94"/>
      <c r="G63" s="94"/>
      <c r="H63" s="94"/>
      <c r="I63" s="97"/>
      <c r="J63" s="97"/>
      <c r="K63" s="97"/>
      <c r="L63" s="97"/>
      <c r="M63" s="97"/>
      <c r="N63" s="98" t="s">
        <v>11</v>
      </c>
      <c r="O63" s="98"/>
      <c r="P63" s="96">
        <f>CEILING(P62*0.95,0.5)</f>
        <v>92.5</v>
      </c>
      <c r="Q63" s="96"/>
      <c r="R63" s="96"/>
      <c r="S63" s="96"/>
      <c r="T63" s="96">
        <f>CEILING(T62*0.95,0.5)</f>
        <v>104</v>
      </c>
      <c r="U63" s="96"/>
      <c r="V63" s="96"/>
      <c r="W63" s="96"/>
      <c r="X63" s="96">
        <f>CEILING(X62*0.95,0.5)</f>
        <v>115</v>
      </c>
      <c r="Y63" s="96"/>
      <c r="Z63" s="96"/>
      <c r="AA63" s="96"/>
      <c r="AB63" s="10"/>
      <c r="AC63" s="10"/>
      <c r="AD63" s="10"/>
      <c r="AE63" s="10"/>
      <c r="AF63" s="49"/>
      <c r="AG63" s="202"/>
      <c r="AH63" s="202"/>
      <c r="AI63" s="202"/>
      <c r="AJ63" s="202"/>
      <c r="AK63" s="202"/>
      <c r="AL63" s="94"/>
      <c r="AM63" s="94"/>
      <c r="AN63" s="94"/>
      <c r="AO63" s="97"/>
      <c r="AP63" s="97"/>
      <c r="AQ63" s="97"/>
      <c r="AR63" s="97"/>
      <c r="AS63" s="97"/>
      <c r="AT63" s="98" t="s">
        <v>11</v>
      </c>
      <c r="AU63" s="98"/>
      <c r="AV63" s="96">
        <f>CEILING(AV62*0.95,0.5)</f>
        <v>115</v>
      </c>
      <c r="AW63" s="96"/>
      <c r="AX63" s="96"/>
      <c r="AY63" s="96"/>
      <c r="AZ63" s="96">
        <f>CEILING(AZ62*0.95,0.5)</f>
        <v>128.5</v>
      </c>
      <c r="BA63" s="96"/>
      <c r="BB63" s="96"/>
      <c r="BC63" s="96"/>
      <c r="BD63" s="96">
        <f>CEILING(BD62*0.95,0.5)</f>
        <v>142.5</v>
      </c>
      <c r="BE63" s="96"/>
      <c r="BF63" s="96"/>
      <c r="BG63" s="96"/>
      <c r="BH63" s="10"/>
      <c r="BI63" s="10"/>
      <c r="BJ63" s="10"/>
      <c r="BK63" s="10"/>
    </row>
    <row r="64" spans="1:63" ht="16.5" customHeight="1">
      <c r="A64" s="202"/>
      <c r="B64" s="202"/>
      <c r="C64" s="202"/>
      <c r="D64" s="202"/>
      <c r="E64" s="202"/>
      <c r="F64" s="94"/>
      <c r="G64" s="94"/>
      <c r="H64" s="94"/>
      <c r="I64" s="97"/>
      <c r="J64" s="97"/>
      <c r="K64" s="97"/>
      <c r="L64" s="97"/>
      <c r="M64" s="97"/>
      <c r="N64" s="98" t="s">
        <v>12</v>
      </c>
      <c r="O64" s="98"/>
      <c r="P64" s="96">
        <f>CEILING(P61*0.4+5,0.5)</f>
        <v>84</v>
      </c>
      <c r="Q64" s="96"/>
      <c r="R64" s="96"/>
      <c r="S64" s="96"/>
      <c r="T64" s="96">
        <f>CEILING(T61*0.4+5,0.5)</f>
        <v>96</v>
      </c>
      <c r="U64" s="96"/>
      <c r="V64" s="96"/>
      <c r="W64" s="96"/>
      <c r="X64" s="96">
        <f>CEILING(X61*0.4+5,0.5)</f>
        <v>108</v>
      </c>
      <c r="Y64" s="96"/>
      <c r="Z64" s="96"/>
      <c r="AA64" s="96"/>
      <c r="AB64" s="10"/>
      <c r="AC64" s="10"/>
      <c r="AD64" s="10"/>
      <c r="AE64" s="10"/>
      <c r="AF64" s="49"/>
      <c r="AG64" s="202"/>
      <c r="AH64" s="202"/>
      <c r="AI64" s="202"/>
      <c r="AJ64" s="202"/>
      <c r="AK64" s="202"/>
      <c r="AL64" s="94"/>
      <c r="AM64" s="94"/>
      <c r="AN64" s="94"/>
      <c r="AO64" s="97"/>
      <c r="AP64" s="97"/>
      <c r="AQ64" s="97"/>
      <c r="AR64" s="97"/>
      <c r="AS64" s="97"/>
      <c r="AT64" s="98" t="s">
        <v>12</v>
      </c>
      <c r="AU64" s="98"/>
      <c r="AV64" s="96">
        <f>CEILING(AV61*0.47+5,0.5)</f>
        <v>101</v>
      </c>
      <c r="AW64" s="96"/>
      <c r="AX64" s="96"/>
      <c r="AY64" s="96"/>
      <c r="AZ64" s="96">
        <f>CEILING(AZ61*0.47+5,0.5)</f>
        <v>115</v>
      </c>
      <c r="BA64" s="96"/>
      <c r="BB64" s="96"/>
      <c r="BC64" s="96"/>
      <c r="BD64" s="96">
        <f>CEILING(BD61*0.47+5,0.5)</f>
        <v>129</v>
      </c>
      <c r="BE64" s="96"/>
      <c r="BF64" s="96"/>
      <c r="BG64" s="96"/>
      <c r="BH64" s="10"/>
      <c r="BI64" s="10"/>
      <c r="BJ64" s="10"/>
      <c r="BK64" s="10"/>
    </row>
    <row r="65" spans="1:63" ht="16.5" customHeight="1">
      <c r="A65" s="202"/>
      <c r="B65" s="202"/>
      <c r="C65" s="202"/>
      <c r="D65" s="202"/>
      <c r="E65" s="202"/>
      <c r="F65" s="94"/>
      <c r="G65" s="94"/>
      <c r="H65" s="94"/>
      <c r="I65" s="156" t="s">
        <v>15</v>
      </c>
      <c r="J65" s="156"/>
      <c r="K65" s="156"/>
      <c r="L65" s="156"/>
      <c r="M65" s="156"/>
      <c r="N65" s="100" t="s">
        <v>10</v>
      </c>
      <c r="O65" s="100"/>
      <c r="P65" s="99">
        <f>P71+10</f>
        <v>219.5</v>
      </c>
      <c r="Q65" s="99"/>
      <c r="R65" s="99"/>
      <c r="S65" s="99"/>
      <c r="T65" s="99">
        <f>P65+15</f>
        <v>234.5</v>
      </c>
      <c r="U65" s="99"/>
      <c r="V65" s="99"/>
      <c r="W65" s="99"/>
      <c r="X65" s="99">
        <f>T65+15</f>
        <v>249.5</v>
      </c>
      <c r="Y65" s="99"/>
      <c r="Z65" s="99"/>
      <c r="AA65" s="99"/>
      <c r="AB65" s="10"/>
      <c r="AC65" s="10"/>
      <c r="AD65" s="10"/>
      <c r="AE65" s="10"/>
      <c r="AF65" s="49"/>
      <c r="AG65" s="202"/>
      <c r="AH65" s="202"/>
      <c r="AI65" s="202"/>
      <c r="AJ65" s="202"/>
      <c r="AK65" s="202"/>
      <c r="AL65" s="94"/>
      <c r="AM65" s="94"/>
      <c r="AN65" s="94"/>
      <c r="AO65" s="95" t="s">
        <v>15</v>
      </c>
      <c r="AP65" s="95"/>
      <c r="AQ65" s="95"/>
      <c r="AR65" s="95"/>
      <c r="AS65" s="95"/>
      <c r="AT65" s="100" t="s">
        <v>10</v>
      </c>
      <c r="AU65" s="100"/>
      <c r="AV65" s="99">
        <f>AV71+10</f>
        <v>236.5</v>
      </c>
      <c r="AW65" s="99"/>
      <c r="AX65" s="99"/>
      <c r="AY65" s="99"/>
      <c r="AZ65" s="99">
        <f>AV65+15</f>
        <v>251.5</v>
      </c>
      <c r="BA65" s="99"/>
      <c r="BB65" s="99"/>
      <c r="BC65" s="99"/>
      <c r="BD65" s="99">
        <f>AZ65+15</f>
        <v>266.5</v>
      </c>
      <c r="BE65" s="99"/>
      <c r="BF65" s="99"/>
      <c r="BG65" s="99"/>
      <c r="BH65" s="10"/>
      <c r="BI65" s="10"/>
      <c r="BJ65" s="10"/>
      <c r="BK65" s="10"/>
    </row>
    <row r="66" spans="1:63" ht="16.5" customHeight="1">
      <c r="A66" s="202"/>
      <c r="B66" s="202"/>
      <c r="C66" s="202"/>
      <c r="D66" s="202"/>
      <c r="E66" s="202"/>
      <c r="F66" s="94"/>
      <c r="G66" s="94"/>
      <c r="H66" s="94"/>
      <c r="I66" s="156"/>
      <c r="J66" s="156"/>
      <c r="K66" s="156"/>
      <c r="L66" s="156"/>
      <c r="M66" s="156"/>
      <c r="N66" s="100" t="s">
        <v>11</v>
      </c>
      <c r="O66" s="100"/>
      <c r="P66" s="99">
        <f>CEILING(P65*0.95,0.5)</f>
        <v>209</v>
      </c>
      <c r="Q66" s="99"/>
      <c r="R66" s="99"/>
      <c r="S66" s="99"/>
      <c r="T66" s="99">
        <f>CEILING(T65*0.95,0.5)</f>
        <v>223</v>
      </c>
      <c r="U66" s="99"/>
      <c r="V66" s="99"/>
      <c r="W66" s="99"/>
      <c r="X66" s="99">
        <f>CEILING(X65*0.95,0.5)</f>
        <v>237.5</v>
      </c>
      <c r="Y66" s="99"/>
      <c r="Z66" s="99"/>
      <c r="AA66" s="99"/>
      <c r="AB66" s="10"/>
      <c r="AC66" s="10"/>
      <c r="AD66" s="10"/>
      <c r="AE66" s="10"/>
      <c r="AF66" s="49"/>
      <c r="AG66" s="202"/>
      <c r="AH66" s="202"/>
      <c r="AI66" s="202"/>
      <c r="AJ66" s="202"/>
      <c r="AK66" s="202"/>
      <c r="AL66" s="94"/>
      <c r="AM66" s="94"/>
      <c r="AN66" s="94"/>
      <c r="AO66" s="95"/>
      <c r="AP66" s="95"/>
      <c r="AQ66" s="95"/>
      <c r="AR66" s="95"/>
      <c r="AS66" s="95"/>
      <c r="AT66" s="100" t="s">
        <v>11</v>
      </c>
      <c r="AU66" s="100"/>
      <c r="AV66" s="99">
        <f>CEILING(AV65*0.95,0.5)</f>
        <v>225</v>
      </c>
      <c r="AW66" s="99"/>
      <c r="AX66" s="99"/>
      <c r="AY66" s="99"/>
      <c r="AZ66" s="99">
        <f>CEILING(AZ65*0.95,0.5)</f>
        <v>239</v>
      </c>
      <c r="BA66" s="99"/>
      <c r="BB66" s="99"/>
      <c r="BC66" s="99"/>
      <c r="BD66" s="99">
        <f>CEILING(BD65*0.95,0.5)</f>
        <v>253.5</v>
      </c>
      <c r="BE66" s="99"/>
      <c r="BF66" s="99"/>
      <c r="BG66" s="99"/>
      <c r="BH66" s="10"/>
      <c r="BI66" s="10"/>
      <c r="BJ66" s="10"/>
      <c r="BK66" s="10"/>
    </row>
    <row r="67" spans="1:63" ht="16.5" customHeight="1">
      <c r="A67" s="202"/>
      <c r="B67" s="202"/>
      <c r="C67" s="202"/>
      <c r="D67" s="202"/>
      <c r="E67" s="202"/>
      <c r="F67" s="94"/>
      <c r="G67" s="94"/>
      <c r="H67" s="94"/>
      <c r="I67" s="156"/>
      <c r="J67" s="156"/>
      <c r="K67" s="156"/>
      <c r="L67" s="156"/>
      <c r="M67" s="156"/>
      <c r="N67" s="100" t="s">
        <v>12</v>
      </c>
      <c r="O67" s="100"/>
      <c r="P67" s="99">
        <f>P73+10</f>
        <v>186.5</v>
      </c>
      <c r="Q67" s="99"/>
      <c r="R67" s="99"/>
      <c r="S67" s="99"/>
      <c r="T67" s="99">
        <f>P67+15</f>
        <v>201.5</v>
      </c>
      <c r="U67" s="99"/>
      <c r="V67" s="99"/>
      <c r="W67" s="99"/>
      <c r="X67" s="99">
        <f>T67+15</f>
        <v>216.5</v>
      </c>
      <c r="Y67" s="99"/>
      <c r="Z67" s="99"/>
      <c r="AA67" s="99"/>
      <c r="AB67" s="10"/>
      <c r="AC67" s="10"/>
      <c r="AD67" s="10"/>
      <c r="AE67" s="10"/>
      <c r="AF67" s="49"/>
      <c r="AG67" s="202"/>
      <c r="AH67" s="202"/>
      <c r="AI67" s="202"/>
      <c r="AJ67" s="202"/>
      <c r="AK67" s="202"/>
      <c r="AL67" s="94"/>
      <c r="AM67" s="94"/>
      <c r="AN67" s="94"/>
      <c r="AO67" s="95"/>
      <c r="AP67" s="95"/>
      <c r="AQ67" s="95"/>
      <c r="AR67" s="95"/>
      <c r="AS67" s="95"/>
      <c r="AT67" s="100" t="s">
        <v>12</v>
      </c>
      <c r="AU67" s="100"/>
      <c r="AV67" s="99">
        <f>AV73+10</f>
        <v>193.5</v>
      </c>
      <c r="AW67" s="99"/>
      <c r="AX67" s="99"/>
      <c r="AY67" s="99"/>
      <c r="AZ67" s="99">
        <f>AV67+15</f>
        <v>208.5</v>
      </c>
      <c r="BA67" s="99"/>
      <c r="BB67" s="99"/>
      <c r="BC67" s="99"/>
      <c r="BD67" s="99">
        <f>AZ67+15</f>
        <v>223.5</v>
      </c>
      <c r="BE67" s="99"/>
      <c r="BF67" s="99"/>
      <c r="BG67" s="99"/>
      <c r="BH67" s="10"/>
      <c r="BI67" s="10"/>
      <c r="BJ67" s="10"/>
      <c r="BK67" s="10"/>
    </row>
    <row r="68" spans="1:63" ht="16.5" customHeight="1">
      <c r="A68" s="202"/>
      <c r="B68" s="202"/>
      <c r="C68" s="202"/>
      <c r="D68" s="202"/>
      <c r="E68" s="202"/>
      <c r="F68" s="94"/>
      <c r="G68" s="94"/>
      <c r="H68" s="94"/>
      <c r="I68" s="97" t="s">
        <v>64</v>
      </c>
      <c r="J68" s="97"/>
      <c r="K68" s="97"/>
      <c r="L68" s="97"/>
      <c r="M68" s="97"/>
      <c r="N68" s="98" t="s">
        <v>58</v>
      </c>
      <c r="O68" s="98"/>
      <c r="P68" s="96">
        <f>CEILING(P65*0.4+5,0.5)</f>
        <v>93</v>
      </c>
      <c r="Q68" s="96"/>
      <c r="R68" s="96"/>
      <c r="S68" s="96"/>
      <c r="T68" s="96">
        <f>CEILING(T65*0.4+5,0.5)</f>
        <v>99</v>
      </c>
      <c r="U68" s="96"/>
      <c r="V68" s="96"/>
      <c r="W68" s="96"/>
      <c r="X68" s="96">
        <f>CEILING(X65*0.4+5,0.5)</f>
        <v>105</v>
      </c>
      <c r="Y68" s="96"/>
      <c r="Z68" s="96"/>
      <c r="AA68" s="96"/>
      <c r="AB68" s="10"/>
      <c r="AC68" s="10"/>
      <c r="AD68" s="10"/>
      <c r="AE68" s="10"/>
      <c r="AF68" s="49"/>
      <c r="AG68" s="202"/>
      <c r="AH68" s="202"/>
      <c r="AI68" s="202"/>
      <c r="AJ68" s="202"/>
      <c r="AK68" s="202"/>
      <c r="AL68" s="94"/>
      <c r="AM68" s="94"/>
      <c r="AN68" s="94"/>
      <c r="AO68" s="97" t="s">
        <v>17</v>
      </c>
      <c r="AP68" s="97"/>
      <c r="AQ68" s="97"/>
      <c r="AR68" s="97"/>
      <c r="AS68" s="97"/>
      <c r="AT68" s="98" t="s">
        <v>58</v>
      </c>
      <c r="AU68" s="98"/>
      <c r="AV68" s="96">
        <f>CEILING(AV65*0.47+5,0.5)</f>
        <v>116.5</v>
      </c>
      <c r="AW68" s="96"/>
      <c r="AX68" s="96"/>
      <c r="AY68" s="96"/>
      <c r="AZ68" s="96">
        <f>CEILING(AZ65*0.47+5,0.5)</f>
        <v>123.5</v>
      </c>
      <c r="BA68" s="96"/>
      <c r="BB68" s="96"/>
      <c r="BC68" s="96"/>
      <c r="BD68" s="96">
        <f>CEILING(BD65*0.47+5,0.5)</f>
        <v>130.5</v>
      </c>
      <c r="BE68" s="96"/>
      <c r="BF68" s="96"/>
      <c r="BG68" s="96"/>
      <c r="BH68" s="10"/>
      <c r="BI68" s="10"/>
      <c r="BJ68" s="10"/>
      <c r="BK68" s="10"/>
    </row>
    <row r="69" spans="1:63" ht="16.5" customHeight="1">
      <c r="A69" s="202"/>
      <c r="B69" s="202"/>
      <c r="C69" s="202"/>
      <c r="D69" s="202"/>
      <c r="E69" s="202"/>
      <c r="F69" s="94"/>
      <c r="G69" s="94"/>
      <c r="H69" s="94"/>
      <c r="I69" s="97"/>
      <c r="J69" s="97"/>
      <c r="K69" s="97"/>
      <c r="L69" s="97"/>
      <c r="M69" s="97"/>
      <c r="N69" s="98" t="s">
        <v>11</v>
      </c>
      <c r="O69" s="98"/>
      <c r="P69" s="96">
        <f>CEILING(P68*0.95,0.5)</f>
        <v>88.5</v>
      </c>
      <c r="Q69" s="96"/>
      <c r="R69" s="96"/>
      <c r="S69" s="96"/>
      <c r="T69" s="96">
        <f>CEILING(T68*0.95,0.5)</f>
        <v>94.5</v>
      </c>
      <c r="U69" s="96"/>
      <c r="V69" s="96"/>
      <c r="W69" s="96"/>
      <c r="X69" s="96">
        <f>CEILING(X68*0.95,0.5)</f>
        <v>100</v>
      </c>
      <c r="Y69" s="96"/>
      <c r="Z69" s="96"/>
      <c r="AA69" s="96"/>
      <c r="AB69" s="10"/>
      <c r="AC69" s="10"/>
      <c r="AD69" s="10"/>
      <c r="AE69" s="10"/>
      <c r="AF69" s="49"/>
      <c r="AG69" s="202"/>
      <c r="AH69" s="202"/>
      <c r="AI69" s="202"/>
      <c r="AJ69" s="202"/>
      <c r="AK69" s="202"/>
      <c r="AL69" s="94"/>
      <c r="AM69" s="94"/>
      <c r="AN69" s="94"/>
      <c r="AO69" s="97"/>
      <c r="AP69" s="97"/>
      <c r="AQ69" s="97"/>
      <c r="AR69" s="97"/>
      <c r="AS69" s="97"/>
      <c r="AT69" s="98" t="s">
        <v>11</v>
      </c>
      <c r="AU69" s="98"/>
      <c r="AV69" s="96">
        <f>CEILING(AV68*0.95,0.5)</f>
        <v>111</v>
      </c>
      <c r="AW69" s="96"/>
      <c r="AX69" s="96"/>
      <c r="AY69" s="96"/>
      <c r="AZ69" s="96">
        <f>CEILING(AZ68*0.95,0.5)</f>
        <v>117.5</v>
      </c>
      <c r="BA69" s="96"/>
      <c r="BB69" s="96"/>
      <c r="BC69" s="96"/>
      <c r="BD69" s="96">
        <f>CEILING(BD68*0.95,0.5)</f>
        <v>124</v>
      </c>
      <c r="BE69" s="96"/>
      <c r="BF69" s="96"/>
      <c r="BG69" s="96"/>
      <c r="BH69" s="10"/>
      <c r="BI69" s="10"/>
      <c r="BJ69" s="10"/>
      <c r="BK69" s="10"/>
    </row>
    <row r="70" spans="1:63" ht="16.5" customHeight="1">
      <c r="A70" s="202"/>
      <c r="B70" s="202"/>
      <c r="C70" s="202"/>
      <c r="D70" s="202"/>
      <c r="E70" s="202"/>
      <c r="F70" s="94"/>
      <c r="G70" s="94"/>
      <c r="H70" s="94"/>
      <c r="I70" s="97"/>
      <c r="J70" s="97"/>
      <c r="K70" s="97"/>
      <c r="L70" s="97"/>
      <c r="M70" s="97"/>
      <c r="N70" s="98" t="s">
        <v>12</v>
      </c>
      <c r="O70" s="98"/>
      <c r="P70" s="96">
        <f>CEILING(P67*0.4+5,0.5)</f>
        <v>80</v>
      </c>
      <c r="Q70" s="96"/>
      <c r="R70" s="96"/>
      <c r="S70" s="96"/>
      <c r="T70" s="96">
        <f>CEILING(T67*0.4+5,0.5)</f>
        <v>86</v>
      </c>
      <c r="U70" s="96"/>
      <c r="V70" s="96"/>
      <c r="W70" s="96"/>
      <c r="X70" s="96">
        <f>CEILING(X67*0.4+5,0.5)</f>
        <v>92</v>
      </c>
      <c r="Y70" s="96"/>
      <c r="Z70" s="96"/>
      <c r="AA70" s="96"/>
      <c r="AB70" s="10"/>
      <c r="AC70" s="10"/>
      <c r="AD70" s="10"/>
      <c r="AE70" s="10"/>
      <c r="AF70" s="49"/>
      <c r="AG70" s="202"/>
      <c r="AH70" s="202"/>
      <c r="AI70" s="202"/>
      <c r="AJ70" s="202"/>
      <c r="AK70" s="202"/>
      <c r="AL70" s="94"/>
      <c r="AM70" s="94"/>
      <c r="AN70" s="94"/>
      <c r="AO70" s="97"/>
      <c r="AP70" s="97"/>
      <c r="AQ70" s="97"/>
      <c r="AR70" s="97"/>
      <c r="AS70" s="97"/>
      <c r="AT70" s="98" t="s">
        <v>12</v>
      </c>
      <c r="AU70" s="98"/>
      <c r="AV70" s="96">
        <f>CEILING(AV67*0.47+5,0.5)</f>
        <v>96</v>
      </c>
      <c r="AW70" s="96"/>
      <c r="AX70" s="96"/>
      <c r="AY70" s="96"/>
      <c r="AZ70" s="96">
        <f>CEILING(AZ67*0.47+5,0.5)</f>
        <v>103</v>
      </c>
      <c r="BA70" s="96"/>
      <c r="BB70" s="96"/>
      <c r="BC70" s="96"/>
      <c r="BD70" s="96">
        <f>CEILING(BD67*0.47+5,0.5)</f>
        <v>110.5</v>
      </c>
      <c r="BE70" s="96"/>
      <c r="BF70" s="96"/>
      <c r="BG70" s="96"/>
      <c r="BH70" s="10"/>
      <c r="BI70" s="10"/>
      <c r="BJ70" s="10"/>
      <c r="BK70" s="10"/>
    </row>
    <row r="71" spans="1:63" ht="16.5" customHeight="1">
      <c r="A71" s="202"/>
      <c r="B71" s="202"/>
      <c r="C71" s="202"/>
      <c r="D71" s="202"/>
      <c r="E71" s="202"/>
      <c r="F71" s="94"/>
      <c r="G71" s="94"/>
      <c r="H71" s="94"/>
      <c r="I71" s="156" t="s">
        <v>18</v>
      </c>
      <c r="J71" s="156"/>
      <c r="K71" s="156"/>
      <c r="L71" s="156"/>
      <c r="M71" s="156"/>
      <c r="N71" s="100" t="s">
        <v>10</v>
      </c>
      <c r="O71" s="100"/>
      <c r="P71" s="101">
        <f>CEILING(161*1.3,0.5)</f>
        <v>209.5</v>
      </c>
      <c r="Q71" s="101"/>
      <c r="R71" s="101"/>
      <c r="S71" s="101"/>
      <c r="T71" s="99">
        <f>P71+10</f>
        <v>219.5</v>
      </c>
      <c r="U71" s="99"/>
      <c r="V71" s="99"/>
      <c r="W71" s="99"/>
      <c r="X71" s="99">
        <f>T71+10</f>
        <v>229.5</v>
      </c>
      <c r="Y71" s="99"/>
      <c r="Z71" s="99"/>
      <c r="AA71" s="99"/>
      <c r="AB71" s="10"/>
      <c r="AC71" s="10"/>
      <c r="AD71" s="10"/>
      <c r="AE71" s="10"/>
      <c r="AF71" s="49"/>
      <c r="AG71" s="202"/>
      <c r="AH71" s="202"/>
      <c r="AI71" s="202"/>
      <c r="AJ71" s="202"/>
      <c r="AK71" s="202"/>
      <c r="AL71" s="94"/>
      <c r="AM71" s="94"/>
      <c r="AN71" s="94"/>
      <c r="AO71" s="95" t="s">
        <v>18</v>
      </c>
      <c r="AP71" s="95"/>
      <c r="AQ71" s="95"/>
      <c r="AR71" s="95"/>
      <c r="AS71" s="95"/>
      <c r="AT71" s="100" t="s">
        <v>10</v>
      </c>
      <c r="AU71" s="100"/>
      <c r="AV71" s="101">
        <f>CEILING(174*1.3,0.5)</f>
        <v>226.5</v>
      </c>
      <c r="AW71" s="101"/>
      <c r="AX71" s="101"/>
      <c r="AY71" s="101"/>
      <c r="AZ71" s="99">
        <f>AV71+10</f>
        <v>236.5</v>
      </c>
      <c r="BA71" s="99"/>
      <c r="BB71" s="99"/>
      <c r="BC71" s="99"/>
      <c r="BD71" s="99">
        <f>AZ71+10</f>
        <v>246.5</v>
      </c>
      <c r="BE71" s="99"/>
      <c r="BF71" s="99"/>
      <c r="BG71" s="99"/>
      <c r="BH71" s="10"/>
      <c r="BI71" s="10"/>
      <c r="BJ71" s="10"/>
      <c r="BK71" s="10"/>
    </row>
    <row r="72" spans="1:63" ht="16.5" customHeight="1">
      <c r="A72" s="202"/>
      <c r="B72" s="202"/>
      <c r="C72" s="202"/>
      <c r="D72" s="202"/>
      <c r="E72" s="202"/>
      <c r="F72" s="94"/>
      <c r="G72" s="94"/>
      <c r="H72" s="94"/>
      <c r="I72" s="156"/>
      <c r="J72" s="156"/>
      <c r="K72" s="156"/>
      <c r="L72" s="156"/>
      <c r="M72" s="156"/>
      <c r="N72" s="100" t="s">
        <v>11</v>
      </c>
      <c r="O72" s="100"/>
      <c r="P72" s="99">
        <f>CEILING(P71*0.95,0.5)</f>
        <v>199.5</v>
      </c>
      <c r="Q72" s="99"/>
      <c r="R72" s="99"/>
      <c r="S72" s="99"/>
      <c r="T72" s="99">
        <f>CEILING(T71*0.95,0.5)</f>
        <v>209</v>
      </c>
      <c r="U72" s="99"/>
      <c r="V72" s="99"/>
      <c r="W72" s="99"/>
      <c r="X72" s="99">
        <f>CEILING(X71*0.95,0.5)</f>
        <v>218.5</v>
      </c>
      <c r="Y72" s="99"/>
      <c r="Z72" s="99"/>
      <c r="AA72" s="99"/>
      <c r="AB72" s="10"/>
      <c r="AC72" s="10"/>
      <c r="AD72" s="10"/>
      <c r="AE72" s="10"/>
      <c r="AF72" s="49"/>
      <c r="AG72" s="202"/>
      <c r="AH72" s="202"/>
      <c r="AI72" s="202"/>
      <c r="AJ72" s="202"/>
      <c r="AK72" s="202"/>
      <c r="AL72" s="94"/>
      <c r="AM72" s="94"/>
      <c r="AN72" s="94"/>
      <c r="AO72" s="95"/>
      <c r="AP72" s="95"/>
      <c r="AQ72" s="95"/>
      <c r="AR72" s="95"/>
      <c r="AS72" s="95"/>
      <c r="AT72" s="100" t="s">
        <v>11</v>
      </c>
      <c r="AU72" s="100"/>
      <c r="AV72" s="99">
        <f>CEILING(AV71*0.95,0.5)</f>
        <v>215.5</v>
      </c>
      <c r="AW72" s="99"/>
      <c r="AX72" s="99"/>
      <c r="AY72" s="99"/>
      <c r="AZ72" s="99">
        <f>CEILING(AZ71*0.95,0.5)</f>
        <v>225</v>
      </c>
      <c r="BA72" s="99"/>
      <c r="BB72" s="99"/>
      <c r="BC72" s="99"/>
      <c r="BD72" s="99">
        <f>CEILING(BD71*0.95,0.5)</f>
        <v>234.5</v>
      </c>
      <c r="BE72" s="99"/>
      <c r="BF72" s="99"/>
      <c r="BG72" s="99"/>
      <c r="BH72" s="10"/>
      <c r="BI72" s="10"/>
      <c r="BJ72" s="10"/>
      <c r="BK72" s="10"/>
    </row>
    <row r="73" spans="1:63" ht="16.5" customHeight="1">
      <c r="A73" s="202"/>
      <c r="B73" s="202"/>
      <c r="C73" s="202"/>
      <c r="D73" s="202"/>
      <c r="E73" s="202"/>
      <c r="F73" s="94"/>
      <c r="G73" s="94"/>
      <c r="H73" s="94"/>
      <c r="I73" s="156"/>
      <c r="J73" s="156"/>
      <c r="K73" s="156"/>
      <c r="L73" s="156"/>
      <c r="M73" s="156"/>
      <c r="N73" s="100" t="s">
        <v>12</v>
      </c>
      <c r="O73" s="100"/>
      <c r="P73" s="101">
        <f>CEILING(135.5*1.3,0.5)</f>
        <v>176.5</v>
      </c>
      <c r="Q73" s="101"/>
      <c r="R73" s="101"/>
      <c r="S73" s="101"/>
      <c r="T73" s="99">
        <f>P73+10</f>
        <v>186.5</v>
      </c>
      <c r="U73" s="99"/>
      <c r="V73" s="99"/>
      <c r="W73" s="99"/>
      <c r="X73" s="99">
        <f>T73+10</f>
        <v>196.5</v>
      </c>
      <c r="Y73" s="99"/>
      <c r="Z73" s="99"/>
      <c r="AA73" s="99"/>
      <c r="AB73" s="10"/>
      <c r="AC73" s="10"/>
      <c r="AD73" s="10"/>
      <c r="AE73" s="10"/>
      <c r="AF73" s="49"/>
      <c r="AG73" s="202"/>
      <c r="AH73" s="202"/>
      <c r="AI73" s="202"/>
      <c r="AJ73" s="202"/>
      <c r="AK73" s="202"/>
      <c r="AL73" s="94"/>
      <c r="AM73" s="94"/>
      <c r="AN73" s="94"/>
      <c r="AO73" s="95"/>
      <c r="AP73" s="95"/>
      <c r="AQ73" s="95"/>
      <c r="AR73" s="95"/>
      <c r="AS73" s="95"/>
      <c r="AT73" s="100" t="s">
        <v>12</v>
      </c>
      <c r="AU73" s="100"/>
      <c r="AV73" s="101">
        <f>CEILING(141*1.3,0.5)</f>
        <v>183.5</v>
      </c>
      <c r="AW73" s="101"/>
      <c r="AX73" s="101"/>
      <c r="AY73" s="101"/>
      <c r="AZ73" s="99">
        <f>AV73+10</f>
        <v>193.5</v>
      </c>
      <c r="BA73" s="99"/>
      <c r="BB73" s="99"/>
      <c r="BC73" s="99"/>
      <c r="BD73" s="99">
        <f>AZ73+10</f>
        <v>203.5</v>
      </c>
      <c r="BE73" s="99"/>
      <c r="BF73" s="99"/>
      <c r="BG73" s="99"/>
      <c r="BH73" s="10"/>
      <c r="BI73" s="10"/>
      <c r="BJ73" s="10"/>
      <c r="BK73" s="10"/>
    </row>
    <row r="74" spans="1:63" ht="16.5" customHeight="1">
      <c r="A74" s="202"/>
      <c r="B74" s="202"/>
      <c r="C74" s="202"/>
      <c r="D74" s="202"/>
      <c r="E74" s="202"/>
      <c r="F74" s="94"/>
      <c r="G74" s="94"/>
      <c r="H74" s="94"/>
      <c r="I74" s="97" t="s">
        <v>65</v>
      </c>
      <c r="J74" s="97"/>
      <c r="K74" s="97"/>
      <c r="L74" s="97"/>
      <c r="M74" s="97"/>
      <c r="N74" s="98" t="s">
        <v>58</v>
      </c>
      <c r="O74" s="98"/>
      <c r="P74" s="96">
        <f>CEILING(P71*0.4+5,0.5)</f>
        <v>89</v>
      </c>
      <c r="Q74" s="96"/>
      <c r="R74" s="96"/>
      <c r="S74" s="96"/>
      <c r="T74" s="96">
        <f>CEILING(T71*0.4+5,0.5)</f>
        <v>93</v>
      </c>
      <c r="U74" s="96"/>
      <c r="V74" s="96"/>
      <c r="W74" s="96"/>
      <c r="X74" s="96">
        <f>CEILING(X71*0.4+5,0.5)</f>
        <v>97</v>
      </c>
      <c r="Y74" s="96"/>
      <c r="Z74" s="96"/>
      <c r="AA74" s="96"/>
      <c r="AB74" s="10"/>
      <c r="AC74" s="10"/>
      <c r="AD74" s="10"/>
      <c r="AE74" s="10"/>
      <c r="AF74" s="49"/>
      <c r="AG74" s="202"/>
      <c r="AH74" s="202"/>
      <c r="AI74" s="202"/>
      <c r="AJ74" s="202"/>
      <c r="AK74" s="202"/>
      <c r="AL74" s="94"/>
      <c r="AM74" s="94"/>
      <c r="AN74" s="94"/>
      <c r="AO74" s="97" t="s">
        <v>20</v>
      </c>
      <c r="AP74" s="97"/>
      <c r="AQ74" s="97"/>
      <c r="AR74" s="97"/>
      <c r="AS74" s="97"/>
      <c r="AT74" s="98" t="s">
        <v>58</v>
      </c>
      <c r="AU74" s="98"/>
      <c r="AV74" s="96">
        <f>CEILING(AV71*0.47+5,0.5)</f>
        <v>111.5</v>
      </c>
      <c r="AW74" s="96"/>
      <c r="AX74" s="96"/>
      <c r="AY74" s="96"/>
      <c r="AZ74" s="96">
        <f>CEILING(AZ71*0.47+5,0.5)</f>
        <v>116.5</v>
      </c>
      <c r="BA74" s="96"/>
      <c r="BB74" s="96"/>
      <c r="BC74" s="96"/>
      <c r="BD74" s="96">
        <f>CEILING(BD71*0.47+5,0.5)</f>
        <v>121</v>
      </c>
      <c r="BE74" s="96"/>
      <c r="BF74" s="96"/>
      <c r="BG74" s="96"/>
      <c r="BH74" s="10"/>
      <c r="BI74" s="10"/>
      <c r="BJ74" s="10"/>
      <c r="BK74" s="10"/>
    </row>
    <row r="75" spans="1:63" ht="16.5" customHeight="1">
      <c r="A75" s="202"/>
      <c r="B75" s="202"/>
      <c r="C75" s="202"/>
      <c r="D75" s="202"/>
      <c r="E75" s="202"/>
      <c r="F75" s="94"/>
      <c r="G75" s="94"/>
      <c r="H75" s="94"/>
      <c r="I75" s="97"/>
      <c r="J75" s="97"/>
      <c r="K75" s="97"/>
      <c r="L75" s="97"/>
      <c r="M75" s="97"/>
      <c r="N75" s="98" t="s">
        <v>11</v>
      </c>
      <c r="O75" s="98"/>
      <c r="P75" s="96">
        <f>CEILING(P74*0.95,0.5)</f>
        <v>85</v>
      </c>
      <c r="Q75" s="96"/>
      <c r="R75" s="96"/>
      <c r="S75" s="96"/>
      <c r="T75" s="96">
        <f>CEILING(T74*0.95,0.5)</f>
        <v>88.5</v>
      </c>
      <c r="U75" s="96"/>
      <c r="V75" s="96"/>
      <c r="W75" s="96"/>
      <c r="X75" s="96">
        <f>CEILING(X74*0.95,0.5)</f>
        <v>92.5</v>
      </c>
      <c r="Y75" s="96"/>
      <c r="Z75" s="96"/>
      <c r="AA75" s="96"/>
      <c r="AB75" s="10"/>
      <c r="AC75" s="10"/>
      <c r="AD75" s="10"/>
      <c r="AE75" s="10"/>
      <c r="AF75" s="49"/>
      <c r="AG75" s="202"/>
      <c r="AH75" s="202"/>
      <c r="AI75" s="202"/>
      <c r="AJ75" s="202"/>
      <c r="AK75" s="202"/>
      <c r="AL75" s="94"/>
      <c r="AM75" s="94"/>
      <c r="AN75" s="94"/>
      <c r="AO75" s="97"/>
      <c r="AP75" s="97"/>
      <c r="AQ75" s="97"/>
      <c r="AR75" s="97"/>
      <c r="AS75" s="97"/>
      <c r="AT75" s="98" t="s">
        <v>11</v>
      </c>
      <c r="AU75" s="98"/>
      <c r="AV75" s="96">
        <f>CEILING(AV74*0.95,0.5)</f>
        <v>106</v>
      </c>
      <c r="AW75" s="96"/>
      <c r="AX75" s="96"/>
      <c r="AY75" s="96"/>
      <c r="AZ75" s="96">
        <f>CEILING(AZ74*0.95,0.5)</f>
        <v>111</v>
      </c>
      <c r="BA75" s="96"/>
      <c r="BB75" s="96"/>
      <c r="BC75" s="96"/>
      <c r="BD75" s="96">
        <f>CEILING(BD74*0.95,0.5)</f>
        <v>115</v>
      </c>
      <c r="BE75" s="96"/>
      <c r="BF75" s="96"/>
      <c r="BG75" s="96"/>
      <c r="BH75" s="10"/>
      <c r="BI75" s="10"/>
      <c r="BJ75" s="10"/>
      <c r="BK75" s="10"/>
    </row>
    <row r="76" spans="1:63" ht="16.5" customHeight="1">
      <c r="A76" s="202"/>
      <c r="B76" s="202"/>
      <c r="C76" s="202"/>
      <c r="D76" s="202"/>
      <c r="E76" s="202"/>
      <c r="F76" s="94"/>
      <c r="G76" s="94"/>
      <c r="H76" s="94"/>
      <c r="I76" s="97"/>
      <c r="J76" s="97"/>
      <c r="K76" s="97"/>
      <c r="L76" s="97"/>
      <c r="M76" s="97"/>
      <c r="N76" s="98" t="s">
        <v>12</v>
      </c>
      <c r="O76" s="98"/>
      <c r="P76" s="96">
        <f>CEILING(P73*0.4+5,0.5)</f>
        <v>76</v>
      </c>
      <c r="Q76" s="96"/>
      <c r="R76" s="96"/>
      <c r="S76" s="96"/>
      <c r="T76" s="96">
        <f>CEILING(T73*0.4+5,0.5)</f>
        <v>80</v>
      </c>
      <c r="U76" s="96"/>
      <c r="V76" s="96"/>
      <c r="W76" s="96"/>
      <c r="X76" s="96">
        <f>CEILING(X73*0.4+5,0.5)</f>
        <v>84</v>
      </c>
      <c r="Y76" s="96"/>
      <c r="Z76" s="96"/>
      <c r="AA76" s="96"/>
      <c r="AB76" s="10"/>
      <c r="AC76" s="10"/>
      <c r="AD76" s="10"/>
      <c r="AE76" s="10"/>
      <c r="AF76" s="49"/>
      <c r="AG76" s="202"/>
      <c r="AH76" s="202"/>
      <c r="AI76" s="202"/>
      <c r="AJ76" s="202"/>
      <c r="AK76" s="202"/>
      <c r="AL76" s="94"/>
      <c r="AM76" s="94"/>
      <c r="AN76" s="94"/>
      <c r="AO76" s="97"/>
      <c r="AP76" s="97"/>
      <c r="AQ76" s="97"/>
      <c r="AR76" s="97"/>
      <c r="AS76" s="97"/>
      <c r="AT76" s="98" t="s">
        <v>12</v>
      </c>
      <c r="AU76" s="98"/>
      <c r="AV76" s="96">
        <f>CEILING(AV73*0.47+5,0.5)</f>
        <v>91.5</v>
      </c>
      <c r="AW76" s="96"/>
      <c r="AX76" s="96"/>
      <c r="AY76" s="96"/>
      <c r="AZ76" s="96">
        <f>CEILING(AZ73*0.47+5,0.5)</f>
        <v>96</v>
      </c>
      <c r="BA76" s="96"/>
      <c r="BB76" s="96"/>
      <c r="BC76" s="96"/>
      <c r="BD76" s="96">
        <f>CEILING(BD73*0.47+5,0.5)</f>
        <v>101</v>
      </c>
      <c r="BE76" s="96"/>
      <c r="BF76" s="96"/>
      <c r="BG76" s="96"/>
      <c r="BH76" s="10"/>
      <c r="BI76" s="10"/>
      <c r="BJ76" s="10"/>
      <c r="BK76" s="10"/>
    </row>
    <row r="77" spans="1:63" ht="16.5" customHeight="1">
      <c r="A77" s="202"/>
      <c r="B77" s="202"/>
      <c r="C77" s="202"/>
      <c r="D77" s="202"/>
      <c r="E77" s="202"/>
      <c r="F77" s="94"/>
      <c r="G77" s="94"/>
      <c r="H77" s="94"/>
      <c r="I77" s="158" t="s">
        <v>21</v>
      </c>
      <c r="J77" s="158"/>
      <c r="K77" s="158"/>
      <c r="L77" s="158"/>
      <c r="M77" s="158"/>
      <c r="N77" s="84" t="s">
        <v>10</v>
      </c>
      <c r="O77" s="84"/>
      <c r="P77" s="83">
        <f>P71-4</f>
        <v>205.5</v>
      </c>
      <c r="Q77" s="83"/>
      <c r="R77" s="83"/>
      <c r="S77" s="83"/>
      <c r="T77" s="83">
        <f>P77+8</f>
        <v>213.5</v>
      </c>
      <c r="U77" s="83"/>
      <c r="V77" s="83"/>
      <c r="W77" s="83"/>
      <c r="X77" s="83">
        <f>T77+8</f>
        <v>221.5</v>
      </c>
      <c r="Y77" s="83"/>
      <c r="Z77" s="83"/>
      <c r="AA77" s="83"/>
      <c r="AB77" s="10"/>
      <c r="AC77" s="10"/>
      <c r="AD77" s="10"/>
      <c r="AE77" s="10"/>
      <c r="AF77" s="49"/>
      <c r="AG77" s="202"/>
      <c r="AH77" s="202"/>
      <c r="AI77" s="202"/>
      <c r="AJ77" s="202"/>
      <c r="AK77" s="202"/>
      <c r="AL77" s="94"/>
      <c r="AM77" s="94"/>
      <c r="AN77" s="94"/>
      <c r="AO77" s="82" t="s">
        <v>21</v>
      </c>
      <c r="AP77" s="82"/>
      <c r="AQ77" s="82"/>
      <c r="AR77" s="82"/>
      <c r="AS77" s="82"/>
      <c r="AT77" s="84" t="s">
        <v>10</v>
      </c>
      <c r="AU77" s="84"/>
      <c r="AV77" s="83">
        <f>AV71-4</f>
        <v>222.5</v>
      </c>
      <c r="AW77" s="83"/>
      <c r="AX77" s="83"/>
      <c r="AY77" s="83"/>
      <c r="AZ77" s="83">
        <f>AV77+8</f>
        <v>230.5</v>
      </c>
      <c r="BA77" s="83"/>
      <c r="BB77" s="83"/>
      <c r="BC77" s="83"/>
      <c r="BD77" s="83">
        <f>AZ77+8</f>
        <v>238.5</v>
      </c>
      <c r="BE77" s="83"/>
      <c r="BF77" s="83"/>
      <c r="BG77" s="83"/>
      <c r="BH77" s="10"/>
      <c r="BI77" s="10"/>
      <c r="BJ77" s="10"/>
      <c r="BK77" s="10"/>
    </row>
    <row r="78" spans="1:63" ht="16.5" customHeight="1">
      <c r="A78" s="202"/>
      <c r="B78" s="202"/>
      <c r="C78" s="202"/>
      <c r="D78" s="202"/>
      <c r="E78" s="202"/>
      <c r="F78" s="94"/>
      <c r="G78" s="94"/>
      <c r="H78" s="94"/>
      <c r="I78" s="158"/>
      <c r="J78" s="158"/>
      <c r="K78" s="158"/>
      <c r="L78" s="158"/>
      <c r="M78" s="158"/>
      <c r="N78" s="84" t="s">
        <v>11</v>
      </c>
      <c r="O78" s="84"/>
      <c r="P78" s="83">
        <f>CEILING(P77*0.95,0.5)</f>
        <v>195.5</v>
      </c>
      <c r="Q78" s="83"/>
      <c r="R78" s="83"/>
      <c r="S78" s="83"/>
      <c r="T78" s="83">
        <f>CEILING(T77*0.95,0.5)</f>
        <v>203</v>
      </c>
      <c r="U78" s="83"/>
      <c r="V78" s="83"/>
      <c r="W78" s="83"/>
      <c r="X78" s="83">
        <f>CEILING(X77*0.95,0.5)</f>
        <v>210.5</v>
      </c>
      <c r="Y78" s="83"/>
      <c r="Z78" s="83"/>
      <c r="AA78" s="83"/>
      <c r="AB78" s="10"/>
      <c r="AC78" s="10"/>
      <c r="AD78" s="10"/>
      <c r="AE78" s="10"/>
      <c r="AF78" s="49"/>
      <c r="AG78" s="202"/>
      <c r="AH78" s="202"/>
      <c r="AI78" s="202"/>
      <c r="AJ78" s="202"/>
      <c r="AK78" s="202"/>
      <c r="AL78" s="94"/>
      <c r="AM78" s="94"/>
      <c r="AN78" s="94"/>
      <c r="AO78" s="82"/>
      <c r="AP78" s="82"/>
      <c r="AQ78" s="82"/>
      <c r="AR78" s="82"/>
      <c r="AS78" s="82"/>
      <c r="AT78" s="84" t="s">
        <v>11</v>
      </c>
      <c r="AU78" s="84"/>
      <c r="AV78" s="83">
        <f>CEILING(AV77*0.95,0.5)</f>
        <v>211.5</v>
      </c>
      <c r="AW78" s="83"/>
      <c r="AX78" s="83"/>
      <c r="AY78" s="83"/>
      <c r="AZ78" s="83">
        <f>CEILING(AZ77*0.95,0.5)</f>
        <v>219</v>
      </c>
      <c r="BA78" s="83"/>
      <c r="BB78" s="83"/>
      <c r="BC78" s="83"/>
      <c r="BD78" s="83">
        <f>CEILING(BD77*0.95,0.5)</f>
        <v>227</v>
      </c>
      <c r="BE78" s="83"/>
      <c r="BF78" s="83"/>
      <c r="BG78" s="83"/>
      <c r="BH78" s="10"/>
      <c r="BI78" s="10"/>
      <c r="BJ78" s="10"/>
      <c r="BK78" s="10"/>
    </row>
    <row r="79" spans="1:63" ht="16.5" customHeight="1">
      <c r="A79" s="202"/>
      <c r="B79" s="202"/>
      <c r="C79" s="202"/>
      <c r="D79" s="202"/>
      <c r="E79" s="202"/>
      <c r="F79" s="94"/>
      <c r="G79" s="94"/>
      <c r="H79" s="94"/>
      <c r="I79" s="158"/>
      <c r="J79" s="158"/>
      <c r="K79" s="158"/>
      <c r="L79" s="158"/>
      <c r="M79" s="158"/>
      <c r="N79" s="84" t="s">
        <v>12</v>
      </c>
      <c r="O79" s="84"/>
      <c r="P79" s="83">
        <f>P73-4</f>
        <v>172.5</v>
      </c>
      <c r="Q79" s="83"/>
      <c r="R79" s="83"/>
      <c r="S79" s="83"/>
      <c r="T79" s="83">
        <f>P79+8</f>
        <v>180.5</v>
      </c>
      <c r="U79" s="83"/>
      <c r="V79" s="83"/>
      <c r="W79" s="83"/>
      <c r="X79" s="83">
        <f>T79+8</f>
        <v>188.5</v>
      </c>
      <c r="Y79" s="83"/>
      <c r="Z79" s="83"/>
      <c r="AA79" s="83"/>
      <c r="AB79" s="10"/>
      <c r="AC79" s="10"/>
      <c r="AD79" s="10"/>
      <c r="AE79" s="10"/>
      <c r="AF79" s="49"/>
      <c r="AG79" s="202"/>
      <c r="AH79" s="202"/>
      <c r="AI79" s="202"/>
      <c r="AJ79" s="202"/>
      <c r="AK79" s="202"/>
      <c r="AL79" s="94"/>
      <c r="AM79" s="94"/>
      <c r="AN79" s="94"/>
      <c r="AO79" s="82"/>
      <c r="AP79" s="82"/>
      <c r="AQ79" s="82"/>
      <c r="AR79" s="82"/>
      <c r="AS79" s="82"/>
      <c r="AT79" s="84" t="s">
        <v>12</v>
      </c>
      <c r="AU79" s="84"/>
      <c r="AV79" s="83">
        <f>AV73-4</f>
        <v>179.5</v>
      </c>
      <c r="AW79" s="83"/>
      <c r="AX79" s="83"/>
      <c r="AY79" s="83"/>
      <c r="AZ79" s="83">
        <f>AV79+8</f>
        <v>187.5</v>
      </c>
      <c r="BA79" s="83"/>
      <c r="BB79" s="83"/>
      <c r="BC79" s="83"/>
      <c r="BD79" s="83">
        <f>AZ79+8</f>
        <v>195.5</v>
      </c>
      <c r="BE79" s="83"/>
      <c r="BF79" s="83"/>
      <c r="BG79" s="83"/>
      <c r="BH79" s="10"/>
      <c r="BI79" s="10"/>
      <c r="BJ79" s="10"/>
      <c r="BK79" s="10"/>
    </row>
    <row r="80" spans="1:63" ht="16.5" customHeight="1">
      <c r="A80" s="202"/>
      <c r="B80" s="202"/>
      <c r="C80" s="202"/>
      <c r="D80" s="202"/>
      <c r="E80" s="202"/>
      <c r="F80" s="94"/>
      <c r="G80" s="94"/>
      <c r="H80" s="94"/>
      <c r="I80" s="80" t="s">
        <v>66</v>
      </c>
      <c r="J80" s="80"/>
      <c r="K80" s="80"/>
      <c r="L80" s="80"/>
      <c r="M80" s="80"/>
      <c r="N80" s="81" t="s">
        <v>58</v>
      </c>
      <c r="O80" s="81"/>
      <c r="P80" s="89">
        <f>CEILING(P77*0.4+5,0.5)</f>
        <v>87.5</v>
      </c>
      <c r="Q80" s="89"/>
      <c r="R80" s="89"/>
      <c r="S80" s="89"/>
      <c r="T80" s="89">
        <f>CEILING(T77*0.4+5,0.5)</f>
        <v>90.5</v>
      </c>
      <c r="U80" s="89"/>
      <c r="V80" s="89"/>
      <c r="W80" s="89"/>
      <c r="X80" s="89">
        <f>CEILING(X77*0.4+5,0.5)</f>
        <v>94</v>
      </c>
      <c r="Y80" s="89"/>
      <c r="Z80" s="89"/>
      <c r="AA80" s="89"/>
      <c r="AB80" s="10"/>
      <c r="AC80" s="10"/>
      <c r="AD80" s="10"/>
      <c r="AE80" s="10"/>
      <c r="AF80" s="49"/>
      <c r="AG80" s="202"/>
      <c r="AH80" s="202"/>
      <c r="AI80" s="202"/>
      <c r="AJ80" s="202"/>
      <c r="AK80" s="202"/>
      <c r="AL80" s="94"/>
      <c r="AM80" s="94"/>
      <c r="AN80" s="94"/>
      <c r="AO80" s="80" t="s">
        <v>23</v>
      </c>
      <c r="AP80" s="80"/>
      <c r="AQ80" s="80"/>
      <c r="AR80" s="80"/>
      <c r="AS80" s="80"/>
      <c r="AT80" s="81" t="s">
        <v>58</v>
      </c>
      <c r="AU80" s="81"/>
      <c r="AV80" s="89">
        <f>CEILING(AV77*0.47+5,0.5)</f>
        <v>110</v>
      </c>
      <c r="AW80" s="89"/>
      <c r="AX80" s="89"/>
      <c r="AY80" s="89"/>
      <c r="AZ80" s="89">
        <f>CEILING(AZ77*0.47+5,0.5)</f>
        <v>113.5</v>
      </c>
      <c r="BA80" s="89"/>
      <c r="BB80" s="89"/>
      <c r="BC80" s="89"/>
      <c r="BD80" s="89">
        <f>CEILING(BD77*0.47+5,0.5)</f>
        <v>117.5</v>
      </c>
      <c r="BE80" s="89"/>
      <c r="BF80" s="89"/>
      <c r="BG80" s="89"/>
      <c r="BH80" s="10"/>
      <c r="BI80" s="10"/>
      <c r="BJ80" s="10"/>
      <c r="BK80" s="10"/>
    </row>
    <row r="81" spans="1:63" ht="16.5" customHeight="1">
      <c r="A81" s="202"/>
      <c r="B81" s="202"/>
      <c r="C81" s="202"/>
      <c r="D81" s="202"/>
      <c r="E81" s="202"/>
      <c r="F81" s="94"/>
      <c r="G81" s="94"/>
      <c r="H81" s="94"/>
      <c r="I81" s="80"/>
      <c r="J81" s="80"/>
      <c r="K81" s="80"/>
      <c r="L81" s="80"/>
      <c r="M81" s="80"/>
      <c r="N81" s="81" t="s">
        <v>11</v>
      </c>
      <c r="O81" s="81"/>
      <c r="P81" s="89">
        <f>CEILING(P80*0.95,0.5)</f>
        <v>83.5</v>
      </c>
      <c r="Q81" s="89"/>
      <c r="R81" s="89"/>
      <c r="S81" s="89"/>
      <c r="T81" s="89">
        <f>CEILING(T80*0.95,0.5)</f>
        <v>86</v>
      </c>
      <c r="U81" s="89"/>
      <c r="V81" s="89"/>
      <c r="W81" s="89"/>
      <c r="X81" s="89">
        <f>CEILING(X80*0.95,0.5)</f>
        <v>89.5</v>
      </c>
      <c r="Y81" s="89"/>
      <c r="Z81" s="89"/>
      <c r="AA81" s="89"/>
      <c r="AB81" s="10"/>
      <c r="AC81" s="10"/>
      <c r="AD81" s="10"/>
      <c r="AE81" s="10"/>
      <c r="AF81" s="49"/>
      <c r="AG81" s="202"/>
      <c r="AH81" s="202"/>
      <c r="AI81" s="202"/>
      <c r="AJ81" s="202"/>
      <c r="AK81" s="202"/>
      <c r="AL81" s="94"/>
      <c r="AM81" s="94"/>
      <c r="AN81" s="94"/>
      <c r="AO81" s="80"/>
      <c r="AP81" s="80"/>
      <c r="AQ81" s="80"/>
      <c r="AR81" s="80"/>
      <c r="AS81" s="80"/>
      <c r="AT81" s="81" t="s">
        <v>11</v>
      </c>
      <c r="AU81" s="81"/>
      <c r="AV81" s="89">
        <f>CEILING(AV80*0.95,0.5)</f>
        <v>104.5</v>
      </c>
      <c r="AW81" s="89"/>
      <c r="AX81" s="89"/>
      <c r="AY81" s="89"/>
      <c r="AZ81" s="89">
        <f>CEILING(AZ80*0.95,0.5)</f>
        <v>108</v>
      </c>
      <c r="BA81" s="89"/>
      <c r="BB81" s="89"/>
      <c r="BC81" s="89"/>
      <c r="BD81" s="89">
        <f>CEILING(BD80*0.95,0.5)</f>
        <v>112</v>
      </c>
      <c r="BE81" s="89"/>
      <c r="BF81" s="89"/>
      <c r="BG81" s="89"/>
      <c r="BH81" s="10"/>
      <c r="BI81" s="10"/>
      <c r="BJ81" s="10"/>
      <c r="BK81" s="10"/>
    </row>
    <row r="82" spans="1:63" ht="16.5" customHeight="1">
      <c r="A82" s="202"/>
      <c r="B82" s="202"/>
      <c r="C82" s="202"/>
      <c r="D82" s="202"/>
      <c r="E82" s="202"/>
      <c r="F82" s="94"/>
      <c r="G82" s="94"/>
      <c r="H82" s="94"/>
      <c r="I82" s="80"/>
      <c r="J82" s="80"/>
      <c r="K82" s="80"/>
      <c r="L82" s="80"/>
      <c r="M82" s="80"/>
      <c r="N82" s="81" t="s">
        <v>12</v>
      </c>
      <c r="O82" s="81"/>
      <c r="P82" s="89">
        <f>CEILING(P79*0.4+5,0.5)</f>
        <v>74</v>
      </c>
      <c r="Q82" s="89"/>
      <c r="R82" s="89"/>
      <c r="S82" s="89"/>
      <c r="T82" s="89">
        <f>CEILING(T79*0.4+5,0.5)</f>
        <v>77.5</v>
      </c>
      <c r="U82" s="89"/>
      <c r="V82" s="89"/>
      <c r="W82" s="89"/>
      <c r="X82" s="89">
        <f>CEILING(X79*0.4+5,0.5)</f>
        <v>80.5</v>
      </c>
      <c r="Y82" s="89"/>
      <c r="Z82" s="89"/>
      <c r="AA82" s="89"/>
      <c r="AB82" s="10"/>
      <c r="AC82" s="10"/>
      <c r="AD82" s="10"/>
      <c r="AE82" s="10"/>
      <c r="AF82" s="49"/>
      <c r="AG82" s="202"/>
      <c r="AH82" s="202"/>
      <c r="AI82" s="202"/>
      <c r="AJ82" s="202"/>
      <c r="AK82" s="202"/>
      <c r="AL82" s="94"/>
      <c r="AM82" s="94"/>
      <c r="AN82" s="94"/>
      <c r="AO82" s="80"/>
      <c r="AP82" s="80"/>
      <c r="AQ82" s="80"/>
      <c r="AR82" s="80"/>
      <c r="AS82" s="80"/>
      <c r="AT82" s="81" t="s">
        <v>12</v>
      </c>
      <c r="AU82" s="81"/>
      <c r="AV82" s="89">
        <f>CEILING(AV79*0.47+5,0.5)</f>
        <v>89.5</v>
      </c>
      <c r="AW82" s="89"/>
      <c r="AX82" s="89"/>
      <c r="AY82" s="89"/>
      <c r="AZ82" s="89">
        <f>CEILING(AZ79*0.47+5,0.5)</f>
        <v>93.5</v>
      </c>
      <c r="BA82" s="89"/>
      <c r="BB82" s="89"/>
      <c r="BC82" s="89"/>
      <c r="BD82" s="89">
        <f>CEILING(BD79*0.47+5,0.5)</f>
        <v>97</v>
      </c>
      <c r="BE82" s="89"/>
      <c r="BF82" s="89"/>
      <c r="BG82" s="89"/>
      <c r="BH82" s="10"/>
      <c r="BI82" s="10"/>
      <c r="BJ82" s="10"/>
      <c r="BK82" s="10"/>
    </row>
    <row r="83" spans="1:63" ht="16.5" customHeight="1">
      <c r="A83" s="9" t="s">
        <v>60</v>
      </c>
      <c r="C83" s="9"/>
      <c r="D83" s="9"/>
      <c r="E83" s="50"/>
      <c r="F83" s="27"/>
      <c r="G83" s="27"/>
      <c r="H83" s="27"/>
      <c r="I83" s="28"/>
      <c r="J83" s="28"/>
      <c r="K83" s="28"/>
      <c r="L83" s="28"/>
      <c r="M83" s="28"/>
      <c r="N83" s="22"/>
      <c r="O83" s="22"/>
      <c r="P83" s="29"/>
      <c r="Q83" s="29"/>
      <c r="R83" s="29"/>
      <c r="S83" s="29"/>
      <c r="T83" s="29"/>
      <c r="U83" s="29"/>
      <c r="V83" s="29"/>
      <c r="W83" s="29"/>
      <c r="X83" s="29"/>
      <c r="Y83" s="29"/>
      <c r="Z83" s="29"/>
      <c r="AA83" s="29"/>
      <c r="AB83" s="10"/>
      <c r="AC83" s="10"/>
      <c r="AD83" s="10"/>
      <c r="AE83" s="10"/>
      <c r="AF83" s="49"/>
      <c r="AG83" s="50"/>
      <c r="AK83" s="50"/>
      <c r="AL83" s="27"/>
      <c r="AM83" s="27"/>
      <c r="AN83" s="27"/>
      <c r="AO83" s="28"/>
      <c r="AP83" s="28"/>
      <c r="AQ83" s="28"/>
      <c r="AR83" s="28"/>
      <c r="AS83" s="28"/>
      <c r="AT83" s="22"/>
      <c r="AU83" s="22"/>
      <c r="AV83" s="29"/>
      <c r="AW83" s="29"/>
      <c r="AX83" s="29"/>
      <c r="AY83" s="29"/>
      <c r="AZ83" s="29"/>
      <c r="BA83" s="29"/>
      <c r="BB83" s="29"/>
      <c r="BC83" s="29"/>
      <c r="BD83" s="29"/>
      <c r="BE83" s="29"/>
      <c r="BF83" s="29"/>
      <c r="BG83" s="29"/>
      <c r="BH83" s="10"/>
      <c r="BI83" s="10"/>
      <c r="BJ83" s="10"/>
      <c r="BK83" s="10"/>
    </row>
    <row r="84" spans="1:63" ht="16.5" customHeight="1">
      <c r="A84" s="9" t="s">
        <v>25</v>
      </c>
    </row>
    <row r="85" spans="1:63" ht="16.5" customHeight="1">
      <c r="A85" s="9" t="s">
        <v>26</v>
      </c>
      <c r="B85" s="45"/>
    </row>
    <row r="86" spans="1:63" ht="16.5" customHeight="1" thickBot="1">
      <c r="A86" s="9"/>
      <c r="B86" s="45"/>
    </row>
    <row r="87" spans="1:63" ht="15.6" customHeight="1" thickTop="1">
      <c r="A87" s="229" t="s">
        <v>27</v>
      </c>
      <c r="B87" s="230"/>
      <c r="C87" s="230"/>
      <c r="D87" s="230"/>
      <c r="E87" s="230"/>
      <c r="F87" s="230"/>
      <c r="G87" s="230"/>
      <c r="H87" s="230"/>
      <c r="I87" s="230"/>
      <c r="J87" s="230"/>
      <c r="K87" s="230"/>
      <c r="L87" s="230"/>
      <c r="M87" s="230"/>
      <c r="N87" s="230"/>
      <c r="O87" s="230"/>
      <c r="P87" s="230"/>
      <c r="Q87" s="230"/>
      <c r="R87" s="230"/>
      <c r="S87" s="230"/>
      <c r="T87" s="231"/>
    </row>
    <row r="88" spans="1:63" ht="15.6" customHeight="1">
      <c r="A88" s="186" t="s">
        <v>71</v>
      </c>
      <c r="B88" s="187"/>
      <c r="C88" s="187"/>
      <c r="D88" s="187"/>
      <c r="E88" s="187"/>
      <c r="F88" s="187"/>
      <c r="G88" s="187"/>
      <c r="H88" s="188"/>
      <c r="I88" s="227" t="s">
        <v>72</v>
      </c>
      <c r="J88" s="187"/>
      <c r="K88" s="187"/>
      <c r="L88" s="187"/>
      <c r="M88" s="187"/>
      <c r="N88" s="187"/>
      <c r="O88" s="187"/>
      <c r="P88" s="187"/>
      <c r="Q88" s="187"/>
      <c r="R88" s="187"/>
      <c r="S88" s="187"/>
      <c r="T88" s="189"/>
    </row>
    <row r="89" spans="1:63" ht="15.6" customHeight="1" thickBot="1">
      <c r="A89" s="85" t="s">
        <v>30</v>
      </c>
      <c r="B89" s="86"/>
      <c r="C89" s="86"/>
      <c r="D89" s="86"/>
      <c r="E89" s="86"/>
      <c r="F89" s="86"/>
      <c r="G89" s="86"/>
      <c r="H89" s="87"/>
      <c r="I89" s="228" t="s">
        <v>31</v>
      </c>
      <c r="J89" s="86"/>
      <c r="K89" s="86"/>
      <c r="L89" s="86"/>
      <c r="M89" s="86"/>
      <c r="N89" s="86"/>
      <c r="O89" s="86"/>
      <c r="P89" s="86"/>
      <c r="Q89" s="86"/>
      <c r="R89" s="86"/>
      <c r="S89" s="86"/>
      <c r="T89" s="88"/>
    </row>
    <row r="90" spans="1:63" ht="15.6" customHeight="1" thickTop="1"/>
    <row r="91" spans="1:63" ht="15.6" customHeight="1"/>
    <row r="92" spans="1:63" ht="15.6" customHeight="1"/>
    <row r="93" spans="1:63" ht="15.6" customHeight="1"/>
    <row r="94" spans="1:63" ht="15.6" customHeight="1"/>
    <row r="95" spans="1:63" ht="15.6" customHeight="1"/>
    <row r="96" spans="1:63"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sheetData>
  <mergeCells count="463">
    <mergeCell ref="I9:M9"/>
    <mergeCell ref="N9:O9"/>
    <mergeCell ref="P9:S9"/>
    <mergeCell ref="T9:W9"/>
    <mergeCell ref="A4:K5"/>
    <mergeCell ref="L4:AE7"/>
    <mergeCell ref="A38:T38"/>
    <mergeCell ref="A39:H39"/>
    <mergeCell ref="I39:T39"/>
    <mergeCell ref="A6:K7"/>
    <mergeCell ref="N12:O12"/>
    <mergeCell ref="P12:S12"/>
    <mergeCell ref="T12:W12"/>
    <mergeCell ref="X12:AA12"/>
    <mergeCell ref="I16:M18"/>
    <mergeCell ref="I13:M15"/>
    <mergeCell ref="X18:AA18"/>
    <mergeCell ref="I22:M24"/>
    <mergeCell ref="N22:O22"/>
    <mergeCell ref="P22:S22"/>
    <mergeCell ref="T22:W22"/>
    <mergeCell ref="X22:AA22"/>
    <mergeCell ref="I19:M21"/>
    <mergeCell ref="P24:S24"/>
    <mergeCell ref="AZ10:BC10"/>
    <mergeCell ref="BD10:BG10"/>
    <mergeCell ref="AZ11:BC11"/>
    <mergeCell ref="BD11:BG11"/>
    <mergeCell ref="AZ12:BC12"/>
    <mergeCell ref="BD12:BG12"/>
    <mergeCell ref="AZ9:BC9"/>
    <mergeCell ref="BD9:BG9"/>
    <mergeCell ref="A10:E33"/>
    <mergeCell ref="F10:H33"/>
    <mergeCell ref="I10:M12"/>
    <mergeCell ref="N10:O10"/>
    <mergeCell ref="P10:S10"/>
    <mergeCell ref="T10:W10"/>
    <mergeCell ref="X10:AA10"/>
    <mergeCell ref="AG10:AK33"/>
    <mergeCell ref="X9:AA9"/>
    <mergeCell ref="AG9:AK9"/>
    <mergeCell ref="AL9:AN9"/>
    <mergeCell ref="AO9:AS9"/>
    <mergeCell ref="AT9:AU9"/>
    <mergeCell ref="AV9:AY9"/>
    <mergeCell ref="A9:E9"/>
    <mergeCell ref="F9:H9"/>
    <mergeCell ref="AT12:AU12"/>
    <mergeCell ref="AV12:AY12"/>
    <mergeCell ref="N11:O11"/>
    <mergeCell ref="P11:S11"/>
    <mergeCell ref="T11:W11"/>
    <mergeCell ref="X11:AA11"/>
    <mergeCell ref="AT11:AU11"/>
    <mergeCell ref="AV11:AY11"/>
    <mergeCell ref="AL10:AN33"/>
    <mergeCell ref="AO10:AS12"/>
    <mergeCell ref="AT10:AU10"/>
    <mergeCell ref="AV10:AY10"/>
    <mergeCell ref="AT13:AU13"/>
    <mergeCell ref="AV13:AY13"/>
    <mergeCell ref="N16:O16"/>
    <mergeCell ref="P16:S16"/>
    <mergeCell ref="T16:W16"/>
    <mergeCell ref="X16:AA16"/>
    <mergeCell ref="AO16:AS18"/>
    <mergeCell ref="AT16:AU16"/>
    <mergeCell ref="AV16:AY16"/>
    <mergeCell ref="N18:O18"/>
    <mergeCell ref="P18:S18"/>
    <mergeCell ref="T18:W18"/>
    <mergeCell ref="AZ13:BC13"/>
    <mergeCell ref="BD13:BG13"/>
    <mergeCell ref="N14:O14"/>
    <mergeCell ref="P14:S14"/>
    <mergeCell ref="T14:W14"/>
    <mergeCell ref="X14:AA14"/>
    <mergeCell ref="AT14:AU14"/>
    <mergeCell ref="AV14:AY14"/>
    <mergeCell ref="N13:O13"/>
    <mergeCell ref="P13:S13"/>
    <mergeCell ref="T13:W13"/>
    <mergeCell ref="X13:AA13"/>
    <mergeCell ref="AO13:AS15"/>
    <mergeCell ref="AZ14:BC14"/>
    <mergeCell ref="BD14:BG14"/>
    <mergeCell ref="N15:O15"/>
    <mergeCell ref="P15:S15"/>
    <mergeCell ref="T15:W15"/>
    <mergeCell ref="X15:AA15"/>
    <mergeCell ref="AT15:AU15"/>
    <mergeCell ref="AV15:AY15"/>
    <mergeCell ref="AZ15:BC15"/>
    <mergeCell ref="BD15:BG15"/>
    <mergeCell ref="AZ16:BC16"/>
    <mergeCell ref="BD16:BG16"/>
    <mergeCell ref="N17:O17"/>
    <mergeCell ref="P17:S17"/>
    <mergeCell ref="T17:W17"/>
    <mergeCell ref="X17:AA17"/>
    <mergeCell ref="AT17:AU17"/>
    <mergeCell ref="AV17:AY17"/>
    <mergeCell ref="AZ17:BC17"/>
    <mergeCell ref="BD17:BG17"/>
    <mergeCell ref="AT18:AU18"/>
    <mergeCell ref="AV18:AY18"/>
    <mergeCell ref="AZ18:BC18"/>
    <mergeCell ref="BD18:BG18"/>
    <mergeCell ref="AT19:AU19"/>
    <mergeCell ref="AV19:AY19"/>
    <mergeCell ref="AZ19:BC19"/>
    <mergeCell ref="BD19:BG19"/>
    <mergeCell ref="N20:O20"/>
    <mergeCell ref="P20:S20"/>
    <mergeCell ref="T20:W20"/>
    <mergeCell ref="X20:AA20"/>
    <mergeCell ref="AT20:AU20"/>
    <mergeCell ref="AV20:AY20"/>
    <mergeCell ref="N19:O19"/>
    <mergeCell ref="P19:S19"/>
    <mergeCell ref="T19:W19"/>
    <mergeCell ref="X19:AA19"/>
    <mergeCell ref="AO19:AS21"/>
    <mergeCell ref="AZ20:BC20"/>
    <mergeCell ref="BD20:BG20"/>
    <mergeCell ref="N21:O21"/>
    <mergeCell ref="P21:S21"/>
    <mergeCell ref="T21:W21"/>
    <mergeCell ref="T24:W24"/>
    <mergeCell ref="X24:AA24"/>
    <mergeCell ref="AT24:AU24"/>
    <mergeCell ref="AV24:AY24"/>
    <mergeCell ref="AZ24:BC24"/>
    <mergeCell ref="BD24:BG24"/>
    <mergeCell ref="N23:O23"/>
    <mergeCell ref="P23:S23"/>
    <mergeCell ref="T23:W23"/>
    <mergeCell ref="X23:AA23"/>
    <mergeCell ref="AT23:AU23"/>
    <mergeCell ref="AV23:AY23"/>
    <mergeCell ref="AZ23:BC23"/>
    <mergeCell ref="BD23:BG23"/>
    <mergeCell ref="N24:O24"/>
    <mergeCell ref="AZ25:BC25"/>
    <mergeCell ref="BD25:BG25"/>
    <mergeCell ref="AO22:AS24"/>
    <mergeCell ref="AT22:AU22"/>
    <mergeCell ref="AV22:AY22"/>
    <mergeCell ref="AZ22:BC22"/>
    <mergeCell ref="BD22:BG22"/>
    <mergeCell ref="X21:AA21"/>
    <mergeCell ref="AT21:AU21"/>
    <mergeCell ref="AV21:AY21"/>
    <mergeCell ref="AZ21:BC21"/>
    <mergeCell ref="BD21:BG21"/>
    <mergeCell ref="N26:O26"/>
    <mergeCell ref="P26:S26"/>
    <mergeCell ref="T26:W26"/>
    <mergeCell ref="X26:AA26"/>
    <mergeCell ref="AT26:AU26"/>
    <mergeCell ref="AV26:AY26"/>
    <mergeCell ref="N25:O25"/>
    <mergeCell ref="P25:S25"/>
    <mergeCell ref="T25:W25"/>
    <mergeCell ref="X25:AA25"/>
    <mergeCell ref="AO25:AS27"/>
    <mergeCell ref="AT25:AU25"/>
    <mergeCell ref="AV25:AY25"/>
    <mergeCell ref="I28:M30"/>
    <mergeCell ref="N28:O28"/>
    <mergeCell ref="P28:S28"/>
    <mergeCell ref="T28:W28"/>
    <mergeCell ref="X28:AA28"/>
    <mergeCell ref="AO28:AS30"/>
    <mergeCell ref="AZ26:BC26"/>
    <mergeCell ref="BD26:BG26"/>
    <mergeCell ref="N27:O27"/>
    <mergeCell ref="P27:S27"/>
    <mergeCell ref="T27:W27"/>
    <mergeCell ref="X27:AA27"/>
    <mergeCell ref="AT27:AU27"/>
    <mergeCell ref="AV27:AY27"/>
    <mergeCell ref="AZ27:BC27"/>
    <mergeCell ref="BD27:BG27"/>
    <mergeCell ref="I25:M27"/>
    <mergeCell ref="AT28:AU28"/>
    <mergeCell ref="AV28:AY28"/>
    <mergeCell ref="AZ28:BC28"/>
    <mergeCell ref="BD28:BG28"/>
    <mergeCell ref="N29:O29"/>
    <mergeCell ref="P29:S29"/>
    <mergeCell ref="T29:W29"/>
    <mergeCell ref="AZ29:BC29"/>
    <mergeCell ref="BD29:BG29"/>
    <mergeCell ref="N30:O30"/>
    <mergeCell ref="P30:S30"/>
    <mergeCell ref="T30:W30"/>
    <mergeCell ref="X30:AA30"/>
    <mergeCell ref="AT30:AU30"/>
    <mergeCell ref="AV30:AY30"/>
    <mergeCell ref="AZ30:BC30"/>
    <mergeCell ref="BD30:BG30"/>
    <mergeCell ref="AV32:AY32"/>
    <mergeCell ref="N31:O31"/>
    <mergeCell ref="P31:S31"/>
    <mergeCell ref="T31:W31"/>
    <mergeCell ref="X31:AA31"/>
    <mergeCell ref="AO31:AS33"/>
    <mergeCell ref="X29:AA29"/>
    <mergeCell ref="AT29:AU29"/>
    <mergeCell ref="AV29:AY29"/>
    <mergeCell ref="I58:M58"/>
    <mergeCell ref="N58:O58"/>
    <mergeCell ref="P58:S58"/>
    <mergeCell ref="T58:W58"/>
    <mergeCell ref="AZ32:BC32"/>
    <mergeCell ref="BD32:BG32"/>
    <mergeCell ref="N33:O33"/>
    <mergeCell ref="P33:S33"/>
    <mergeCell ref="T33:W33"/>
    <mergeCell ref="X33:AA33"/>
    <mergeCell ref="AT33:AU33"/>
    <mergeCell ref="AV33:AY33"/>
    <mergeCell ref="AZ33:BC33"/>
    <mergeCell ref="BD33:BG33"/>
    <mergeCell ref="I31:M33"/>
    <mergeCell ref="AT31:AU31"/>
    <mergeCell ref="AV31:AY31"/>
    <mergeCell ref="AZ31:BC31"/>
    <mergeCell ref="BD31:BG31"/>
    <mergeCell ref="N32:O32"/>
    <mergeCell ref="P32:S32"/>
    <mergeCell ref="T32:W32"/>
    <mergeCell ref="X32:AA32"/>
    <mergeCell ref="AT32:AU32"/>
    <mergeCell ref="AZ59:BC59"/>
    <mergeCell ref="BD59:BG59"/>
    <mergeCell ref="AZ60:BC60"/>
    <mergeCell ref="BD60:BG60"/>
    <mergeCell ref="AZ61:BC61"/>
    <mergeCell ref="BD61:BG61"/>
    <mergeCell ref="AZ58:BC58"/>
    <mergeCell ref="BD58:BG58"/>
    <mergeCell ref="A59:E82"/>
    <mergeCell ref="F59:H82"/>
    <mergeCell ref="I59:M61"/>
    <mergeCell ref="N59:O59"/>
    <mergeCell ref="P59:S59"/>
    <mergeCell ref="T59:W59"/>
    <mergeCell ref="X59:AA59"/>
    <mergeCell ref="AG59:AK82"/>
    <mergeCell ref="X58:AA58"/>
    <mergeCell ref="AG58:AK58"/>
    <mergeCell ref="AL58:AN58"/>
    <mergeCell ref="AO58:AS58"/>
    <mergeCell ref="AT58:AU58"/>
    <mergeCell ref="AV58:AY58"/>
    <mergeCell ref="A58:E58"/>
    <mergeCell ref="F58:H58"/>
    <mergeCell ref="N61:O61"/>
    <mergeCell ref="P61:S61"/>
    <mergeCell ref="T61:W61"/>
    <mergeCell ref="X61:AA61"/>
    <mergeCell ref="AT61:AU61"/>
    <mergeCell ref="AV61:AY61"/>
    <mergeCell ref="N60:O60"/>
    <mergeCell ref="P60:S60"/>
    <mergeCell ref="T60:W60"/>
    <mergeCell ref="X60:AA60"/>
    <mergeCell ref="AT60:AU60"/>
    <mergeCell ref="AV60:AY60"/>
    <mergeCell ref="AL59:AN82"/>
    <mergeCell ref="AO59:AS61"/>
    <mergeCell ref="AT59:AU59"/>
    <mergeCell ref="AV59:AY59"/>
    <mergeCell ref="AT62:AU62"/>
    <mergeCell ref="AV62:AY62"/>
    <mergeCell ref="X66:AA66"/>
    <mergeCell ref="AT66:AU66"/>
    <mergeCell ref="AV66:AY66"/>
    <mergeCell ref="AT68:AU68"/>
    <mergeCell ref="AV68:AY68"/>
    <mergeCell ref="X72:AA72"/>
    <mergeCell ref="AZ62:BC62"/>
    <mergeCell ref="BD62:BG62"/>
    <mergeCell ref="N63:O63"/>
    <mergeCell ref="P63:S63"/>
    <mergeCell ref="T63:W63"/>
    <mergeCell ref="X63:AA63"/>
    <mergeCell ref="AT63:AU63"/>
    <mergeCell ref="AV63:AY63"/>
    <mergeCell ref="N62:O62"/>
    <mergeCell ref="P62:S62"/>
    <mergeCell ref="T62:W62"/>
    <mergeCell ref="X62:AA62"/>
    <mergeCell ref="AO62:AS64"/>
    <mergeCell ref="I65:M67"/>
    <mergeCell ref="N65:O65"/>
    <mergeCell ref="P65:S65"/>
    <mergeCell ref="T65:W65"/>
    <mergeCell ref="X65:AA65"/>
    <mergeCell ref="AO65:AS67"/>
    <mergeCell ref="AZ63:BC63"/>
    <mergeCell ref="BD63:BG63"/>
    <mergeCell ref="N64:O64"/>
    <mergeCell ref="P64:S64"/>
    <mergeCell ref="T64:W64"/>
    <mergeCell ref="X64:AA64"/>
    <mergeCell ref="AT64:AU64"/>
    <mergeCell ref="AV64:AY64"/>
    <mergeCell ref="AZ64:BC64"/>
    <mergeCell ref="BD64:BG64"/>
    <mergeCell ref="I62:M64"/>
    <mergeCell ref="AT65:AU65"/>
    <mergeCell ref="AV65:AY65"/>
    <mergeCell ref="AZ65:BC65"/>
    <mergeCell ref="BD65:BG65"/>
    <mergeCell ref="N66:O66"/>
    <mergeCell ref="P66:S66"/>
    <mergeCell ref="T66:W66"/>
    <mergeCell ref="AZ66:BC66"/>
    <mergeCell ref="BD66:BG66"/>
    <mergeCell ref="N67:O67"/>
    <mergeCell ref="P67:S67"/>
    <mergeCell ref="T67:W67"/>
    <mergeCell ref="X67:AA67"/>
    <mergeCell ref="AT67:AU67"/>
    <mergeCell ref="AV67:AY67"/>
    <mergeCell ref="AZ67:BC67"/>
    <mergeCell ref="BD67:BG67"/>
    <mergeCell ref="AZ68:BC68"/>
    <mergeCell ref="BD68:BG68"/>
    <mergeCell ref="N69:O69"/>
    <mergeCell ref="P69:S69"/>
    <mergeCell ref="T69:W69"/>
    <mergeCell ref="X69:AA69"/>
    <mergeCell ref="AT69:AU69"/>
    <mergeCell ref="AV69:AY69"/>
    <mergeCell ref="N68:O68"/>
    <mergeCell ref="P68:S68"/>
    <mergeCell ref="T68:W68"/>
    <mergeCell ref="X68:AA68"/>
    <mergeCell ref="AO68:AS70"/>
    <mergeCell ref="I71:M73"/>
    <mergeCell ref="N71:O71"/>
    <mergeCell ref="P71:S71"/>
    <mergeCell ref="T71:W71"/>
    <mergeCell ref="X71:AA71"/>
    <mergeCell ref="AO71:AS73"/>
    <mergeCell ref="AZ69:BC69"/>
    <mergeCell ref="BD69:BG69"/>
    <mergeCell ref="N70:O70"/>
    <mergeCell ref="P70:S70"/>
    <mergeCell ref="T70:W70"/>
    <mergeCell ref="X70:AA70"/>
    <mergeCell ref="AT70:AU70"/>
    <mergeCell ref="AV70:AY70"/>
    <mergeCell ref="AZ70:BC70"/>
    <mergeCell ref="BD70:BG70"/>
    <mergeCell ref="I68:M70"/>
    <mergeCell ref="AT71:AU71"/>
    <mergeCell ref="AV71:AY71"/>
    <mergeCell ref="AZ71:BC71"/>
    <mergeCell ref="BD71:BG71"/>
    <mergeCell ref="N72:O72"/>
    <mergeCell ref="P72:S72"/>
    <mergeCell ref="T72:W72"/>
    <mergeCell ref="AT72:AU72"/>
    <mergeCell ref="AV72:AY72"/>
    <mergeCell ref="AZ72:BC72"/>
    <mergeCell ref="BD72:BG72"/>
    <mergeCell ref="N73:O73"/>
    <mergeCell ref="P73:S73"/>
    <mergeCell ref="T73:W73"/>
    <mergeCell ref="X73:AA73"/>
    <mergeCell ref="AT73:AU73"/>
    <mergeCell ref="AV73:AY73"/>
    <mergeCell ref="AZ73:BC73"/>
    <mergeCell ref="BD73:BG73"/>
    <mergeCell ref="AT74:AU74"/>
    <mergeCell ref="AV74:AY74"/>
    <mergeCell ref="AZ74:BC74"/>
    <mergeCell ref="BD74:BG74"/>
    <mergeCell ref="N75:O75"/>
    <mergeCell ref="P75:S75"/>
    <mergeCell ref="T75:W75"/>
    <mergeCell ref="X75:AA75"/>
    <mergeCell ref="AT75:AU75"/>
    <mergeCell ref="AV75:AY75"/>
    <mergeCell ref="N74:O74"/>
    <mergeCell ref="P74:S74"/>
    <mergeCell ref="T74:W74"/>
    <mergeCell ref="X74:AA74"/>
    <mergeCell ref="AO74:AS76"/>
    <mergeCell ref="I77:M79"/>
    <mergeCell ref="N77:O77"/>
    <mergeCell ref="P77:S77"/>
    <mergeCell ref="T77:W77"/>
    <mergeCell ref="X77:AA77"/>
    <mergeCell ref="AO77:AS79"/>
    <mergeCell ref="AZ75:BC75"/>
    <mergeCell ref="BD75:BG75"/>
    <mergeCell ref="N76:O76"/>
    <mergeCell ref="P76:S76"/>
    <mergeCell ref="T76:W76"/>
    <mergeCell ref="X76:AA76"/>
    <mergeCell ref="AT76:AU76"/>
    <mergeCell ref="AV76:AY76"/>
    <mergeCell ref="AZ76:BC76"/>
    <mergeCell ref="BD76:BG76"/>
    <mergeCell ref="I74:M76"/>
    <mergeCell ref="AT77:AU77"/>
    <mergeCell ref="AV77:AY77"/>
    <mergeCell ref="AZ77:BC77"/>
    <mergeCell ref="BD77:BG77"/>
    <mergeCell ref="N78:O78"/>
    <mergeCell ref="P78:S78"/>
    <mergeCell ref="T78:W78"/>
    <mergeCell ref="AZ78:BC78"/>
    <mergeCell ref="BD78:BG78"/>
    <mergeCell ref="N79:O79"/>
    <mergeCell ref="P79:S79"/>
    <mergeCell ref="T79:W79"/>
    <mergeCell ref="X79:AA79"/>
    <mergeCell ref="AT79:AU79"/>
    <mergeCell ref="AV79:AY79"/>
    <mergeCell ref="AZ79:BC79"/>
    <mergeCell ref="BD79:BG79"/>
    <mergeCell ref="AT81:AU81"/>
    <mergeCell ref="AV81:AY81"/>
    <mergeCell ref="N80:O80"/>
    <mergeCell ref="P80:S80"/>
    <mergeCell ref="T80:W80"/>
    <mergeCell ref="X80:AA80"/>
    <mergeCell ref="AO80:AS82"/>
    <mergeCell ref="X78:AA78"/>
    <mergeCell ref="AT78:AU78"/>
    <mergeCell ref="AV78:AY78"/>
    <mergeCell ref="A88:H88"/>
    <mergeCell ref="I88:T88"/>
    <mergeCell ref="A89:H89"/>
    <mergeCell ref="I89:T89"/>
    <mergeCell ref="A87:T87"/>
    <mergeCell ref="AZ81:BC81"/>
    <mergeCell ref="BD81:BG81"/>
    <mergeCell ref="N82:O82"/>
    <mergeCell ref="P82:S82"/>
    <mergeCell ref="T82:W82"/>
    <mergeCell ref="X82:AA82"/>
    <mergeCell ref="AT82:AU82"/>
    <mergeCell ref="AV82:AY82"/>
    <mergeCell ref="AZ82:BC82"/>
    <mergeCell ref="BD82:BG82"/>
    <mergeCell ref="I80:M82"/>
    <mergeCell ref="AT80:AU80"/>
    <mergeCell ref="AV80:AY80"/>
    <mergeCell ref="AZ80:BC80"/>
    <mergeCell ref="BD80:BG80"/>
    <mergeCell ref="N81:O81"/>
    <mergeCell ref="P81:S81"/>
    <mergeCell ref="T81:W81"/>
    <mergeCell ref="X81:AA81"/>
  </mergeCells>
  <phoneticPr fontId="2"/>
  <pageMargins left="0.39370078740157483" right="0.39370078740157483" top="0.59055118110236227" bottom="0.39370078740157483" header="0.51181102362204722" footer="0.19685039370078741"/>
  <pageSetup paperSize="9" scale="90" firstPageNumber="9" orientation="portrait" useFirstPageNumber="1" r:id="rId1"/>
  <headerFooter alignWithMargins="0">
    <oddFooter>&amp;C20260511臨時改定価格_SP_真空ラミ&amp;R&amp;P/&amp;N</oddFooter>
  </headerFooter>
  <rowBreaks count="1" manualBreakCount="1">
    <brk id="54" max="6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76BF-0D43-4BA1-86D3-E1E44E48B2B9}">
  <sheetPr>
    <tabColor indexed="10"/>
  </sheetPr>
  <dimension ref="A1:BK284"/>
  <sheetViews>
    <sheetView view="pageBreakPreview" zoomScaleSheetLayoutView="100" workbookViewId="0">
      <selection activeCell="BS8" sqref="BS8"/>
    </sheetView>
  </sheetViews>
  <sheetFormatPr defaultColWidth="8.875" defaultRowHeight="13.5"/>
  <cols>
    <col min="1" max="64" width="1.625" style="1" customWidth="1"/>
    <col min="65"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A2" s="9"/>
    </row>
    <row r="3" spans="1:63" ht="16.5" customHeight="1">
      <c r="A3" s="9"/>
    </row>
    <row r="4" spans="1:63" ht="16.5" customHeight="1">
      <c r="A4" s="109" t="s">
        <v>0</v>
      </c>
      <c r="B4" s="110"/>
      <c r="C4" s="110"/>
      <c r="D4" s="110"/>
      <c r="E4" s="110"/>
      <c r="F4" s="110"/>
      <c r="G4" s="110"/>
      <c r="H4" s="110"/>
      <c r="I4" s="110"/>
      <c r="J4" s="110"/>
      <c r="K4" s="172"/>
      <c r="L4" s="238" t="s">
        <v>102</v>
      </c>
      <c r="M4" s="239"/>
      <c r="N4" s="239"/>
      <c r="O4" s="239"/>
      <c r="P4" s="239"/>
      <c r="Q4" s="239"/>
      <c r="R4" s="244" t="s">
        <v>103</v>
      </c>
      <c r="S4" s="244"/>
      <c r="T4" s="244"/>
      <c r="U4" s="244"/>
      <c r="V4" s="244"/>
      <c r="W4" s="244"/>
      <c r="X4" s="244"/>
      <c r="Y4" s="244"/>
      <c r="Z4" s="244"/>
      <c r="AA4" s="244"/>
      <c r="AB4" s="244"/>
      <c r="AC4" s="244"/>
      <c r="AD4" s="244"/>
      <c r="AE4" s="244"/>
      <c r="AF4" s="244"/>
      <c r="AG4" s="244"/>
      <c r="AH4" s="244"/>
      <c r="AI4" s="244"/>
      <c r="AJ4" s="4"/>
      <c r="AK4" s="4"/>
      <c r="AL4" s="4"/>
      <c r="AM4" s="4"/>
    </row>
    <row r="5" spans="1:63" ht="16.5" customHeight="1">
      <c r="A5" s="111"/>
      <c r="B5" s="112"/>
      <c r="C5" s="112"/>
      <c r="D5" s="112"/>
      <c r="E5" s="112"/>
      <c r="F5" s="112"/>
      <c r="G5" s="112"/>
      <c r="H5" s="112"/>
      <c r="I5" s="112"/>
      <c r="J5" s="112"/>
      <c r="K5" s="173"/>
      <c r="L5" s="240"/>
      <c r="M5" s="241"/>
      <c r="N5" s="241"/>
      <c r="O5" s="241"/>
      <c r="P5" s="241"/>
      <c r="Q5" s="241"/>
      <c r="R5" s="245"/>
      <c r="S5" s="245"/>
      <c r="T5" s="245"/>
      <c r="U5" s="245"/>
      <c r="V5" s="245"/>
      <c r="W5" s="245"/>
      <c r="X5" s="245"/>
      <c r="Y5" s="245"/>
      <c r="Z5" s="245"/>
      <c r="AA5" s="245"/>
      <c r="AB5" s="245"/>
      <c r="AC5" s="245"/>
      <c r="AD5" s="245"/>
      <c r="AE5" s="245"/>
      <c r="AF5" s="245"/>
      <c r="AG5" s="245"/>
      <c r="AH5" s="245"/>
      <c r="AI5" s="245"/>
      <c r="AJ5" s="4"/>
      <c r="AK5" s="4"/>
      <c r="AL5" s="4"/>
      <c r="AM5" s="4"/>
    </row>
    <row r="6" spans="1:63" ht="16.5" customHeight="1">
      <c r="A6" s="180" t="s">
        <v>2</v>
      </c>
      <c r="B6" s="181"/>
      <c r="C6" s="181"/>
      <c r="D6" s="181"/>
      <c r="E6" s="181"/>
      <c r="F6" s="181"/>
      <c r="G6" s="181"/>
      <c r="H6" s="181"/>
      <c r="I6" s="181"/>
      <c r="J6" s="181"/>
      <c r="K6" s="182"/>
      <c r="L6" s="240"/>
      <c r="M6" s="241"/>
      <c r="N6" s="241"/>
      <c r="O6" s="241"/>
      <c r="P6" s="241"/>
      <c r="Q6" s="241"/>
      <c r="R6" s="245"/>
      <c r="S6" s="245"/>
      <c r="T6" s="245"/>
      <c r="U6" s="245"/>
      <c r="V6" s="245"/>
      <c r="W6" s="245"/>
      <c r="X6" s="245"/>
      <c r="Y6" s="245"/>
      <c r="Z6" s="245"/>
      <c r="AA6" s="245"/>
      <c r="AB6" s="245"/>
      <c r="AC6" s="245"/>
      <c r="AD6" s="245"/>
      <c r="AE6" s="245"/>
      <c r="AF6" s="245"/>
      <c r="AG6" s="245"/>
      <c r="AH6" s="245"/>
      <c r="AI6" s="245"/>
      <c r="AJ6" s="4"/>
      <c r="AK6" s="4"/>
      <c r="AL6" s="4"/>
      <c r="AM6" s="4"/>
    </row>
    <row r="7" spans="1:63" ht="16.5" customHeight="1">
      <c r="A7" s="106"/>
      <c r="B7" s="107"/>
      <c r="C7" s="107"/>
      <c r="D7" s="107"/>
      <c r="E7" s="107"/>
      <c r="F7" s="107"/>
      <c r="G7" s="107"/>
      <c r="H7" s="107"/>
      <c r="I7" s="107"/>
      <c r="J7" s="107"/>
      <c r="K7" s="108"/>
      <c r="L7" s="242"/>
      <c r="M7" s="243"/>
      <c r="N7" s="243"/>
      <c r="O7" s="243"/>
      <c r="P7" s="243"/>
      <c r="Q7" s="243"/>
      <c r="R7" s="246"/>
      <c r="S7" s="246"/>
      <c r="T7" s="246"/>
      <c r="U7" s="246"/>
      <c r="V7" s="246"/>
      <c r="W7" s="246"/>
      <c r="X7" s="246"/>
      <c r="Y7" s="246"/>
      <c r="Z7" s="246"/>
      <c r="AA7" s="246"/>
      <c r="AB7" s="246"/>
      <c r="AC7" s="246"/>
      <c r="AD7" s="246"/>
      <c r="AE7" s="246"/>
      <c r="AF7" s="246"/>
      <c r="AG7" s="246"/>
      <c r="AH7" s="246"/>
      <c r="AI7" s="246"/>
      <c r="AJ7" s="4"/>
      <c r="AK7" s="4"/>
      <c r="AL7" s="4"/>
      <c r="AM7" s="4"/>
    </row>
    <row r="8" spans="1:63" ht="16.5" customHeight="1">
      <c r="A8" s="20"/>
      <c r="B8" s="20"/>
      <c r="C8" s="20"/>
      <c r="D8" s="20"/>
      <c r="E8" s="20"/>
      <c r="F8" s="20"/>
      <c r="G8" s="20"/>
      <c r="H8" s="20"/>
      <c r="I8" s="20"/>
      <c r="J8" s="20"/>
      <c r="K8" s="20"/>
      <c r="L8" s="48"/>
      <c r="M8" s="48"/>
      <c r="N8" s="48"/>
      <c r="O8" s="48"/>
      <c r="P8" s="48"/>
      <c r="Q8" s="48"/>
      <c r="R8" s="48"/>
      <c r="S8" s="48"/>
      <c r="T8" s="48"/>
      <c r="U8" s="48"/>
      <c r="V8" s="48"/>
      <c r="W8" s="48"/>
      <c r="X8" s="48"/>
      <c r="Y8" s="48"/>
      <c r="Z8" s="48"/>
      <c r="AA8" s="48"/>
      <c r="AB8" s="48"/>
      <c r="AC8" s="48"/>
      <c r="AD8" s="48"/>
      <c r="AE8" s="48"/>
      <c r="AF8" s="48"/>
      <c r="AG8" s="48"/>
      <c r="AH8" s="48"/>
      <c r="AI8" s="48"/>
      <c r="AJ8" s="48"/>
    </row>
    <row r="9" spans="1:63" ht="16.5" customHeight="1">
      <c r="A9" s="98" t="s">
        <v>3</v>
      </c>
      <c r="B9" s="98"/>
      <c r="C9" s="98"/>
      <c r="D9" s="98"/>
      <c r="E9" s="98"/>
      <c r="F9" s="155" t="s">
        <v>4</v>
      </c>
      <c r="G9" s="155"/>
      <c r="H9" s="155"/>
      <c r="I9" s="98" t="s">
        <v>5</v>
      </c>
      <c r="J9" s="98"/>
      <c r="K9" s="98"/>
      <c r="L9" s="98"/>
      <c r="M9" s="98"/>
      <c r="N9" s="98"/>
      <c r="O9" s="98"/>
      <c r="P9" s="98" t="s">
        <v>6</v>
      </c>
      <c r="Q9" s="98"/>
      <c r="R9" s="98"/>
      <c r="S9" s="98"/>
      <c r="T9" s="98" t="s">
        <v>7</v>
      </c>
      <c r="U9" s="98"/>
      <c r="V9" s="98"/>
      <c r="W9" s="98"/>
      <c r="X9" s="98" t="s">
        <v>8</v>
      </c>
      <c r="Y9" s="98"/>
      <c r="Z9" s="98"/>
      <c r="AA9" s="98"/>
      <c r="AB9" s="3"/>
      <c r="AC9" s="3"/>
      <c r="AD9" s="3"/>
      <c r="AE9" s="3"/>
      <c r="AF9" s="3"/>
      <c r="AG9" s="98" t="s">
        <v>3</v>
      </c>
      <c r="AH9" s="98"/>
      <c r="AI9" s="98"/>
      <c r="AJ9" s="98"/>
      <c r="AK9" s="98"/>
      <c r="AL9" s="155" t="s">
        <v>4</v>
      </c>
      <c r="AM9" s="155"/>
      <c r="AN9" s="155"/>
      <c r="AO9" s="98" t="s">
        <v>5</v>
      </c>
      <c r="AP9" s="98"/>
      <c r="AQ9" s="98"/>
      <c r="AR9" s="98"/>
      <c r="AS9" s="98"/>
      <c r="AT9" s="98"/>
      <c r="AU9" s="98"/>
      <c r="AV9" s="98" t="s">
        <v>6</v>
      </c>
      <c r="AW9" s="98"/>
      <c r="AX9" s="98"/>
      <c r="AY9" s="98"/>
      <c r="AZ9" s="98" t="s">
        <v>7</v>
      </c>
      <c r="BA9" s="98"/>
      <c r="BB9" s="98"/>
      <c r="BC9" s="98"/>
      <c r="BD9" s="98" t="s">
        <v>8</v>
      </c>
      <c r="BE9" s="98"/>
      <c r="BF9" s="98"/>
      <c r="BG9" s="98"/>
      <c r="BH9" s="3"/>
      <c r="BI9" s="3"/>
      <c r="BJ9" s="3"/>
      <c r="BK9" s="3"/>
    </row>
    <row r="10" spans="1:63" ht="16.5" customHeight="1">
      <c r="A10" s="202">
        <v>970</v>
      </c>
      <c r="B10" s="202"/>
      <c r="C10" s="202"/>
      <c r="D10" s="202"/>
      <c r="E10" s="202"/>
      <c r="F10" s="94">
        <v>2</v>
      </c>
      <c r="G10" s="94"/>
      <c r="H10" s="94"/>
      <c r="I10" s="156" t="s">
        <v>9</v>
      </c>
      <c r="J10" s="156"/>
      <c r="K10" s="156"/>
      <c r="L10" s="156"/>
      <c r="M10" s="156"/>
      <c r="N10" s="100" t="s">
        <v>10</v>
      </c>
      <c r="O10" s="100"/>
      <c r="P10" s="99">
        <f>P22+20</f>
        <v>269</v>
      </c>
      <c r="Q10" s="99"/>
      <c r="R10" s="99"/>
      <c r="S10" s="99"/>
      <c r="T10" s="99">
        <f>P10+30</f>
        <v>299</v>
      </c>
      <c r="U10" s="99"/>
      <c r="V10" s="99"/>
      <c r="W10" s="99"/>
      <c r="X10" s="99">
        <f>T10+30</f>
        <v>329</v>
      </c>
      <c r="Y10" s="99"/>
      <c r="Z10" s="99"/>
      <c r="AA10" s="99"/>
      <c r="AB10" s="10"/>
      <c r="AC10" s="10"/>
      <c r="AD10" s="10"/>
      <c r="AE10" s="10"/>
      <c r="AF10" s="49"/>
      <c r="AG10" s="202">
        <v>970</v>
      </c>
      <c r="AH10" s="202"/>
      <c r="AI10" s="202"/>
      <c r="AJ10" s="202"/>
      <c r="AK10" s="202"/>
      <c r="AL10" s="94">
        <v>3</v>
      </c>
      <c r="AM10" s="94"/>
      <c r="AN10" s="94"/>
      <c r="AO10" s="156" t="s">
        <v>9</v>
      </c>
      <c r="AP10" s="156"/>
      <c r="AQ10" s="156"/>
      <c r="AR10" s="156"/>
      <c r="AS10" s="156"/>
      <c r="AT10" s="100" t="s">
        <v>10</v>
      </c>
      <c r="AU10" s="100"/>
      <c r="AV10" s="99">
        <f>AV22+20</f>
        <v>277</v>
      </c>
      <c r="AW10" s="99"/>
      <c r="AX10" s="99"/>
      <c r="AY10" s="99"/>
      <c r="AZ10" s="99">
        <f>AV10+30</f>
        <v>307</v>
      </c>
      <c r="BA10" s="99"/>
      <c r="BB10" s="99"/>
      <c r="BC10" s="99"/>
      <c r="BD10" s="99">
        <f>AZ10+30</f>
        <v>337</v>
      </c>
      <c r="BE10" s="99"/>
      <c r="BF10" s="99"/>
      <c r="BG10" s="99"/>
      <c r="BH10" s="10"/>
      <c r="BI10" s="10"/>
      <c r="BJ10" s="10"/>
      <c r="BK10" s="10"/>
    </row>
    <row r="11" spans="1:63" ht="16.5" customHeight="1">
      <c r="A11" s="202"/>
      <c r="B11" s="202"/>
      <c r="C11" s="202"/>
      <c r="D11" s="202"/>
      <c r="E11" s="202"/>
      <c r="F11" s="94"/>
      <c r="G11" s="94"/>
      <c r="H11" s="94"/>
      <c r="I11" s="156"/>
      <c r="J11" s="156"/>
      <c r="K11" s="156"/>
      <c r="L11" s="156"/>
      <c r="M11" s="156"/>
      <c r="N11" s="100" t="s">
        <v>11</v>
      </c>
      <c r="O11" s="100"/>
      <c r="P11" s="99">
        <f>CEILING(P10*0.95,0.5)</f>
        <v>256</v>
      </c>
      <c r="Q11" s="99"/>
      <c r="R11" s="99"/>
      <c r="S11" s="99"/>
      <c r="T11" s="99">
        <f>CEILING(T10*0.95,0.5)</f>
        <v>284.5</v>
      </c>
      <c r="U11" s="99"/>
      <c r="V11" s="99"/>
      <c r="W11" s="99"/>
      <c r="X11" s="99">
        <f>CEILING(X10*0.95,0.5)</f>
        <v>313</v>
      </c>
      <c r="Y11" s="99"/>
      <c r="Z11" s="99"/>
      <c r="AA11" s="99"/>
      <c r="AB11" s="10"/>
      <c r="AC11" s="10"/>
      <c r="AD11" s="10"/>
      <c r="AE11" s="10"/>
      <c r="AF11" s="49"/>
      <c r="AG11" s="202"/>
      <c r="AH11" s="202"/>
      <c r="AI11" s="202"/>
      <c r="AJ11" s="202"/>
      <c r="AK11" s="202"/>
      <c r="AL11" s="94"/>
      <c r="AM11" s="94"/>
      <c r="AN11" s="94"/>
      <c r="AO11" s="156"/>
      <c r="AP11" s="156"/>
      <c r="AQ11" s="156"/>
      <c r="AR11" s="156"/>
      <c r="AS11" s="156"/>
      <c r="AT11" s="100" t="s">
        <v>11</v>
      </c>
      <c r="AU11" s="100"/>
      <c r="AV11" s="99">
        <f>CEILING(AV10*0.95,0.5)</f>
        <v>263.5</v>
      </c>
      <c r="AW11" s="99"/>
      <c r="AX11" s="99"/>
      <c r="AY11" s="99"/>
      <c r="AZ11" s="99">
        <f>CEILING(AZ10*0.95,0.5)</f>
        <v>292</v>
      </c>
      <c r="BA11" s="99"/>
      <c r="BB11" s="99"/>
      <c r="BC11" s="99"/>
      <c r="BD11" s="99">
        <f>CEILING(BD10*0.95,0.5)</f>
        <v>320.5</v>
      </c>
      <c r="BE11" s="99"/>
      <c r="BF11" s="99"/>
      <c r="BG11" s="99"/>
      <c r="BH11" s="10"/>
      <c r="BI11" s="10"/>
      <c r="BJ11" s="10"/>
      <c r="BK11" s="10"/>
    </row>
    <row r="12" spans="1:63" ht="16.5" customHeight="1">
      <c r="A12" s="202"/>
      <c r="B12" s="202"/>
      <c r="C12" s="202"/>
      <c r="D12" s="202"/>
      <c r="E12" s="202"/>
      <c r="F12" s="94"/>
      <c r="G12" s="94"/>
      <c r="H12" s="94"/>
      <c r="I12" s="156"/>
      <c r="J12" s="156"/>
      <c r="K12" s="156"/>
      <c r="L12" s="156"/>
      <c r="M12" s="156"/>
      <c r="N12" s="100" t="s">
        <v>12</v>
      </c>
      <c r="O12" s="100"/>
      <c r="P12" s="99">
        <f>P24+20</f>
        <v>236.5</v>
      </c>
      <c r="Q12" s="99"/>
      <c r="R12" s="99"/>
      <c r="S12" s="99"/>
      <c r="T12" s="99">
        <f>P12+30</f>
        <v>266.5</v>
      </c>
      <c r="U12" s="99"/>
      <c r="V12" s="99"/>
      <c r="W12" s="99"/>
      <c r="X12" s="99">
        <f>T12+30</f>
        <v>296.5</v>
      </c>
      <c r="Y12" s="99"/>
      <c r="Z12" s="99"/>
      <c r="AA12" s="99"/>
      <c r="AB12" s="10"/>
      <c r="AC12" s="10"/>
      <c r="AD12" s="10"/>
      <c r="AE12" s="10"/>
      <c r="AF12" s="49"/>
      <c r="AG12" s="202"/>
      <c r="AH12" s="202"/>
      <c r="AI12" s="202"/>
      <c r="AJ12" s="202"/>
      <c r="AK12" s="202"/>
      <c r="AL12" s="94"/>
      <c r="AM12" s="94"/>
      <c r="AN12" s="94"/>
      <c r="AO12" s="156"/>
      <c r="AP12" s="156"/>
      <c r="AQ12" s="156"/>
      <c r="AR12" s="156"/>
      <c r="AS12" s="156"/>
      <c r="AT12" s="100" t="s">
        <v>12</v>
      </c>
      <c r="AU12" s="100"/>
      <c r="AV12" s="99">
        <f>AV24+20</f>
        <v>243</v>
      </c>
      <c r="AW12" s="99"/>
      <c r="AX12" s="99"/>
      <c r="AY12" s="99"/>
      <c r="AZ12" s="99">
        <f>AV12+30</f>
        <v>273</v>
      </c>
      <c r="BA12" s="99"/>
      <c r="BB12" s="99"/>
      <c r="BC12" s="99"/>
      <c r="BD12" s="99">
        <f>AZ12+30</f>
        <v>303</v>
      </c>
      <c r="BE12" s="99"/>
      <c r="BF12" s="99"/>
      <c r="BG12" s="99"/>
      <c r="BH12" s="10"/>
      <c r="BI12" s="10"/>
      <c r="BJ12" s="10"/>
      <c r="BK12" s="10"/>
    </row>
    <row r="13" spans="1:63" ht="16.5" customHeight="1">
      <c r="A13" s="202"/>
      <c r="B13" s="202"/>
      <c r="C13" s="202"/>
      <c r="D13" s="202"/>
      <c r="E13" s="202"/>
      <c r="F13" s="94"/>
      <c r="G13" s="94"/>
      <c r="H13" s="94"/>
      <c r="I13" s="97" t="s">
        <v>13</v>
      </c>
      <c r="J13" s="97"/>
      <c r="K13" s="97"/>
      <c r="L13" s="97"/>
      <c r="M13" s="97"/>
      <c r="N13" s="98" t="s">
        <v>58</v>
      </c>
      <c r="O13" s="98"/>
      <c r="P13" s="96">
        <f>CEILING(P10*0.35+5,0.5)</f>
        <v>99.5</v>
      </c>
      <c r="Q13" s="96"/>
      <c r="R13" s="96"/>
      <c r="S13" s="96"/>
      <c r="T13" s="96">
        <f>CEILING(T10*0.35+5,0.5)</f>
        <v>110</v>
      </c>
      <c r="U13" s="96"/>
      <c r="V13" s="96"/>
      <c r="W13" s="96"/>
      <c r="X13" s="96">
        <f>CEILING(X10*0.35+5,0.5)</f>
        <v>120.5</v>
      </c>
      <c r="Y13" s="96"/>
      <c r="Z13" s="96"/>
      <c r="AA13" s="96"/>
      <c r="AB13" s="10"/>
      <c r="AC13" s="10"/>
      <c r="AD13" s="10"/>
      <c r="AE13" s="10"/>
      <c r="AF13" s="49"/>
      <c r="AG13" s="202"/>
      <c r="AH13" s="202"/>
      <c r="AI13" s="202"/>
      <c r="AJ13" s="202"/>
      <c r="AK13" s="202"/>
      <c r="AL13" s="94"/>
      <c r="AM13" s="94"/>
      <c r="AN13" s="94"/>
      <c r="AO13" s="97" t="s">
        <v>63</v>
      </c>
      <c r="AP13" s="97"/>
      <c r="AQ13" s="97"/>
      <c r="AR13" s="97"/>
      <c r="AS13" s="97"/>
      <c r="AT13" s="98" t="s">
        <v>58</v>
      </c>
      <c r="AU13" s="98"/>
      <c r="AV13" s="96">
        <f>CEILING(AV10*0.4+5,0.5)</f>
        <v>116</v>
      </c>
      <c r="AW13" s="96"/>
      <c r="AX13" s="96"/>
      <c r="AY13" s="96"/>
      <c r="AZ13" s="96">
        <f>CEILING(AZ10*0.4+5,0.5)</f>
        <v>128</v>
      </c>
      <c r="BA13" s="96"/>
      <c r="BB13" s="96"/>
      <c r="BC13" s="96"/>
      <c r="BD13" s="96">
        <f>CEILING(BD10*0.4+5,0.5)</f>
        <v>140</v>
      </c>
      <c r="BE13" s="96"/>
      <c r="BF13" s="96"/>
      <c r="BG13" s="96"/>
      <c r="BH13" s="10"/>
      <c r="BI13" s="10"/>
      <c r="BJ13" s="10"/>
      <c r="BK13" s="10"/>
    </row>
    <row r="14" spans="1:63" ht="16.5" customHeight="1">
      <c r="A14" s="202"/>
      <c r="B14" s="202"/>
      <c r="C14" s="202"/>
      <c r="D14" s="202"/>
      <c r="E14" s="202"/>
      <c r="F14" s="94"/>
      <c r="G14" s="94"/>
      <c r="H14" s="94"/>
      <c r="I14" s="97"/>
      <c r="J14" s="97"/>
      <c r="K14" s="97"/>
      <c r="L14" s="97"/>
      <c r="M14" s="97"/>
      <c r="N14" s="98" t="s">
        <v>11</v>
      </c>
      <c r="O14" s="98"/>
      <c r="P14" s="96">
        <f>CEILING(P13*0.95,0.5)</f>
        <v>95</v>
      </c>
      <c r="Q14" s="96"/>
      <c r="R14" s="96"/>
      <c r="S14" s="96"/>
      <c r="T14" s="96">
        <f>CEILING(T13*0.95,0.5)</f>
        <v>104.5</v>
      </c>
      <c r="U14" s="96"/>
      <c r="V14" s="96"/>
      <c r="W14" s="96"/>
      <c r="X14" s="96">
        <f>CEILING(X13*0.95,0.5)</f>
        <v>114.5</v>
      </c>
      <c r="Y14" s="96"/>
      <c r="Z14" s="96"/>
      <c r="AA14" s="96"/>
      <c r="AB14" s="10"/>
      <c r="AC14" s="10"/>
      <c r="AD14" s="10"/>
      <c r="AE14" s="10"/>
      <c r="AF14" s="49"/>
      <c r="AG14" s="202"/>
      <c r="AH14" s="202"/>
      <c r="AI14" s="202"/>
      <c r="AJ14" s="202"/>
      <c r="AK14" s="202"/>
      <c r="AL14" s="94"/>
      <c r="AM14" s="94"/>
      <c r="AN14" s="94"/>
      <c r="AO14" s="97"/>
      <c r="AP14" s="97"/>
      <c r="AQ14" s="97"/>
      <c r="AR14" s="97"/>
      <c r="AS14" s="97"/>
      <c r="AT14" s="98" t="s">
        <v>11</v>
      </c>
      <c r="AU14" s="98"/>
      <c r="AV14" s="96">
        <f>CEILING(AV13*0.95,0.5)</f>
        <v>110.5</v>
      </c>
      <c r="AW14" s="96"/>
      <c r="AX14" s="96"/>
      <c r="AY14" s="96"/>
      <c r="AZ14" s="96">
        <f>CEILING(AZ13*0.95,0.5)</f>
        <v>122</v>
      </c>
      <c r="BA14" s="96"/>
      <c r="BB14" s="96"/>
      <c r="BC14" s="96"/>
      <c r="BD14" s="96">
        <f>CEILING(BD13*0.95,0.5)</f>
        <v>133</v>
      </c>
      <c r="BE14" s="96"/>
      <c r="BF14" s="96"/>
      <c r="BG14" s="96"/>
      <c r="BH14" s="10"/>
      <c r="BI14" s="10"/>
      <c r="BJ14" s="10"/>
      <c r="BK14" s="10"/>
    </row>
    <row r="15" spans="1:63" ht="16.5" customHeight="1">
      <c r="A15" s="202"/>
      <c r="B15" s="202"/>
      <c r="C15" s="202"/>
      <c r="D15" s="202"/>
      <c r="E15" s="202"/>
      <c r="F15" s="94"/>
      <c r="G15" s="94"/>
      <c r="H15" s="94"/>
      <c r="I15" s="97"/>
      <c r="J15" s="97"/>
      <c r="K15" s="97"/>
      <c r="L15" s="97"/>
      <c r="M15" s="97"/>
      <c r="N15" s="98" t="s">
        <v>12</v>
      </c>
      <c r="O15" s="98"/>
      <c r="P15" s="96">
        <f>CEILING(P12*0.35+5,0.5)</f>
        <v>88</v>
      </c>
      <c r="Q15" s="96"/>
      <c r="R15" s="96"/>
      <c r="S15" s="96"/>
      <c r="T15" s="96">
        <f>CEILING(T12*0.35+5,0.5)</f>
        <v>98.5</v>
      </c>
      <c r="U15" s="96"/>
      <c r="V15" s="96"/>
      <c r="W15" s="96"/>
      <c r="X15" s="96">
        <f>CEILING(X12*0.35+5,0.5)</f>
        <v>109</v>
      </c>
      <c r="Y15" s="96"/>
      <c r="Z15" s="96"/>
      <c r="AA15" s="96"/>
      <c r="AB15" s="10"/>
      <c r="AC15" s="10"/>
      <c r="AD15" s="10"/>
      <c r="AE15" s="10"/>
      <c r="AF15" s="49"/>
      <c r="AG15" s="202"/>
      <c r="AH15" s="202"/>
      <c r="AI15" s="202"/>
      <c r="AJ15" s="202"/>
      <c r="AK15" s="202"/>
      <c r="AL15" s="94"/>
      <c r="AM15" s="94"/>
      <c r="AN15" s="94"/>
      <c r="AO15" s="97"/>
      <c r="AP15" s="97"/>
      <c r="AQ15" s="97"/>
      <c r="AR15" s="97"/>
      <c r="AS15" s="97"/>
      <c r="AT15" s="98" t="s">
        <v>12</v>
      </c>
      <c r="AU15" s="98"/>
      <c r="AV15" s="96">
        <f>CEILING(AV12*0.4+5,0.5)</f>
        <v>102.5</v>
      </c>
      <c r="AW15" s="96"/>
      <c r="AX15" s="96"/>
      <c r="AY15" s="96"/>
      <c r="AZ15" s="96">
        <f>CEILING(AZ12*0.4+5,0.5)</f>
        <v>114.5</v>
      </c>
      <c r="BA15" s="96"/>
      <c r="BB15" s="96"/>
      <c r="BC15" s="96"/>
      <c r="BD15" s="96">
        <f>CEILING(BD12*0.4+5,0.5)</f>
        <v>126.5</v>
      </c>
      <c r="BE15" s="96"/>
      <c r="BF15" s="96"/>
      <c r="BG15" s="96"/>
      <c r="BH15" s="10"/>
      <c r="BI15" s="10"/>
      <c r="BJ15" s="10"/>
      <c r="BK15" s="10"/>
    </row>
    <row r="16" spans="1:63" ht="16.5" customHeight="1">
      <c r="A16" s="202"/>
      <c r="B16" s="202"/>
      <c r="C16" s="202"/>
      <c r="D16" s="202"/>
      <c r="E16" s="202"/>
      <c r="F16" s="94"/>
      <c r="G16" s="94"/>
      <c r="H16" s="94"/>
      <c r="I16" s="156" t="s">
        <v>15</v>
      </c>
      <c r="J16" s="156"/>
      <c r="K16" s="156"/>
      <c r="L16" s="156"/>
      <c r="M16" s="156"/>
      <c r="N16" s="100" t="s">
        <v>10</v>
      </c>
      <c r="O16" s="100"/>
      <c r="P16" s="247">
        <f>P22+10</f>
        <v>259</v>
      </c>
      <c r="Q16" s="247"/>
      <c r="R16" s="247"/>
      <c r="S16" s="247"/>
      <c r="T16" s="247">
        <f>P16+15</f>
        <v>274</v>
      </c>
      <c r="U16" s="247"/>
      <c r="V16" s="247"/>
      <c r="W16" s="247"/>
      <c r="X16" s="247">
        <f>T16+15</f>
        <v>289</v>
      </c>
      <c r="Y16" s="247"/>
      <c r="Z16" s="247"/>
      <c r="AA16" s="247"/>
      <c r="AB16" s="10"/>
      <c r="AC16" s="10"/>
      <c r="AD16" s="10"/>
      <c r="AE16" s="10"/>
      <c r="AF16" s="49"/>
      <c r="AG16" s="202"/>
      <c r="AH16" s="202"/>
      <c r="AI16" s="202"/>
      <c r="AJ16" s="202"/>
      <c r="AK16" s="202"/>
      <c r="AL16" s="94"/>
      <c r="AM16" s="94"/>
      <c r="AN16" s="94"/>
      <c r="AO16" s="156" t="s">
        <v>15</v>
      </c>
      <c r="AP16" s="156"/>
      <c r="AQ16" s="156"/>
      <c r="AR16" s="156"/>
      <c r="AS16" s="156"/>
      <c r="AT16" s="100" t="s">
        <v>10</v>
      </c>
      <c r="AU16" s="100"/>
      <c r="AV16" s="247">
        <f>AV22+10</f>
        <v>267</v>
      </c>
      <c r="AW16" s="247"/>
      <c r="AX16" s="247"/>
      <c r="AY16" s="247"/>
      <c r="AZ16" s="247">
        <f>AV16+15</f>
        <v>282</v>
      </c>
      <c r="BA16" s="247"/>
      <c r="BB16" s="247"/>
      <c r="BC16" s="247"/>
      <c r="BD16" s="247">
        <f>AZ16+15</f>
        <v>297</v>
      </c>
      <c r="BE16" s="247"/>
      <c r="BF16" s="247"/>
      <c r="BG16" s="247"/>
      <c r="BH16" s="10"/>
      <c r="BI16" s="10"/>
      <c r="BJ16" s="10"/>
      <c r="BK16" s="10"/>
    </row>
    <row r="17" spans="1:63" ht="16.5" customHeight="1">
      <c r="A17" s="202"/>
      <c r="B17" s="202"/>
      <c r="C17" s="202"/>
      <c r="D17" s="202"/>
      <c r="E17" s="202"/>
      <c r="F17" s="94"/>
      <c r="G17" s="94"/>
      <c r="H17" s="94"/>
      <c r="I17" s="156"/>
      <c r="J17" s="156"/>
      <c r="K17" s="156"/>
      <c r="L17" s="156"/>
      <c r="M17" s="156"/>
      <c r="N17" s="100" t="s">
        <v>11</v>
      </c>
      <c r="O17" s="100"/>
      <c r="P17" s="247">
        <f>CEILING(P16*0.95,0.5)</f>
        <v>246.5</v>
      </c>
      <c r="Q17" s="247"/>
      <c r="R17" s="247"/>
      <c r="S17" s="247"/>
      <c r="T17" s="247">
        <f>CEILING(T16*0.95,0.5)</f>
        <v>260.5</v>
      </c>
      <c r="U17" s="247"/>
      <c r="V17" s="247"/>
      <c r="W17" s="247"/>
      <c r="X17" s="247">
        <f>CEILING(X16*0.95,0.5)</f>
        <v>275</v>
      </c>
      <c r="Y17" s="247"/>
      <c r="Z17" s="247"/>
      <c r="AA17" s="247"/>
      <c r="AB17" s="10"/>
      <c r="AC17" s="10"/>
      <c r="AD17" s="10"/>
      <c r="AE17" s="10"/>
      <c r="AF17" s="49"/>
      <c r="AG17" s="202"/>
      <c r="AH17" s="202"/>
      <c r="AI17" s="202"/>
      <c r="AJ17" s="202"/>
      <c r="AK17" s="202"/>
      <c r="AL17" s="94"/>
      <c r="AM17" s="94"/>
      <c r="AN17" s="94"/>
      <c r="AO17" s="156"/>
      <c r="AP17" s="156"/>
      <c r="AQ17" s="156"/>
      <c r="AR17" s="156"/>
      <c r="AS17" s="156"/>
      <c r="AT17" s="100" t="s">
        <v>11</v>
      </c>
      <c r="AU17" s="100"/>
      <c r="AV17" s="247">
        <f>CEILING(AV16*0.95,0.5)</f>
        <v>254</v>
      </c>
      <c r="AW17" s="247"/>
      <c r="AX17" s="247"/>
      <c r="AY17" s="247"/>
      <c r="AZ17" s="247">
        <f>CEILING(AZ16*0.95,0.5)</f>
        <v>268</v>
      </c>
      <c r="BA17" s="247"/>
      <c r="BB17" s="247"/>
      <c r="BC17" s="247"/>
      <c r="BD17" s="247">
        <f>CEILING(BD16*0.95,0.5)</f>
        <v>282.5</v>
      </c>
      <c r="BE17" s="247"/>
      <c r="BF17" s="247"/>
      <c r="BG17" s="247"/>
      <c r="BH17" s="10"/>
      <c r="BI17" s="10"/>
      <c r="BJ17" s="10"/>
      <c r="BK17" s="10"/>
    </row>
    <row r="18" spans="1:63" ht="16.5" customHeight="1">
      <c r="A18" s="202"/>
      <c r="B18" s="202"/>
      <c r="C18" s="202"/>
      <c r="D18" s="202"/>
      <c r="E18" s="202"/>
      <c r="F18" s="94"/>
      <c r="G18" s="94"/>
      <c r="H18" s="94"/>
      <c r="I18" s="156"/>
      <c r="J18" s="156"/>
      <c r="K18" s="156"/>
      <c r="L18" s="156"/>
      <c r="M18" s="156"/>
      <c r="N18" s="100" t="s">
        <v>12</v>
      </c>
      <c r="O18" s="100"/>
      <c r="P18" s="247">
        <f>P24+10</f>
        <v>226.5</v>
      </c>
      <c r="Q18" s="247"/>
      <c r="R18" s="247"/>
      <c r="S18" s="247"/>
      <c r="T18" s="247">
        <f>P18+15</f>
        <v>241.5</v>
      </c>
      <c r="U18" s="247"/>
      <c r="V18" s="247"/>
      <c r="W18" s="247"/>
      <c r="X18" s="247">
        <f>T18+15</f>
        <v>256.5</v>
      </c>
      <c r="Y18" s="247"/>
      <c r="Z18" s="247"/>
      <c r="AA18" s="247"/>
      <c r="AB18" s="10"/>
      <c r="AC18" s="10"/>
      <c r="AD18" s="10"/>
      <c r="AE18" s="10"/>
      <c r="AF18" s="49"/>
      <c r="AG18" s="202"/>
      <c r="AH18" s="202"/>
      <c r="AI18" s="202"/>
      <c r="AJ18" s="202"/>
      <c r="AK18" s="202"/>
      <c r="AL18" s="94"/>
      <c r="AM18" s="94"/>
      <c r="AN18" s="94"/>
      <c r="AO18" s="156"/>
      <c r="AP18" s="156"/>
      <c r="AQ18" s="156"/>
      <c r="AR18" s="156"/>
      <c r="AS18" s="156"/>
      <c r="AT18" s="100" t="s">
        <v>12</v>
      </c>
      <c r="AU18" s="100"/>
      <c r="AV18" s="247">
        <f>AV24+10</f>
        <v>233</v>
      </c>
      <c r="AW18" s="247"/>
      <c r="AX18" s="247"/>
      <c r="AY18" s="247"/>
      <c r="AZ18" s="247">
        <f>AV18+15</f>
        <v>248</v>
      </c>
      <c r="BA18" s="247"/>
      <c r="BB18" s="247"/>
      <c r="BC18" s="247"/>
      <c r="BD18" s="247">
        <f>AZ18+15</f>
        <v>263</v>
      </c>
      <c r="BE18" s="247"/>
      <c r="BF18" s="247"/>
      <c r="BG18" s="247"/>
      <c r="BH18" s="10"/>
      <c r="BI18" s="10"/>
      <c r="BJ18" s="10"/>
      <c r="BK18" s="10"/>
    </row>
    <row r="19" spans="1:63" ht="16.5" customHeight="1">
      <c r="A19" s="202"/>
      <c r="B19" s="202"/>
      <c r="C19" s="202"/>
      <c r="D19" s="202"/>
      <c r="E19" s="202"/>
      <c r="F19" s="94"/>
      <c r="G19" s="94"/>
      <c r="H19" s="94"/>
      <c r="I19" s="97" t="s">
        <v>16</v>
      </c>
      <c r="J19" s="97"/>
      <c r="K19" s="97"/>
      <c r="L19" s="97"/>
      <c r="M19" s="97"/>
      <c r="N19" s="98" t="s">
        <v>58</v>
      </c>
      <c r="O19" s="98"/>
      <c r="P19" s="96">
        <f>CEILING(P16*0.35+5,0.5)</f>
        <v>96</v>
      </c>
      <c r="Q19" s="96"/>
      <c r="R19" s="96"/>
      <c r="S19" s="96"/>
      <c r="T19" s="96">
        <f>CEILING(T16*0.35+5,0.5)</f>
        <v>101</v>
      </c>
      <c r="U19" s="96"/>
      <c r="V19" s="96"/>
      <c r="W19" s="96"/>
      <c r="X19" s="96">
        <f>CEILING(X16*0.35+5,0.5)</f>
        <v>106.5</v>
      </c>
      <c r="Y19" s="96"/>
      <c r="Z19" s="96"/>
      <c r="AA19" s="96"/>
      <c r="AB19" s="10"/>
      <c r="AC19" s="10"/>
      <c r="AD19" s="10"/>
      <c r="AE19" s="10"/>
      <c r="AF19" s="49"/>
      <c r="AG19" s="202"/>
      <c r="AH19" s="202"/>
      <c r="AI19" s="202"/>
      <c r="AJ19" s="202"/>
      <c r="AK19" s="202"/>
      <c r="AL19" s="94"/>
      <c r="AM19" s="94"/>
      <c r="AN19" s="94"/>
      <c r="AO19" s="97" t="s">
        <v>64</v>
      </c>
      <c r="AP19" s="97"/>
      <c r="AQ19" s="97"/>
      <c r="AR19" s="97"/>
      <c r="AS19" s="97"/>
      <c r="AT19" s="98" t="s">
        <v>58</v>
      </c>
      <c r="AU19" s="98"/>
      <c r="AV19" s="96">
        <f>CEILING(AV16*0.4+5,0.5)</f>
        <v>112</v>
      </c>
      <c r="AW19" s="96"/>
      <c r="AX19" s="96"/>
      <c r="AY19" s="96"/>
      <c r="AZ19" s="96">
        <f>CEILING(AZ16*0.4+5,0.5)</f>
        <v>118</v>
      </c>
      <c r="BA19" s="96"/>
      <c r="BB19" s="96"/>
      <c r="BC19" s="96"/>
      <c r="BD19" s="96">
        <f>CEILING(BD16*0.4+5,0.5)</f>
        <v>124</v>
      </c>
      <c r="BE19" s="96"/>
      <c r="BF19" s="96"/>
      <c r="BG19" s="96"/>
      <c r="BH19" s="10"/>
      <c r="BI19" s="10"/>
      <c r="BJ19" s="10"/>
      <c r="BK19" s="10"/>
    </row>
    <row r="20" spans="1:63" ht="16.5" customHeight="1">
      <c r="A20" s="202"/>
      <c r="B20" s="202"/>
      <c r="C20" s="202"/>
      <c r="D20" s="202"/>
      <c r="E20" s="202"/>
      <c r="F20" s="94"/>
      <c r="G20" s="94"/>
      <c r="H20" s="94"/>
      <c r="I20" s="97"/>
      <c r="J20" s="97"/>
      <c r="K20" s="97"/>
      <c r="L20" s="97"/>
      <c r="M20" s="97"/>
      <c r="N20" s="98" t="s">
        <v>11</v>
      </c>
      <c r="O20" s="98"/>
      <c r="P20" s="96">
        <f>CEILING(P19*0.95,0.5)</f>
        <v>91.5</v>
      </c>
      <c r="Q20" s="96"/>
      <c r="R20" s="96"/>
      <c r="S20" s="96"/>
      <c r="T20" s="96">
        <f>CEILING(T19*0.95,0.5)</f>
        <v>96</v>
      </c>
      <c r="U20" s="96"/>
      <c r="V20" s="96"/>
      <c r="W20" s="96"/>
      <c r="X20" s="96">
        <f>CEILING(X19*0.95,0.5)</f>
        <v>101.5</v>
      </c>
      <c r="Y20" s="96"/>
      <c r="Z20" s="96"/>
      <c r="AA20" s="96"/>
      <c r="AB20" s="10"/>
      <c r="AC20" s="10"/>
      <c r="AD20" s="10"/>
      <c r="AE20" s="10"/>
      <c r="AF20" s="49"/>
      <c r="AG20" s="202"/>
      <c r="AH20" s="202"/>
      <c r="AI20" s="202"/>
      <c r="AJ20" s="202"/>
      <c r="AK20" s="202"/>
      <c r="AL20" s="94"/>
      <c r="AM20" s="94"/>
      <c r="AN20" s="94"/>
      <c r="AO20" s="97"/>
      <c r="AP20" s="97"/>
      <c r="AQ20" s="97"/>
      <c r="AR20" s="97"/>
      <c r="AS20" s="97"/>
      <c r="AT20" s="98" t="s">
        <v>11</v>
      </c>
      <c r="AU20" s="98"/>
      <c r="AV20" s="96">
        <f>CEILING(AV19*0.95,0.5)</f>
        <v>106.5</v>
      </c>
      <c r="AW20" s="96"/>
      <c r="AX20" s="96"/>
      <c r="AY20" s="96"/>
      <c r="AZ20" s="96">
        <f>CEILING(AZ19*0.95,0.5)</f>
        <v>112.5</v>
      </c>
      <c r="BA20" s="96"/>
      <c r="BB20" s="96"/>
      <c r="BC20" s="96"/>
      <c r="BD20" s="96">
        <f>CEILING(BD19*0.95,0.5)</f>
        <v>118</v>
      </c>
      <c r="BE20" s="96"/>
      <c r="BF20" s="96"/>
      <c r="BG20" s="96"/>
      <c r="BH20" s="10"/>
      <c r="BI20" s="10"/>
      <c r="BJ20" s="10"/>
      <c r="BK20" s="10"/>
    </row>
    <row r="21" spans="1:63" ht="16.5" customHeight="1">
      <c r="A21" s="202"/>
      <c r="B21" s="202"/>
      <c r="C21" s="202"/>
      <c r="D21" s="202"/>
      <c r="E21" s="202"/>
      <c r="F21" s="94"/>
      <c r="G21" s="94"/>
      <c r="H21" s="94"/>
      <c r="I21" s="97"/>
      <c r="J21" s="97"/>
      <c r="K21" s="97"/>
      <c r="L21" s="97"/>
      <c r="M21" s="97"/>
      <c r="N21" s="98" t="s">
        <v>12</v>
      </c>
      <c r="O21" s="98"/>
      <c r="P21" s="96">
        <f>CEILING(P18*0.35+5,0.5)</f>
        <v>84.5</v>
      </c>
      <c r="Q21" s="96"/>
      <c r="R21" s="96"/>
      <c r="S21" s="96"/>
      <c r="T21" s="96">
        <f>CEILING(T18*0.35+5,0.5)</f>
        <v>90</v>
      </c>
      <c r="U21" s="96"/>
      <c r="V21" s="96"/>
      <c r="W21" s="96"/>
      <c r="X21" s="96">
        <f>CEILING(X18*0.35+5,0.5)</f>
        <v>95</v>
      </c>
      <c r="Y21" s="96"/>
      <c r="Z21" s="96"/>
      <c r="AA21" s="96"/>
      <c r="AB21" s="10"/>
      <c r="AC21" s="10"/>
      <c r="AD21" s="10"/>
      <c r="AE21" s="10"/>
      <c r="AF21" s="49"/>
      <c r="AG21" s="202"/>
      <c r="AH21" s="202"/>
      <c r="AI21" s="202"/>
      <c r="AJ21" s="202"/>
      <c r="AK21" s="202"/>
      <c r="AL21" s="94"/>
      <c r="AM21" s="94"/>
      <c r="AN21" s="94"/>
      <c r="AO21" s="97"/>
      <c r="AP21" s="97"/>
      <c r="AQ21" s="97"/>
      <c r="AR21" s="97"/>
      <c r="AS21" s="97"/>
      <c r="AT21" s="98" t="s">
        <v>12</v>
      </c>
      <c r="AU21" s="98"/>
      <c r="AV21" s="96">
        <f>CEILING(AV18*0.4+5,0.5)</f>
        <v>98.5</v>
      </c>
      <c r="AW21" s="96"/>
      <c r="AX21" s="96"/>
      <c r="AY21" s="96"/>
      <c r="AZ21" s="96">
        <f>CEILING(AZ18*0.4+5,0.5)</f>
        <v>104.5</v>
      </c>
      <c r="BA21" s="96"/>
      <c r="BB21" s="96"/>
      <c r="BC21" s="96"/>
      <c r="BD21" s="96">
        <f>CEILING(BD18*0.4+5,0.5)</f>
        <v>110.5</v>
      </c>
      <c r="BE21" s="96"/>
      <c r="BF21" s="96"/>
      <c r="BG21" s="96"/>
      <c r="BH21" s="10"/>
      <c r="BI21" s="10"/>
      <c r="BJ21" s="10"/>
      <c r="BK21" s="10"/>
    </row>
    <row r="22" spans="1:63" ht="16.5" customHeight="1">
      <c r="A22" s="202"/>
      <c r="B22" s="202"/>
      <c r="C22" s="202"/>
      <c r="D22" s="202"/>
      <c r="E22" s="202"/>
      <c r="F22" s="94"/>
      <c r="G22" s="94"/>
      <c r="H22" s="94"/>
      <c r="I22" s="156" t="s">
        <v>18</v>
      </c>
      <c r="J22" s="156"/>
      <c r="K22" s="156"/>
      <c r="L22" s="156"/>
      <c r="M22" s="156"/>
      <c r="N22" s="100" t="s">
        <v>10</v>
      </c>
      <c r="O22" s="100"/>
      <c r="P22" s="248">
        <f>CEILING(191.5*1.3,0.5)</f>
        <v>249</v>
      </c>
      <c r="Q22" s="248"/>
      <c r="R22" s="248"/>
      <c r="S22" s="248"/>
      <c r="T22" s="247">
        <f>P22+10</f>
        <v>259</v>
      </c>
      <c r="U22" s="247"/>
      <c r="V22" s="247"/>
      <c r="W22" s="247"/>
      <c r="X22" s="247">
        <f>T22+10</f>
        <v>269</v>
      </c>
      <c r="Y22" s="247"/>
      <c r="Z22" s="247"/>
      <c r="AA22" s="247"/>
      <c r="AB22" s="10"/>
      <c r="AC22" s="10"/>
      <c r="AD22" s="10"/>
      <c r="AE22" s="10"/>
      <c r="AF22" s="49"/>
      <c r="AG22" s="202"/>
      <c r="AH22" s="202"/>
      <c r="AI22" s="202"/>
      <c r="AJ22" s="202"/>
      <c r="AK22" s="202"/>
      <c r="AL22" s="94"/>
      <c r="AM22" s="94"/>
      <c r="AN22" s="94"/>
      <c r="AO22" s="156" t="s">
        <v>18</v>
      </c>
      <c r="AP22" s="156"/>
      <c r="AQ22" s="156"/>
      <c r="AR22" s="156"/>
      <c r="AS22" s="156"/>
      <c r="AT22" s="100" t="s">
        <v>10</v>
      </c>
      <c r="AU22" s="100"/>
      <c r="AV22" s="248">
        <f>CEILING(197.5*1.3,0.5)</f>
        <v>257</v>
      </c>
      <c r="AW22" s="248"/>
      <c r="AX22" s="248"/>
      <c r="AY22" s="248"/>
      <c r="AZ22" s="247">
        <f>AV22+10</f>
        <v>267</v>
      </c>
      <c r="BA22" s="247"/>
      <c r="BB22" s="247"/>
      <c r="BC22" s="247"/>
      <c r="BD22" s="247">
        <f>AZ22+10</f>
        <v>277</v>
      </c>
      <c r="BE22" s="247"/>
      <c r="BF22" s="247"/>
      <c r="BG22" s="247"/>
    </row>
    <row r="23" spans="1:63" ht="16.5" customHeight="1">
      <c r="A23" s="202"/>
      <c r="B23" s="202"/>
      <c r="C23" s="202"/>
      <c r="D23" s="202"/>
      <c r="E23" s="202"/>
      <c r="F23" s="94"/>
      <c r="G23" s="94"/>
      <c r="H23" s="94"/>
      <c r="I23" s="156"/>
      <c r="J23" s="156"/>
      <c r="K23" s="156"/>
      <c r="L23" s="156"/>
      <c r="M23" s="156"/>
      <c r="N23" s="100" t="s">
        <v>11</v>
      </c>
      <c r="O23" s="100"/>
      <c r="P23" s="247">
        <f>CEILING(P22*0.95,0.5)</f>
        <v>237</v>
      </c>
      <c r="Q23" s="247"/>
      <c r="R23" s="247"/>
      <c r="S23" s="247"/>
      <c r="T23" s="247">
        <f>CEILING(T22*0.95,0.5)</f>
        <v>246.5</v>
      </c>
      <c r="U23" s="247"/>
      <c r="V23" s="247"/>
      <c r="W23" s="247"/>
      <c r="X23" s="247">
        <f>CEILING(X22*0.95,0.5)</f>
        <v>256</v>
      </c>
      <c r="Y23" s="247"/>
      <c r="Z23" s="247"/>
      <c r="AA23" s="247"/>
      <c r="AB23" s="10"/>
      <c r="AC23" s="10"/>
      <c r="AD23" s="10"/>
      <c r="AE23" s="10"/>
      <c r="AF23" s="49"/>
      <c r="AG23" s="202"/>
      <c r="AH23" s="202"/>
      <c r="AI23" s="202"/>
      <c r="AJ23" s="202"/>
      <c r="AK23" s="202"/>
      <c r="AL23" s="94"/>
      <c r="AM23" s="94"/>
      <c r="AN23" s="94"/>
      <c r="AO23" s="156"/>
      <c r="AP23" s="156"/>
      <c r="AQ23" s="156"/>
      <c r="AR23" s="156"/>
      <c r="AS23" s="156"/>
      <c r="AT23" s="100" t="s">
        <v>11</v>
      </c>
      <c r="AU23" s="100"/>
      <c r="AV23" s="247">
        <f>CEILING(AV22*0.95,0.5)</f>
        <v>244.5</v>
      </c>
      <c r="AW23" s="247"/>
      <c r="AX23" s="247"/>
      <c r="AY23" s="247"/>
      <c r="AZ23" s="247">
        <f>CEILING(AZ22*0.95,0.5)</f>
        <v>254</v>
      </c>
      <c r="BA23" s="247"/>
      <c r="BB23" s="247"/>
      <c r="BC23" s="247"/>
      <c r="BD23" s="247">
        <f>CEILING(BD22*0.95,0.5)</f>
        <v>263.5</v>
      </c>
      <c r="BE23" s="247"/>
      <c r="BF23" s="247"/>
      <c r="BG23" s="247"/>
    </row>
    <row r="24" spans="1:63" ht="16.5" customHeight="1">
      <c r="A24" s="202"/>
      <c r="B24" s="202"/>
      <c r="C24" s="202"/>
      <c r="D24" s="202"/>
      <c r="E24" s="202"/>
      <c r="F24" s="94"/>
      <c r="G24" s="94"/>
      <c r="H24" s="94"/>
      <c r="I24" s="156"/>
      <c r="J24" s="156"/>
      <c r="K24" s="156"/>
      <c r="L24" s="156"/>
      <c r="M24" s="156"/>
      <c r="N24" s="100" t="s">
        <v>12</v>
      </c>
      <c r="O24" s="100"/>
      <c r="P24" s="248">
        <f>CEILING(166.5*1.3,0.5)</f>
        <v>216.5</v>
      </c>
      <c r="Q24" s="248"/>
      <c r="R24" s="248"/>
      <c r="S24" s="248"/>
      <c r="T24" s="247">
        <f>P24+10</f>
        <v>226.5</v>
      </c>
      <c r="U24" s="247"/>
      <c r="V24" s="247"/>
      <c r="W24" s="247"/>
      <c r="X24" s="247">
        <f>T24+10</f>
        <v>236.5</v>
      </c>
      <c r="Y24" s="247"/>
      <c r="Z24" s="247"/>
      <c r="AA24" s="247"/>
      <c r="AB24" s="10"/>
      <c r="AC24" s="10"/>
      <c r="AD24" s="10"/>
      <c r="AE24" s="10"/>
      <c r="AF24" s="49"/>
      <c r="AG24" s="202"/>
      <c r="AH24" s="202"/>
      <c r="AI24" s="202"/>
      <c r="AJ24" s="202"/>
      <c r="AK24" s="202"/>
      <c r="AL24" s="94"/>
      <c r="AM24" s="94"/>
      <c r="AN24" s="94"/>
      <c r="AO24" s="156"/>
      <c r="AP24" s="156"/>
      <c r="AQ24" s="156"/>
      <c r="AR24" s="156"/>
      <c r="AS24" s="156"/>
      <c r="AT24" s="100" t="s">
        <v>12</v>
      </c>
      <c r="AU24" s="100"/>
      <c r="AV24" s="248">
        <f>CEILING(171.5*1.3,0.5)</f>
        <v>223</v>
      </c>
      <c r="AW24" s="248"/>
      <c r="AX24" s="248"/>
      <c r="AY24" s="248"/>
      <c r="AZ24" s="247">
        <f>AV24+10</f>
        <v>233</v>
      </c>
      <c r="BA24" s="247"/>
      <c r="BB24" s="247"/>
      <c r="BC24" s="247"/>
      <c r="BD24" s="247">
        <f>AZ24+10</f>
        <v>243</v>
      </c>
      <c r="BE24" s="247"/>
      <c r="BF24" s="247"/>
      <c r="BG24" s="247"/>
    </row>
    <row r="25" spans="1:63" ht="16.5" customHeight="1">
      <c r="A25" s="202"/>
      <c r="B25" s="202"/>
      <c r="C25" s="202"/>
      <c r="D25" s="202"/>
      <c r="E25" s="202"/>
      <c r="F25" s="94"/>
      <c r="G25" s="94"/>
      <c r="H25" s="94"/>
      <c r="I25" s="97" t="s">
        <v>19</v>
      </c>
      <c r="J25" s="97"/>
      <c r="K25" s="97"/>
      <c r="L25" s="97"/>
      <c r="M25" s="97"/>
      <c r="N25" s="98" t="s">
        <v>58</v>
      </c>
      <c r="O25" s="98"/>
      <c r="P25" s="96">
        <f>CEILING(P22*0.35+5,0.5)</f>
        <v>92.5</v>
      </c>
      <c r="Q25" s="96"/>
      <c r="R25" s="96"/>
      <c r="S25" s="96"/>
      <c r="T25" s="96">
        <f>CEILING(T22*0.35+5,0.5)</f>
        <v>96</v>
      </c>
      <c r="U25" s="96"/>
      <c r="V25" s="96"/>
      <c r="W25" s="96"/>
      <c r="X25" s="96">
        <f>CEILING(X22*0.35+5,0.5)</f>
        <v>99.5</v>
      </c>
      <c r="Y25" s="96"/>
      <c r="Z25" s="96"/>
      <c r="AA25" s="96"/>
      <c r="AB25" s="10"/>
      <c r="AC25" s="10"/>
      <c r="AD25" s="10"/>
      <c r="AE25" s="10"/>
      <c r="AF25" s="49"/>
      <c r="AG25" s="202"/>
      <c r="AH25" s="202"/>
      <c r="AI25" s="202"/>
      <c r="AJ25" s="202"/>
      <c r="AK25" s="202"/>
      <c r="AL25" s="94"/>
      <c r="AM25" s="94"/>
      <c r="AN25" s="94"/>
      <c r="AO25" s="97" t="s">
        <v>65</v>
      </c>
      <c r="AP25" s="97"/>
      <c r="AQ25" s="97"/>
      <c r="AR25" s="97"/>
      <c r="AS25" s="97"/>
      <c r="AT25" s="98" t="s">
        <v>58</v>
      </c>
      <c r="AU25" s="98"/>
      <c r="AV25" s="96">
        <f>CEILING(AV22*0.4+5,0.5)</f>
        <v>108</v>
      </c>
      <c r="AW25" s="96"/>
      <c r="AX25" s="96"/>
      <c r="AY25" s="96"/>
      <c r="AZ25" s="96">
        <f>CEILING(AZ22*0.4+5,0.5)</f>
        <v>112</v>
      </c>
      <c r="BA25" s="96"/>
      <c r="BB25" s="96"/>
      <c r="BC25" s="96"/>
      <c r="BD25" s="96">
        <f>CEILING(BD22*0.4+5,0.5)</f>
        <v>116</v>
      </c>
      <c r="BE25" s="96"/>
      <c r="BF25" s="96"/>
      <c r="BG25" s="96"/>
    </row>
    <row r="26" spans="1:63" ht="16.5" customHeight="1">
      <c r="A26" s="202"/>
      <c r="B26" s="202"/>
      <c r="C26" s="202"/>
      <c r="D26" s="202"/>
      <c r="E26" s="202"/>
      <c r="F26" s="94"/>
      <c r="G26" s="94"/>
      <c r="H26" s="94"/>
      <c r="I26" s="97"/>
      <c r="J26" s="97"/>
      <c r="K26" s="97"/>
      <c r="L26" s="97"/>
      <c r="M26" s="97"/>
      <c r="N26" s="98" t="s">
        <v>11</v>
      </c>
      <c r="O26" s="98"/>
      <c r="P26" s="96">
        <f>CEILING(P25*0.95,0.5)</f>
        <v>88</v>
      </c>
      <c r="Q26" s="96"/>
      <c r="R26" s="96"/>
      <c r="S26" s="96"/>
      <c r="T26" s="96">
        <f>CEILING(T25*0.95,0.5)</f>
        <v>91.5</v>
      </c>
      <c r="U26" s="96"/>
      <c r="V26" s="96"/>
      <c r="W26" s="96"/>
      <c r="X26" s="96">
        <f>CEILING(X25*0.95,0.5)</f>
        <v>95</v>
      </c>
      <c r="Y26" s="96"/>
      <c r="Z26" s="96"/>
      <c r="AA26" s="96"/>
      <c r="AB26" s="10"/>
      <c r="AC26" s="10"/>
      <c r="AD26" s="10"/>
      <c r="AE26" s="10"/>
      <c r="AF26" s="49"/>
      <c r="AG26" s="202"/>
      <c r="AH26" s="202"/>
      <c r="AI26" s="202"/>
      <c r="AJ26" s="202"/>
      <c r="AK26" s="202"/>
      <c r="AL26" s="94"/>
      <c r="AM26" s="94"/>
      <c r="AN26" s="94"/>
      <c r="AO26" s="97"/>
      <c r="AP26" s="97"/>
      <c r="AQ26" s="97"/>
      <c r="AR26" s="97"/>
      <c r="AS26" s="97"/>
      <c r="AT26" s="98" t="s">
        <v>11</v>
      </c>
      <c r="AU26" s="98"/>
      <c r="AV26" s="96">
        <f>CEILING(AV25*0.95,0.5)</f>
        <v>103</v>
      </c>
      <c r="AW26" s="96"/>
      <c r="AX26" s="96"/>
      <c r="AY26" s="96"/>
      <c r="AZ26" s="96">
        <f>CEILING(AZ25*0.95,0.5)</f>
        <v>106.5</v>
      </c>
      <c r="BA26" s="96"/>
      <c r="BB26" s="96"/>
      <c r="BC26" s="96"/>
      <c r="BD26" s="96">
        <f>CEILING(BD25*0.95,0.5)</f>
        <v>110.5</v>
      </c>
      <c r="BE26" s="96"/>
      <c r="BF26" s="96"/>
      <c r="BG26" s="96"/>
    </row>
    <row r="27" spans="1:63" ht="16.5" customHeight="1">
      <c r="A27" s="202"/>
      <c r="B27" s="202"/>
      <c r="C27" s="202"/>
      <c r="D27" s="202"/>
      <c r="E27" s="202"/>
      <c r="F27" s="94"/>
      <c r="G27" s="94"/>
      <c r="H27" s="94"/>
      <c r="I27" s="97"/>
      <c r="J27" s="97"/>
      <c r="K27" s="97"/>
      <c r="L27" s="97"/>
      <c r="M27" s="97"/>
      <c r="N27" s="98" t="s">
        <v>12</v>
      </c>
      <c r="O27" s="98"/>
      <c r="P27" s="96">
        <f>CEILING(P24*0.35+5,0.5)</f>
        <v>81</v>
      </c>
      <c r="Q27" s="96"/>
      <c r="R27" s="96"/>
      <c r="S27" s="96"/>
      <c r="T27" s="96">
        <f>CEILING(T24*0.35+5,0.5)</f>
        <v>84.5</v>
      </c>
      <c r="U27" s="96"/>
      <c r="V27" s="96"/>
      <c r="W27" s="96"/>
      <c r="X27" s="96">
        <f>CEILING(X24*0.35+5,0.5)</f>
        <v>88</v>
      </c>
      <c r="Y27" s="96"/>
      <c r="Z27" s="96"/>
      <c r="AA27" s="96"/>
      <c r="AB27" s="10"/>
      <c r="AC27" s="10"/>
      <c r="AD27" s="10"/>
      <c r="AE27" s="10"/>
      <c r="AF27" s="49"/>
      <c r="AG27" s="202"/>
      <c r="AH27" s="202"/>
      <c r="AI27" s="202"/>
      <c r="AJ27" s="202"/>
      <c r="AK27" s="202"/>
      <c r="AL27" s="94"/>
      <c r="AM27" s="94"/>
      <c r="AN27" s="94"/>
      <c r="AO27" s="97"/>
      <c r="AP27" s="97"/>
      <c r="AQ27" s="97"/>
      <c r="AR27" s="97"/>
      <c r="AS27" s="97"/>
      <c r="AT27" s="98" t="s">
        <v>12</v>
      </c>
      <c r="AU27" s="98"/>
      <c r="AV27" s="96">
        <f>CEILING(AV24*0.4+5,0.5)</f>
        <v>94.5</v>
      </c>
      <c r="AW27" s="96"/>
      <c r="AX27" s="96"/>
      <c r="AY27" s="96"/>
      <c r="AZ27" s="96">
        <f>CEILING(AZ24*0.4+5,0.5)</f>
        <v>98.5</v>
      </c>
      <c r="BA27" s="96"/>
      <c r="BB27" s="96"/>
      <c r="BC27" s="96"/>
      <c r="BD27" s="96">
        <f>CEILING(BD24*0.4+5,0.5)</f>
        <v>102.5</v>
      </c>
      <c r="BE27" s="96"/>
      <c r="BF27" s="96"/>
      <c r="BG27" s="96"/>
    </row>
    <row r="28" spans="1:63" ht="16.5" customHeight="1">
      <c r="A28" s="202"/>
      <c r="B28" s="202"/>
      <c r="C28" s="202"/>
      <c r="D28" s="202"/>
      <c r="E28" s="202"/>
      <c r="F28" s="94"/>
      <c r="G28" s="94"/>
      <c r="H28" s="94"/>
      <c r="I28" s="158" t="s">
        <v>21</v>
      </c>
      <c r="J28" s="158"/>
      <c r="K28" s="158"/>
      <c r="L28" s="158"/>
      <c r="M28" s="158"/>
      <c r="N28" s="84" t="s">
        <v>10</v>
      </c>
      <c r="O28" s="84"/>
      <c r="P28" s="249">
        <f>P22-4</f>
        <v>245</v>
      </c>
      <c r="Q28" s="249"/>
      <c r="R28" s="249"/>
      <c r="S28" s="249"/>
      <c r="T28" s="249">
        <f>P28+8</f>
        <v>253</v>
      </c>
      <c r="U28" s="249"/>
      <c r="V28" s="249"/>
      <c r="W28" s="249"/>
      <c r="X28" s="249">
        <f>T28+8</f>
        <v>261</v>
      </c>
      <c r="Y28" s="249"/>
      <c r="Z28" s="249"/>
      <c r="AA28" s="249"/>
      <c r="AB28" s="10"/>
      <c r="AC28" s="10"/>
      <c r="AD28" s="10"/>
      <c r="AE28" s="10"/>
      <c r="AF28" s="49"/>
      <c r="AG28" s="202"/>
      <c r="AH28" s="202"/>
      <c r="AI28" s="202"/>
      <c r="AJ28" s="202"/>
      <c r="AK28" s="202"/>
      <c r="AL28" s="94"/>
      <c r="AM28" s="94"/>
      <c r="AN28" s="94"/>
      <c r="AO28" s="158" t="s">
        <v>21</v>
      </c>
      <c r="AP28" s="158"/>
      <c r="AQ28" s="158"/>
      <c r="AR28" s="158"/>
      <c r="AS28" s="158"/>
      <c r="AT28" s="84" t="s">
        <v>10</v>
      </c>
      <c r="AU28" s="84"/>
      <c r="AV28" s="249">
        <f>AV22-4</f>
        <v>253</v>
      </c>
      <c r="AW28" s="249"/>
      <c r="AX28" s="249"/>
      <c r="AY28" s="249"/>
      <c r="AZ28" s="249">
        <f>AV28+8</f>
        <v>261</v>
      </c>
      <c r="BA28" s="249"/>
      <c r="BB28" s="249"/>
      <c r="BC28" s="249"/>
      <c r="BD28" s="249">
        <f>AZ28+8</f>
        <v>269</v>
      </c>
      <c r="BE28" s="249"/>
      <c r="BF28" s="249"/>
      <c r="BG28" s="249"/>
    </row>
    <row r="29" spans="1:63" ht="16.5" customHeight="1">
      <c r="A29" s="202"/>
      <c r="B29" s="202"/>
      <c r="C29" s="202"/>
      <c r="D29" s="202"/>
      <c r="E29" s="202"/>
      <c r="F29" s="94"/>
      <c r="G29" s="94"/>
      <c r="H29" s="94"/>
      <c r="I29" s="158"/>
      <c r="J29" s="158"/>
      <c r="K29" s="158"/>
      <c r="L29" s="158"/>
      <c r="M29" s="158"/>
      <c r="N29" s="84" t="s">
        <v>11</v>
      </c>
      <c r="O29" s="84"/>
      <c r="P29" s="249">
        <f>CEILING(P28*0.95,0.5)</f>
        <v>233</v>
      </c>
      <c r="Q29" s="249"/>
      <c r="R29" s="249"/>
      <c r="S29" s="249"/>
      <c r="T29" s="249">
        <f>CEILING(T28*0.95,0.5)</f>
        <v>240.5</v>
      </c>
      <c r="U29" s="249"/>
      <c r="V29" s="249"/>
      <c r="W29" s="249"/>
      <c r="X29" s="249">
        <f>CEILING(X28*0.95,0.5)</f>
        <v>248</v>
      </c>
      <c r="Y29" s="249"/>
      <c r="Z29" s="249"/>
      <c r="AA29" s="249"/>
      <c r="AB29" s="10"/>
      <c r="AC29" s="10"/>
      <c r="AD29" s="10"/>
      <c r="AE29" s="10"/>
      <c r="AF29" s="49"/>
      <c r="AG29" s="202"/>
      <c r="AH29" s="202"/>
      <c r="AI29" s="202"/>
      <c r="AJ29" s="202"/>
      <c r="AK29" s="202"/>
      <c r="AL29" s="94"/>
      <c r="AM29" s="94"/>
      <c r="AN29" s="94"/>
      <c r="AO29" s="158"/>
      <c r="AP29" s="158"/>
      <c r="AQ29" s="158"/>
      <c r="AR29" s="158"/>
      <c r="AS29" s="158"/>
      <c r="AT29" s="84" t="s">
        <v>11</v>
      </c>
      <c r="AU29" s="84"/>
      <c r="AV29" s="249">
        <f>CEILING(AV28*0.95,0.5)</f>
        <v>240.5</v>
      </c>
      <c r="AW29" s="249"/>
      <c r="AX29" s="249"/>
      <c r="AY29" s="249"/>
      <c r="AZ29" s="249">
        <f>CEILING(AZ28*0.95,0.5)</f>
        <v>248</v>
      </c>
      <c r="BA29" s="249"/>
      <c r="BB29" s="249"/>
      <c r="BC29" s="249"/>
      <c r="BD29" s="249">
        <f>CEILING(BD28*0.95,0.5)</f>
        <v>256</v>
      </c>
      <c r="BE29" s="249"/>
      <c r="BF29" s="249"/>
      <c r="BG29" s="249"/>
    </row>
    <row r="30" spans="1:63" ht="16.5" customHeight="1">
      <c r="A30" s="202"/>
      <c r="B30" s="202"/>
      <c r="C30" s="202"/>
      <c r="D30" s="202"/>
      <c r="E30" s="202"/>
      <c r="F30" s="94"/>
      <c r="G30" s="94"/>
      <c r="H30" s="94"/>
      <c r="I30" s="158"/>
      <c r="J30" s="158"/>
      <c r="K30" s="158"/>
      <c r="L30" s="158"/>
      <c r="M30" s="158"/>
      <c r="N30" s="84" t="s">
        <v>12</v>
      </c>
      <c r="O30" s="84"/>
      <c r="P30" s="249">
        <f>P24-4</f>
        <v>212.5</v>
      </c>
      <c r="Q30" s="249"/>
      <c r="R30" s="249"/>
      <c r="S30" s="249"/>
      <c r="T30" s="249">
        <f>P30+8</f>
        <v>220.5</v>
      </c>
      <c r="U30" s="249"/>
      <c r="V30" s="249"/>
      <c r="W30" s="249"/>
      <c r="X30" s="249">
        <f>T30+8</f>
        <v>228.5</v>
      </c>
      <c r="Y30" s="249"/>
      <c r="Z30" s="249"/>
      <c r="AA30" s="249"/>
      <c r="AB30" s="10"/>
      <c r="AC30" s="10"/>
      <c r="AD30" s="10"/>
      <c r="AE30" s="10"/>
      <c r="AF30" s="49"/>
      <c r="AG30" s="202"/>
      <c r="AH30" s="202"/>
      <c r="AI30" s="202"/>
      <c r="AJ30" s="202"/>
      <c r="AK30" s="202"/>
      <c r="AL30" s="94"/>
      <c r="AM30" s="94"/>
      <c r="AN30" s="94"/>
      <c r="AO30" s="158"/>
      <c r="AP30" s="158"/>
      <c r="AQ30" s="158"/>
      <c r="AR30" s="158"/>
      <c r="AS30" s="158"/>
      <c r="AT30" s="84" t="s">
        <v>12</v>
      </c>
      <c r="AU30" s="84"/>
      <c r="AV30" s="249">
        <f>AV24-4</f>
        <v>219</v>
      </c>
      <c r="AW30" s="249"/>
      <c r="AX30" s="249"/>
      <c r="AY30" s="249"/>
      <c r="AZ30" s="249">
        <f>AV30+8</f>
        <v>227</v>
      </c>
      <c r="BA30" s="249"/>
      <c r="BB30" s="249"/>
      <c r="BC30" s="249"/>
      <c r="BD30" s="249">
        <f>AZ30+8</f>
        <v>235</v>
      </c>
      <c r="BE30" s="249"/>
      <c r="BF30" s="249"/>
      <c r="BG30" s="249"/>
    </row>
    <row r="31" spans="1:63" ht="16.5" customHeight="1">
      <c r="A31" s="202"/>
      <c r="B31" s="202"/>
      <c r="C31" s="202"/>
      <c r="D31" s="202"/>
      <c r="E31" s="202"/>
      <c r="F31" s="94"/>
      <c r="G31" s="94"/>
      <c r="H31" s="94"/>
      <c r="I31" s="80" t="s">
        <v>22</v>
      </c>
      <c r="J31" s="80"/>
      <c r="K31" s="80"/>
      <c r="L31" s="80"/>
      <c r="M31" s="80"/>
      <c r="N31" s="81" t="s">
        <v>58</v>
      </c>
      <c r="O31" s="81"/>
      <c r="P31" s="89">
        <f>CEILING(P28*0.35+5,0.5)</f>
        <v>91</v>
      </c>
      <c r="Q31" s="89"/>
      <c r="R31" s="89"/>
      <c r="S31" s="89"/>
      <c r="T31" s="89">
        <f>CEILING(T28*0.35+5,0.5)</f>
        <v>94</v>
      </c>
      <c r="U31" s="89"/>
      <c r="V31" s="89"/>
      <c r="W31" s="89"/>
      <c r="X31" s="89">
        <f>CEILING(X28*0.35+5,0.5)</f>
        <v>96.5</v>
      </c>
      <c r="Y31" s="89"/>
      <c r="Z31" s="89"/>
      <c r="AA31" s="89"/>
      <c r="AB31" s="10"/>
      <c r="AC31" s="10"/>
      <c r="AD31" s="10"/>
      <c r="AE31" s="10"/>
      <c r="AF31" s="49"/>
      <c r="AG31" s="202"/>
      <c r="AH31" s="202"/>
      <c r="AI31" s="202"/>
      <c r="AJ31" s="202"/>
      <c r="AK31" s="202"/>
      <c r="AL31" s="94"/>
      <c r="AM31" s="94"/>
      <c r="AN31" s="94"/>
      <c r="AO31" s="80" t="s">
        <v>66</v>
      </c>
      <c r="AP31" s="80"/>
      <c r="AQ31" s="80"/>
      <c r="AR31" s="80"/>
      <c r="AS31" s="80"/>
      <c r="AT31" s="81" t="s">
        <v>58</v>
      </c>
      <c r="AU31" s="81"/>
      <c r="AV31" s="89">
        <f>CEILING(AV28*0.4+5,0.5)</f>
        <v>106.5</v>
      </c>
      <c r="AW31" s="89"/>
      <c r="AX31" s="89"/>
      <c r="AY31" s="89"/>
      <c r="AZ31" s="89">
        <f>CEILING(AZ28*0.4+5,0.5)</f>
        <v>109.5</v>
      </c>
      <c r="BA31" s="89"/>
      <c r="BB31" s="89"/>
      <c r="BC31" s="89"/>
      <c r="BD31" s="89">
        <f>CEILING(BD28*0.4+5,0.5)</f>
        <v>113</v>
      </c>
      <c r="BE31" s="89"/>
      <c r="BF31" s="89"/>
      <c r="BG31" s="89"/>
    </row>
    <row r="32" spans="1:63" ht="16.5" customHeight="1">
      <c r="A32" s="202"/>
      <c r="B32" s="202"/>
      <c r="C32" s="202"/>
      <c r="D32" s="202"/>
      <c r="E32" s="202"/>
      <c r="F32" s="94"/>
      <c r="G32" s="94"/>
      <c r="H32" s="94"/>
      <c r="I32" s="80"/>
      <c r="J32" s="80"/>
      <c r="K32" s="80"/>
      <c r="L32" s="80"/>
      <c r="M32" s="80"/>
      <c r="N32" s="81" t="s">
        <v>11</v>
      </c>
      <c r="O32" s="81"/>
      <c r="P32" s="89">
        <f>CEILING(P31*0.95,0.5)</f>
        <v>86.5</v>
      </c>
      <c r="Q32" s="89"/>
      <c r="R32" s="89"/>
      <c r="S32" s="89"/>
      <c r="T32" s="89">
        <f>CEILING(T31*0.95,0.5)</f>
        <v>89.5</v>
      </c>
      <c r="U32" s="89"/>
      <c r="V32" s="89"/>
      <c r="W32" s="89"/>
      <c r="X32" s="89">
        <f>CEILING(X31*0.95,0.5)</f>
        <v>92</v>
      </c>
      <c r="Y32" s="89"/>
      <c r="Z32" s="89"/>
      <c r="AA32" s="89"/>
      <c r="AB32" s="10"/>
      <c r="AC32" s="10"/>
      <c r="AD32" s="10"/>
      <c r="AE32" s="10"/>
      <c r="AF32" s="49"/>
      <c r="AG32" s="202"/>
      <c r="AH32" s="202"/>
      <c r="AI32" s="202"/>
      <c r="AJ32" s="202"/>
      <c r="AK32" s="202"/>
      <c r="AL32" s="94"/>
      <c r="AM32" s="94"/>
      <c r="AN32" s="94"/>
      <c r="AO32" s="80"/>
      <c r="AP32" s="80"/>
      <c r="AQ32" s="80"/>
      <c r="AR32" s="80"/>
      <c r="AS32" s="80"/>
      <c r="AT32" s="81" t="s">
        <v>11</v>
      </c>
      <c r="AU32" s="81"/>
      <c r="AV32" s="89">
        <f>CEILING(AV31*0.95,0.5)</f>
        <v>101.5</v>
      </c>
      <c r="AW32" s="89"/>
      <c r="AX32" s="89"/>
      <c r="AY32" s="89"/>
      <c r="AZ32" s="89">
        <f>CEILING(AZ31*0.95,0.5)</f>
        <v>104.5</v>
      </c>
      <c r="BA32" s="89"/>
      <c r="BB32" s="89"/>
      <c r="BC32" s="89"/>
      <c r="BD32" s="89">
        <f>CEILING(BD31*0.95,0.5)</f>
        <v>107.5</v>
      </c>
      <c r="BE32" s="89"/>
      <c r="BF32" s="89"/>
      <c r="BG32" s="89"/>
    </row>
    <row r="33" spans="1:63" ht="16.5" customHeight="1">
      <c r="A33" s="202"/>
      <c r="B33" s="202"/>
      <c r="C33" s="202"/>
      <c r="D33" s="202"/>
      <c r="E33" s="202"/>
      <c r="F33" s="94"/>
      <c r="G33" s="94"/>
      <c r="H33" s="94"/>
      <c r="I33" s="80"/>
      <c r="J33" s="80"/>
      <c r="K33" s="80"/>
      <c r="L33" s="80"/>
      <c r="M33" s="80"/>
      <c r="N33" s="81" t="s">
        <v>12</v>
      </c>
      <c r="O33" s="81"/>
      <c r="P33" s="89">
        <f>CEILING(P30*0.35+5,0.5)</f>
        <v>79.5</v>
      </c>
      <c r="Q33" s="89"/>
      <c r="R33" s="89"/>
      <c r="S33" s="89"/>
      <c r="T33" s="89">
        <f>CEILING(T30*0.35+5,0.5)</f>
        <v>82.5</v>
      </c>
      <c r="U33" s="89"/>
      <c r="V33" s="89"/>
      <c r="W33" s="89"/>
      <c r="X33" s="89">
        <f>CEILING(X30*0.35+5,0.5)</f>
        <v>85</v>
      </c>
      <c r="Y33" s="89"/>
      <c r="Z33" s="89"/>
      <c r="AA33" s="89"/>
      <c r="AB33" s="10"/>
      <c r="AC33" s="10"/>
      <c r="AD33" s="10"/>
      <c r="AE33" s="10"/>
      <c r="AF33" s="49"/>
      <c r="AG33" s="202"/>
      <c r="AH33" s="202"/>
      <c r="AI33" s="202"/>
      <c r="AJ33" s="202"/>
      <c r="AK33" s="202"/>
      <c r="AL33" s="94"/>
      <c r="AM33" s="94"/>
      <c r="AN33" s="94"/>
      <c r="AO33" s="80"/>
      <c r="AP33" s="80"/>
      <c r="AQ33" s="80"/>
      <c r="AR33" s="80"/>
      <c r="AS33" s="80"/>
      <c r="AT33" s="81" t="s">
        <v>12</v>
      </c>
      <c r="AU33" s="81"/>
      <c r="AV33" s="89">
        <f>CEILING(AV30*0.4+5,0.5)</f>
        <v>93</v>
      </c>
      <c r="AW33" s="89"/>
      <c r="AX33" s="89"/>
      <c r="AY33" s="89"/>
      <c r="AZ33" s="89">
        <f>CEILING(AZ30*0.4+5,0.5)</f>
        <v>96</v>
      </c>
      <c r="BA33" s="89"/>
      <c r="BB33" s="89"/>
      <c r="BC33" s="89"/>
      <c r="BD33" s="89">
        <f>CEILING(BD30*0.4+5,0.5)</f>
        <v>99</v>
      </c>
      <c r="BE33" s="89"/>
      <c r="BF33" s="89"/>
      <c r="BG33" s="89"/>
    </row>
    <row r="34" spans="1:63" ht="16.5" customHeight="1">
      <c r="A34" s="9" t="s">
        <v>60</v>
      </c>
      <c r="E34" s="50"/>
      <c r="F34" s="27"/>
      <c r="G34" s="27"/>
      <c r="H34" s="27"/>
      <c r="I34" s="28"/>
      <c r="J34" s="28"/>
      <c r="K34" s="28"/>
      <c r="L34" s="28"/>
      <c r="M34" s="28"/>
      <c r="N34" s="22"/>
      <c r="O34" s="22"/>
      <c r="P34" s="29"/>
      <c r="Q34" s="29"/>
      <c r="R34" s="29"/>
      <c r="S34" s="29"/>
      <c r="T34" s="29"/>
      <c r="U34" s="29"/>
      <c r="V34" s="29"/>
      <c r="W34" s="29"/>
      <c r="X34" s="29"/>
      <c r="Y34" s="29"/>
      <c r="Z34" s="29"/>
      <c r="AA34" s="29"/>
      <c r="AB34" s="10"/>
      <c r="AC34" s="10"/>
      <c r="AD34" s="10"/>
      <c r="AE34" s="10"/>
      <c r="AF34" s="49"/>
      <c r="AG34" s="50"/>
      <c r="AK34" s="50"/>
      <c r="AL34" s="27"/>
      <c r="AM34" s="27"/>
      <c r="AN34" s="27"/>
      <c r="AO34" s="28"/>
      <c r="AP34" s="28"/>
      <c r="AQ34" s="28"/>
      <c r="AR34" s="28"/>
      <c r="AS34" s="28"/>
      <c r="AT34" s="22"/>
      <c r="AU34" s="22"/>
      <c r="AV34" s="29"/>
      <c r="AW34" s="29"/>
      <c r="AX34" s="29"/>
      <c r="AY34" s="29"/>
      <c r="AZ34" s="29"/>
      <c r="BA34" s="29"/>
      <c r="BB34" s="29"/>
      <c r="BC34" s="29"/>
      <c r="BD34" s="29"/>
      <c r="BE34" s="29"/>
      <c r="BF34" s="29"/>
      <c r="BG34" s="29"/>
      <c r="BH34" s="10"/>
      <c r="BI34" s="10"/>
      <c r="BJ34" s="10"/>
      <c r="BK34" s="10"/>
    </row>
    <row r="35" spans="1:63" ht="16.5" customHeight="1">
      <c r="A35" s="9" t="s">
        <v>25</v>
      </c>
      <c r="F35" s="27"/>
      <c r="G35" s="27"/>
      <c r="H35" s="27"/>
      <c r="I35" s="28"/>
      <c r="J35" s="28"/>
      <c r="K35" s="28"/>
      <c r="L35" s="28"/>
      <c r="M35" s="28"/>
      <c r="N35" s="22"/>
      <c r="O35" s="22"/>
      <c r="P35" s="29"/>
      <c r="Q35" s="29"/>
      <c r="R35" s="29"/>
      <c r="S35" s="29"/>
      <c r="T35" s="29"/>
      <c r="U35" s="29"/>
      <c r="V35" s="29"/>
      <c r="W35" s="29"/>
      <c r="X35" s="29"/>
      <c r="Y35" s="29"/>
      <c r="Z35" s="29"/>
      <c r="AA35" s="29"/>
      <c r="AB35" s="10"/>
      <c r="AC35" s="10"/>
      <c r="AD35" s="10"/>
      <c r="AE35" s="10"/>
      <c r="AF35" s="49"/>
      <c r="AG35" s="50"/>
      <c r="AK35" s="50"/>
      <c r="AL35" s="27"/>
      <c r="AM35" s="27"/>
      <c r="AN35" s="27"/>
      <c r="AO35" s="28"/>
      <c r="AP35" s="28"/>
      <c r="AQ35" s="28"/>
      <c r="AR35" s="28"/>
      <c r="AS35" s="28"/>
      <c r="AT35" s="22"/>
      <c r="AU35" s="22"/>
      <c r="AV35" s="29"/>
      <c r="AW35" s="29"/>
      <c r="AX35" s="29"/>
      <c r="AY35" s="29"/>
      <c r="AZ35" s="29"/>
      <c r="BA35" s="29"/>
      <c r="BB35" s="29"/>
      <c r="BC35" s="29"/>
      <c r="BD35" s="29"/>
      <c r="BE35" s="29"/>
      <c r="BF35" s="29"/>
      <c r="BG35" s="29"/>
      <c r="BH35" s="10"/>
      <c r="BI35" s="10"/>
      <c r="BJ35" s="10"/>
      <c r="BK35" s="10"/>
    </row>
    <row r="36" spans="1:63" ht="16.5" customHeight="1">
      <c r="A36" s="9" t="s">
        <v>26</v>
      </c>
      <c r="F36" s="27"/>
      <c r="G36" s="27"/>
      <c r="H36" s="27"/>
      <c r="I36" s="28"/>
      <c r="J36" s="28"/>
      <c r="K36" s="28"/>
      <c r="L36" s="28"/>
      <c r="M36" s="28"/>
      <c r="N36" s="22"/>
      <c r="O36" s="22"/>
      <c r="P36" s="29"/>
      <c r="Q36" s="29"/>
      <c r="R36" s="29"/>
      <c r="S36" s="29"/>
      <c r="T36" s="29"/>
      <c r="U36" s="29"/>
      <c r="V36" s="29"/>
      <c r="W36" s="29"/>
      <c r="X36" s="29"/>
      <c r="Y36" s="29"/>
      <c r="Z36" s="29"/>
      <c r="AA36" s="29"/>
      <c r="AB36" s="10"/>
      <c r="AC36" s="10"/>
      <c r="AD36" s="10"/>
      <c r="AE36" s="10"/>
      <c r="AF36" s="49"/>
      <c r="AG36" s="50"/>
      <c r="AK36" s="50"/>
      <c r="AL36" s="27"/>
      <c r="AM36" s="27"/>
      <c r="AN36" s="27"/>
      <c r="AO36" s="28"/>
      <c r="AP36" s="28"/>
      <c r="AQ36" s="28"/>
      <c r="AR36" s="28"/>
      <c r="AS36" s="28"/>
      <c r="AT36" s="22"/>
      <c r="AU36" s="22"/>
      <c r="AV36" s="29"/>
      <c r="AW36" s="29"/>
      <c r="AX36" s="29"/>
      <c r="AY36" s="29"/>
      <c r="AZ36" s="29"/>
      <c r="BA36" s="29"/>
      <c r="BB36" s="29"/>
      <c r="BC36" s="29"/>
      <c r="BD36" s="29"/>
      <c r="BE36" s="29"/>
      <c r="BF36" s="29"/>
      <c r="BG36" s="29"/>
      <c r="BH36" s="10"/>
      <c r="BI36" s="10"/>
      <c r="BJ36" s="10"/>
      <c r="BK36" s="10"/>
    </row>
    <row r="37" spans="1:63" ht="16.5" customHeight="1" thickBot="1">
      <c r="A37" s="9"/>
      <c r="B37" s="45"/>
      <c r="F37" s="27"/>
      <c r="G37" s="27"/>
      <c r="H37" s="27"/>
      <c r="I37" s="28"/>
      <c r="J37" s="28"/>
      <c r="K37" s="28"/>
      <c r="L37" s="28"/>
      <c r="M37" s="28"/>
      <c r="N37" s="22"/>
      <c r="O37" s="22"/>
      <c r="P37" s="29"/>
      <c r="Q37" s="29"/>
      <c r="R37" s="29"/>
      <c r="S37" s="29"/>
      <c r="T37" s="29"/>
      <c r="U37" s="29"/>
      <c r="V37" s="29"/>
      <c r="W37" s="29"/>
      <c r="X37" s="29"/>
      <c r="Y37" s="29"/>
      <c r="Z37" s="29"/>
      <c r="AA37" s="29"/>
      <c r="AB37" s="10"/>
      <c r="AC37" s="10"/>
      <c r="AD37" s="10"/>
      <c r="AE37" s="10"/>
      <c r="AF37" s="49"/>
      <c r="AG37" s="50"/>
      <c r="AK37" s="50"/>
      <c r="AL37" s="27"/>
      <c r="AM37" s="27"/>
      <c r="AN37" s="27"/>
      <c r="AO37" s="28"/>
      <c r="AP37" s="28"/>
      <c r="AQ37" s="28"/>
      <c r="AR37" s="28"/>
      <c r="AS37" s="28"/>
      <c r="AT37" s="22"/>
      <c r="AU37" s="22"/>
      <c r="AV37" s="29"/>
      <c r="AW37" s="29"/>
      <c r="AX37" s="29"/>
      <c r="AY37" s="29"/>
      <c r="AZ37" s="29"/>
      <c r="BA37" s="29"/>
      <c r="BB37" s="29"/>
      <c r="BC37" s="29"/>
      <c r="BD37" s="29"/>
      <c r="BE37" s="29"/>
      <c r="BF37" s="29"/>
      <c r="BG37" s="29"/>
      <c r="BH37" s="10"/>
      <c r="BI37" s="10"/>
      <c r="BJ37" s="10"/>
      <c r="BK37" s="10"/>
    </row>
    <row r="38" spans="1:63" ht="16.5" customHeight="1" thickTop="1">
      <c r="A38" s="90" t="s">
        <v>27</v>
      </c>
      <c r="B38" s="91"/>
      <c r="C38" s="91"/>
      <c r="D38" s="91"/>
      <c r="E38" s="91"/>
      <c r="F38" s="91"/>
      <c r="G38" s="91"/>
      <c r="H38" s="91"/>
      <c r="I38" s="91"/>
      <c r="J38" s="91"/>
      <c r="K38" s="91"/>
      <c r="L38" s="91"/>
      <c r="M38" s="91"/>
      <c r="N38" s="91"/>
      <c r="O38" s="91"/>
      <c r="P38" s="91"/>
      <c r="Q38" s="91"/>
      <c r="R38" s="91"/>
      <c r="S38" s="91"/>
      <c r="T38" s="92"/>
      <c r="U38" s="29"/>
      <c r="V38" s="29"/>
      <c r="W38" s="29"/>
      <c r="X38" s="29"/>
      <c r="Y38" s="29"/>
      <c r="Z38" s="29"/>
      <c r="AA38" s="29"/>
      <c r="AB38" s="10"/>
      <c r="AC38" s="10"/>
      <c r="AD38" s="10"/>
      <c r="AE38" s="10"/>
      <c r="AF38" s="49"/>
      <c r="AG38" s="50"/>
      <c r="AK38" s="50"/>
      <c r="AL38" s="27"/>
      <c r="AM38" s="27"/>
      <c r="AN38" s="27"/>
      <c r="AO38" s="28"/>
      <c r="AP38" s="28"/>
      <c r="AQ38" s="28"/>
      <c r="AR38" s="28"/>
      <c r="AS38" s="28"/>
      <c r="AT38" s="22"/>
      <c r="AU38" s="22"/>
      <c r="AV38" s="29"/>
      <c r="AW38" s="29"/>
      <c r="AX38" s="29"/>
      <c r="AY38" s="29"/>
      <c r="AZ38" s="29"/>
      <c r="BA38" s="29"/>
      <c r="BB38" s="29"/>
      <c r="BC38" s="29"/>
      <c r="BD38" s="29"/>
      <c r="BE38" s="29"/>
      <c r="BF38" s="29"/>
      <c r="BG38" s="29"/>
      <c r="BH38" s="10"/>
      <c r="BI38" s="10"/>
      <c r="BJ38" s="10"/>
      <c r="BK38" s="10"/>
    </row>
    <row r="39" spans="1:63" ht="16.5" customHeight="1">
      <c r="A39" s="233" t="s">
        <v>28</v>
      </c>
      <c r="B39" s="234"/>
      <c r="C39" s="234"/>
      <c r="D39" s="234"/>
      <c r="E39" s="234"/>
      <c r="F39" s="234"/>
      <c r="G39" s="234"/>
      <c r="H39" s="235"/>
      <c r="I39" s="236" t="s">
        <v>29</v>
      </c>
      <c r="J39" s="234"/>
      <c r="K39" s="234"/>
      <c r="L39" s="234"/>
      <c r="M39" s="234"/>
      <c r="N39" s="234"/>
      <c r="O39" s="234"/>
      <c r="P39" s="234"/>
      <c r="Q39" s="234"/>
      <c r="R39" s="234"/>
      <c r="S39" s="234"/>
      <c r="T39" s="237"/>
      <c r="U39" s="29"/>
      <c r="V39" s="29"/>
      <c r="W39" s="29"/>
      <c r="X39" s="29"/>
      <c r="Y39" s="29"/>
      <c r="Z39" s="29"/>
      <c r="AA39" s="29"/>
      <c r="AB39" s="10"/>
      <c r="AC39" s="10"/>
      <c r="AD39" s="10"/>
      <c r="AE39" s="10"/>
      <c r="AF39" s="49"/>
      <c r="AG39" s="50"/>
      <c r="AK39" s="50"/>
      <c r="AL39" s="27"/>
      <c r="AM39" s="27"/>
      <c r="AN39" s="27"/>
      <c r="AO39" s="28"/>
      <c r="AP39" s="28"/>
      <c r="AQ39" s="28"/>
      <c r="AR39" s="28"/>
      <c r="AS39" s="28"/>
      <c r="AT39" s="22"/>
      <c r="AU39" s="22"/>
      <c r="AV39" s="29"/>
      <c r="AW39" s="29"/>
      <c r="AX39" s="29"/>
      <c r="AY39" s="29"/>
      <c r="AZ39" s="29"/>
      <c r="BA39" s="29"/>
      <c r="BB39" s="29"/>
      <c r="BC39" s="29"/>
      <c r="BD39" s="29"/>
      <c r="BE39" s="29"/>
      <c r="BF39" s="29"/>
      <c r="BG39" s="29"/>
      <c r="BH39" s="10"/>
      <c r="BI39" s="10"/>
      <c r="BJ39" s="10"/>
      <c r="BK39" s="10"/>
    </row>
    <row r="40" spans="1:63" ht="16.5" customHeight="1" thickBot="1">
      <c r="A40" s="159" t="s">
        <v>71</v>
      </c>
      <c r="B40" s="160"/>
      <c r="C40" s="160"/>
      <c r="D40" s="160"/>
      <c r="E40" s="160"/>
      <c r="F40" s="160"/>
      <c r="G40" s="160"/>
      <c r="H40" s="161"/>
      <c r="I40" s="232" t="s">
        <v>72</v>
      </c>
      <c r="J40" s="160"/>
      <c r="K40" s="160"/>
      <c r="L40" s="160"/>
      <c r="M40" s="160"/>
      <c r="N40" s="160"/>
      <c r="O40" s="160"/>
      <c r="P40" s="160"/>
      <c r="Q40" s="160"/>
      <c r="R40" s="160"/>
      <c r="S40" s="160"/>
      <c r="T40" s="162"/>
      <c r="U40" s="29"/>
      <c r="V40" s="29"/>
      <c r="W40" s="29"/>
      <c r="X40" s="29"/>
      <c r="Y40" s="29"/>
      <c r="Z40" s="29"/>
      <c r="AA40" s="29"/>
      <c r="AB40" s="10"/>
      <c r="AC40" s="10"/>
      <c r="AD40" s="10"/>
      <c r="AE40" s="10"/>
      <c r="AF40" s="49"/>
      <c r="AG40" s="50"/>
      <c r="AK40" s="50"/>
      <c r="AL40" s="27"/>
      <c r="AM40" s="27"/>
      <c r="AN40" s="27"/>
      <c r="AO40" s="28"/>
      <c r="AP40" s="28"/>
      <c r="AQ40" s="28"/>
      <c r="AR40" s="28"/>
      <c r="AS40" s="28"/>
      <c r="AT40" s="22"/>
      <c r="AU40" s="22"/>
      <c r="AV40" s="29"/>
      <c r="AW40" s="29"/>
      <c r="AX40" s="29"/>
      <c r="AY40" s="29"/>
      <c r="AZ40" s="29"/>
      <c r="BA40" s="29"/>
      <c r="BB40" s="29"/>
      <c r="BC40" s="29"/>
      <c r="BD40" s="29"/>
      <c r="BE40" s="29"/>
      <c r="BF40" s="29"/>
      <c r="BG40" s="29"/>
    </row>
    <row r="41" spans="1:63" ht="16.5" customHeight="1" thickTop="1">
      <c r="A41" s="9"/>
      <c r="E41" s="50"/>
      <c r="F41" s="27"/>
      <c r="G41" s="27"/>
      <c r="H41" s="27"/>
      <c r="I41" s="28"/>
      <c r="J41" s="28"/>
      <c r="K41" s="28"/>
      <c r="L41" s="28"/>
      <c r="M41" s="28"/>
      <c r="N41" s="22"/>
      <c r="O41" s="22"/>
      <c r="P41" s="29"/>
      <c r="Q41" s="29"/>
      <c r="R41" s="29"/>
      <c r="S41" s="29"/>
      <c r="T41" s="29"/>
      <c r="U41" s="29"/>
      <c r="V41" s="29"/>
      <c r="W41" s="29"/>
      <c r="X41" s="29"/>
      <c r="Y41" s="29"/>
      <c r="Z41" s="29"/>
      <c r="AA41" s="29"/>
      <c r="AB41" s="10"/>
      <c r="AC41" s="10"/>
      <c r="AD41" s="10"/>
      <c r="AE41" s="10"/>
      <c r="AF41" s="49"/>
      <c r="AG41" s="50"/>
      <c r="AK41" s="50"/>
      <c r="AL41" s="27"/>
      <c r="AM41" s="27"/>
      <c r="AN41" s="27"/>
      <c r="AO41" s="28"/>
      <c r="AP41" s="28"/>
      <c r="AQ41" s="28"/>
      <c r="AR41" s="28"/>
      <c r="AS41" s="28"/>
      <c r="AT41" s="22"/>
      <c r="AU41" s="22"/>
      <c r="AV41" s="29"/>
      <c r="AW41" s="29"/>
      <c r="AX41" s="29"/>
      <c r="AY41" s="29"/>
      <c r="AZ41" s="29"/>
      <c r="BA41" s="29"/>
      <c r="BB41" s="29"/>
      <c r="BC41" s="29"/>
      <c r="BD41" s="29"/>
      <c r="BE41" s="29"/>
      <c r="BF41" s="29"/>
      <c r="BG41" s="29"/>
    </row>
    <row r="42" spans="1:63" ht="16.5" customHeight="1">
      <c r="A42" s="9"/>
      <c r="E42" s="50"/>
      <c r="F42" s="27"/>
      <c r="G42" s="27"/>
      <c r="H42" s="27"/>
      <c r="I42" s="28"/>
      <c r="J42" s="28"/>
      <c r="K42" s="28"/>
      <c r="L42" s="28"/>
      <c r="M42" s="28"/>
      <c r="N42" s="22"/>
      <c r="O42" s="22"/>
      <c r="P42" s="29"/>
      <c r="Q42" s="29"/>
      <c r="R42" s="29"/>
      <c r="S42" s="29"/>
      <c r="T42" s="29"/>
      <c r="U42" s="29"/>
      <c r="V42" s="29"/>
      <c r="W42" s="29"/>
      <c r="X42" s="29"/>
      <c r="Y42" s="29"/>
      <c r="Z42" s="29"/>
      <c r="AA42" s="29"/>
      <c r="AB42" s="10"/>
      <c r="AC42" s="10"/>
      <c r="AD42" s="10"/>
      <c r="AE42" s="10"/>
      <c r="AF42" s="49"/>
      <c r="AG42" s="50"/>
      <c r="AK42" s="50"/>
      <c r="AL42" s="27"/>
      <c r="AM42" s="27"/>
      <c r="AN42" s="27"/>
      <c r="AO42" s="28"/>
      <c r="AP42" s="28"/>
      <c r="AQ42" s="28"/>
      <c r="AR42" s="28"/>
      <c r="AS42" s="28"/>
      <c r="AT42" s="22"/>
      <c r="AU42" s="22"/>
      <c r="AV42" s="29"/>
      <c r="AW42" s="29"/>
      <c r="AX42" s="29"/>
      <c r="AY42" s="29"/>
      <c r="AZ42" s="29"/>
      <c r="BA42" s="29"/>
      <c r="BB42" s="29"/>
      <c r="BC42" s="29"/>
      <c r="BD42" s="29"/>
      <c r="BE42" s="29"/>
      <c r="BF42" s="29"/>
      <c r="BG42" s="29"/>
    </row>
    <row r="43" spans="1:63" ht="16.5" customHeight="1">
      <c r="A43" s="9"/>
      <c r="E43" s="50"/>
      <c r="F43" s="27"/>
      <c r="G43" s="27"/>
      <c r="H43" s="27"/>
      <c r="I43" s="28"/>
      <c r="J43" s="28"/>
      <c r="K43" s="28"/>
      <c r="L43" s="28"/>
      <c r="M43" s="28"/>
      <c r="N43" s="22"/>
      <c r="O43" s="22"/>
      <c r="P43" s="29"/>
      <c r="Q43" s="29"/>
      <c r="R43" s="29"/>
      <c r="S43" s="29"/>
      <c r="T43" s="29"/>
      <c r="U43" s="29"/>
      <c r="V43" s="29"/>
      <c r="W43" s="29"/>
      <c r="X43" s="29"/>
      <c r="Y43" s="29"/>
      <c r="Z43" s="29"/>
      <c r="AA43" s="29"/>
      <c r="AB43" s="10"/>
      <c r="AC43" s="10"/>
      <c r="AD43" s="10"/>
      <c r="AE43" s="10"/>
      <c r="AF43" s="49"/>
      <c r="AG43" s="50"/>
      <c r="AK43" s="50"/>
      <c r="AL43" s="27"/>
      <c r="AM43" s="27"/>
      <c r="AN43" s="27"/>
      <c r="AO43" s="28"/>
      <c r="AP43" s="28"/>
      <c r="AQ43" s="28"/>
      <c r="AR43" s="28"/>
      <c r="AS43" s="28"/>
      <c r="AT43" s="22"/>
      <c r="AU43" s="22"/>
      <c r="AV43" s="29"/>
      <c r="AW43" s="29"/>
      <c r="AX43" s="29"/>
      <c r="AY43" s="29"/>
      <c r="AZ43" s="29"/>
      <c r="BA43" s="29"/>
      <c r="BB43" s="29"/>
      <c r="BC43" s="29"/>
      <c r="BD43" s="29"/>
      <c r="BE43" s="29"/>
      <c r="BF43" s="29"/>
      <c r="BG43" s="29"/>
    </row>
    <row r="44" spans="1:63" ht="16.5" customHeight="1">
      <c r="A44" s="9"/>
      <c r="E44" s="50"/>
      <c r="F44" s="27"/>
      <c r="G44" s="27"/>
      <c r="H44" s="27"/>
      <c r="I44" s="28"/>
      <c r="J44" s="28"/>
      <c r="K44" s="28"/>
      <c r="L44" s="28"/>
      <c r="M44" s="28"/>
      <c r="N44" s="22"/>
      <c r="O44" s="22"/>
      <c r="P44" s="29"/>
      <c r="Q44" s="29"/>
      <c r="R44" s="29"/>
      <c r="S44" s="29"/>
      <c r="T44" s="29"/>
      <c r="U44" s="29"/>
      <c r="V44" s="29"/>
      <c r="W44" s="29"/>
      <c r="X44" s="29"/>
      <c r="Y44" s="29"/>
      <c r="Z44" s="29"/>
      <c r="AA44" s="29"/>
      <c r="AB44" s="10"/>
      <c r="AC44" s="10"/>
      <c r="AD44" s="10"/>
      <c r="AE44" s="10"/>
      <c r="AF44" s="49"/>
      <c r="AG44" s="50"/>
      <c r="AK44" s="50"/>
      <c r="AL44" s="27"/>
      <c r="AM44" s="27"/>
      <c r="AN44" s="27"/>
      <c r="AO44" s="28"/>
      <c r="AP44" s="28"/>
      <c r="AQ44" s="28"/>
      <c r="AR44" s="28"/>
      <c r="AS44" s="28"/>
      <c r="AT44" s="22"/>
      <c r="AU44" s="22"/>
      <c r="AV44" s="29"/>
      <c r="AW44" s="29"/>
      <c r="AX44" s="29"/>
      <c r="AY44" s="29"/>
      <c r="AZ44" s="29"/>
      <c r="BA44" s="29"/>
      <c r="BB44" s="29"/>
      <c r="BC44" s="29"/>
      <c r="BD44" s="29"/>
      <c r="BE44" s="29"/>
      <c r="BF44" s="29"/>
      <c r="BG44" s="29"/>
    </row>
    <row r="45" spans="1:63" ht="16.5" customHeight="1">
      <c r="A45" s="9"/>
      <c r="E45" s="50"/>
      <c r="F45" s="27"/>
      <c r="G45" s="27"/>
      <c r="H45" s="27"/>
      <c r="I45" s="28"/>
      <c r="J45" s="28"/>
      <c r="K45" s="28"/>
      <c r="L45" s="28"/>
      <c r="M45" s="28"/>
      <c r="N45" s="22"/>
      <c r="O45" s="22"/>
      <c r="P45" s="29"/>
      <c r="Q45" s="29"/>
      <c r="R45" s="29"/>
      <c r="S45" s="29"/>
      <c r="T45" s="29"/>
      <c r="U45" s="29"/>
      <c r="V45" s="29"/>
      <c r="W45" s="29"/>
      <c r="X45" s="29"/>
      <c r="Y45" s="29"/>
      <c r="Z45" s="29"/>
      <c r="AA45" s="29"/>
      <c r="AB45" s="10"/>
      <c r="AC45" s="10"/>
      <c r="AD45" s="10"/>
      <c r="AE45" s="10"/>
      <c r="AF45" s="49"/>
      <c r="AG45" s="50"/>
      <c r="AK45" s="50"/>
      <c r="AL45" s="27"/>
      <c r="AM45" s="27"/>
      <c r="AN45" s="27"/>
      <c r="AO45" s="28"/>
      <c r="AP45" s="28"/>
      <c r="AQ45" s="28"/>
      <c r="AR45" s="28"/>
      <c r="AS45" s="28"/>
      <c r="AT45" s="22"/>
      <c r="AU45" s="22"/>
      <c r="AV45" s="29"/>
      <c r="AW45" s="29"/>
      <c r="AX45" s="29"/>
      <c r="AY45" s="29"/>
      <c r="AZ45" s="29"/>
      <c r="BA45" s="29"/>
      <c r="BB45" s="29"/>
      <c r="BC45" s="29"/>
      <c r="BD45" s="29"/>
      <c r="BE45" s="29"/>
      <c r="BF45" s="29"/>
      <c r="BG45" s="29"/>
    </row>
    <row r="46" spans="1:63" ht="16.5" customHeight="1">
      <c r="A46" s="9"/>
      <c r="E46" s="50"/>
      <c r="F46" s="27"/>
      <c r="G46" s="27"/>
      <c r="H46" s="27"/>
      <c r="I46" s="28"/>
      <c r="J46" s="28"/>
      <c r="K46" s="28"/>
      <c r="L46" s="28"/>
      <c r="M46" s="28"/>
      <c r="N46" s="22"/>
      <c r="O46" s="22"/>
      <c r="P46" s="29"/>
      <c r="Q46" s="29"/>
      <c r="R46" s="29"/>
      <c r="S46" s="29"/>
      <c r="T46" s="29"/>
      <c r="U46" s="29"/>
      <c r="V46" s="29"/>
      <c r="W46" s="29"/>
      <c r="X46" s="29"/>
      <c r="Y46" s="29"/>
      <c r="Z46" s="29"/>
      <c r="AA46" s="29"/>
      <c r="AB46" s="10"/>
      <c r="AC46" s="10"/>
      <c r="AD46" s="10"/>
      <c r="AE46" s="10"/>
      <c r="AF46" s="49"/>
      <c r="AG46" s="50"/>
      <c r="AK46" s="50"/>
      <c r="AL46" s="27"/>
      <c r="AM46" s="27"/>
      <c r="AN46" s="27"/>
      <c r="AO46" s="28"/>
      <c r="AP46" s="28"/>
      <c r="AQ46" s="28"/>
      <c r="AR46" s="28"/>
      <c r="AS46" s="28"/>
      <c r="AT46" s="22"/>
      <c r="AU46" s="22"/>
      <c r="AV46" s="29"/>
      <c r="AW46" s="29"/>
      <c r="AX46" s="29"/>
      <c r="AY46" s="29"/>
      <c r="AZ46" s="29"/>
      <c r="BA46" s="29"/>
      <c r="BB46" s="29"/>
      <c r="BC46" s="29"/>
      <c r="BD46" s="29"/>
      <c r="BE46" s="29"/>
      <c r="BF46" s="29"/>
      <c r="BG46" s="29"/>
    </row>
    <row r="47" spans="1:63" ht="16.5" customHeight="1">
      <c r="A47" s="9"/>
      <c r="E47" s="50"/>
      <c r="F47" s="27"/>
      <c r="G47" s="27"/>
      <c r="H47" s="27"/>
      <c r="I47" s="28"/>
      <c r="J47" s="28"/>
      <c r="K47" s="28"/>
      <c r="L47" s="28"/>
      <c r="M47" s="28"/>
      <c r="N47" s="22"/>
      <c r="O47" s="22"/>
      <c r="P47" s="29"/>
      <c r="Q47" s="29"/>
      <c r="R47" s="29"/>
      <c r="S47" s="29"/>
      <c r="T47" s="29"/>
      <c r="U47" s="29"/>
      <c r="V47" s="29"/>
      <c r="W47" s="29"/>
      <c r="X47" s="29"/>
      <c r="Y47" s="29"/>
      <c r="Z47" s="29"/>
      <c r="AA47" s="29"/>
      <c r="AB47" s="10"/>
      <c r="AC47" s="10"/>
      <c r="AD47" s="10"/>
      <c r="AE47" s="10"/>
      <c r="AF47" s="49"/>
      <c r="AG47" s="50"/>
      <c r="AK47" s="50"/>
      <c r="AL47" s="27"/>
      <c r="AM47" s="27"/>
      <c r="AN47" s="27"/>
      <c r="AO47" s="28"/>
      <c r="AP47" s="28"/>
      <c r="AQ47" s="28"/>
      <c r="AR47" s="28"/>
      <c r="AS47" s="28"/>
      <c r="AT47" s="22"/>
      <c r="AU47" s="22"/>
      <c r="AV47" s="29"/>
      <c r="AW47" s="29"/>
      <c r="AX47" s="29"/>
      <c r="AY47" s="29"/>
      <c r="AZ47" s="29"/>
      <c r="BA47" s="29"/>
      <c r="BB47" s="29"/>
      <c r="BC47" s="29"/>
      <c r="BD47" s="29"/>
      <c r="BE47" s="29"/>
      <c r="BF47" s="29"/>
      <c r="BG47" s="29"/>
    </row>
    <row r="48" spans="1:63" ht="16.5" customHeight="1">
      <c r="A48" s="9"/>
      <c r="E48" s="50"/>
      <c r="F48" s="27"/>
      <c r="G48" s="27"/>
      <c r="H48" s="27"/>
      <c r="I48" s="28"/>
      <c r="J48" s="28"/>
      <c r="K48" s="28"/>
      <c r="L48" s="28"/>
      <c r="M48" s="28"/>
      <c r="N48" s="22"/>
      <c r="O48" s="22"/>
      <c r="P48" s="29"/>
      <c r="Q48" s="29"/>
      <c r="R48" s="29"/>
      <c r="S48" s="29"/>
      <c r="T48" s="29"/>
      <c r="U48" s="29"/>
      <c r="V48" s="29"/>
      <c r="W48" s="29"/>
      <c r="X48" s="29"/>
      <c r="Y48" s="29"/>
      <c r="Z48" s="29"/>
      <c r="AA48" s="29"/>
      <c r="AB48" s="10"/>
      <c r="AC48" s="10"/>
      <c r="AD48" s="10"/>
      <c r="AE48" s="10"/>
      <c r="AF48" s="49"/>
      <c r="AG48" s="50"/>
      <c r="AK48" s="50"/>
      <c r="AL48" s="27"/>
      <c r="AM48" s="27"/>
      <c r="AN48" s="27"/>
      <c r="AO48" s="28"/>
      <c r="AP48" s="28"/>
      <c r="AQ48" s="28"/>
      <c r="AR48" s="28"/>
      <c r="AS48" s="28"/>
      <c r="AT48" s="22"/>
      <c r="AU48" s="22"/>
      <c r="AV48" s="29"/>
      <c r="AW48" s="29"/>
      <c r="AX48" s="29"/>
      <c r="AY48" s="29"/>
      <c r="AZ48" s="29"/>
      <c r="BA48" s="29"/>
      <c r="BB48" s="29"/>
      <c r="BC48" s="29"/>
      <c r="BD48" s="29"/>
      <c r="BE48" s="29"/>
      <c r="BF48" s="29"/>
      <c r="BG48" s="29"/>
    </row>
    <row r="49" spans="1:59" ht="16.5" customHeight="1">
      <c r="A49" s="9"/>
      <c r="E49" s="50"/>
      <c r="F49" s="27"/>
      <c r="G49" s="27"/>
      <c r="H49" s="27"/>
      <c r="I49" s="28"/>
      <c r="J49" s="28"/>
      <c r="K49" s="28"/>
      <c r="L49" s="28"/>
      <c r="M49" s="28"/>
      <c r="N49" s="22"/>
      <c r="O49" s="22"/>
      <c r="P49" s="29"/>
      <c r="Q49" s="29"/>
      <c r="R49" s="29"/>
      <c r="S49" s="29"/>
      <c r="T49" s="29"/>
      <c r="U49" s="29"/>
      <c r="V49" s="29"/>
      <c r="W49" s="29"/>
      <c r="X49" s="29"/>
      <c r="Y49" s="29"/>
      <c r="Z49" s="29"/>
      <c r="AA49" s="29"/>
      <c r="AB49" s="10"/>
      <c r="AC49" s="10"/>
      <c r="AD49" s="10"/>
      <c r="AE49" s="10"/>
      <c r="AF49" s="49"/>
      <c r="AG49" s="50"/>
      <c r="AK49" s="50"/>
      <c r="AL49" s="27"/>
      <c r="AM49" s="27"/>
      <c r="AN49" s="27"/>
      <c r="AO49" s="28"/>
      <c r="AP49" s="28"/>
      <c r="AQ49" s="28"/>
      <c r="AR49" s="28"/>
      <c r="AS49" s="28"/>
      <c r="AT49" s="22"/>
      <c r="AU49" s="22"/>
      <c r="AV49" s="29"/>
      <c r="AW49" s="29"/>
      <c r="AX49" s="29"/>
      <c r="AY49" s="29"/>
      <c r="AZ49" s="29"/>
      <c r="BA49" s="29"/>
      <c r="BB49" s="29"/>
      <c r="BC49" s="29"/>
      <c r="BD49" s="29"/>
      <c r="BE49" s="29"/>
      <c r="BF49" s="29"/>
      <c r="BG49" s="29"/>
    </row>
    <row r="50" spans="1:59" ht="16.5" customHeight="1">
      <c r="A50" s="9"/>
      <c r="E50" s="50"/>
      <c r="F50" s="27"/>
      <c r="G50" s="27"/>
      <c r="H50" s="27"/>
      <c r="I50" s="28"/>
      <c r="J50" s="28"/>
      <c r="K50" s="28"/>
      <c r="L50" s="28"/>
      <c r="M50" s="28"/>
      <c r="N50" s="22"/>
      <c r="O50" s="22"/>
      <c r="P50" s="29"/>
      <c r="Q50" s="29"/>
      <c r="R50" s="29"/>
      <c r="S50" s="29"/>
      <c r="T50" s="29"/>
      <c r="U50" s="29"/>
      <c r="V50" s="29"/>
      <c r="W50" s="29"/>
      <c r="X50" s="29"/>
      <c r="Y50" s="29"/>
      <c r="Z50" s="29"/>
      <c r="AA50" s="29"/>
      <c r="AB50" s="10"/>
      <c r="AC50" s="10"/>
      <c r="AD50" s="10"/>
      <c r="AE50" s="10"/>
      <c r="AF50" s="49"/>
      <c r="AG50" s="50"/>
      <c r="AK50" s="50"/>
      <c r="AL50" s="27"/>
      <c r="AM50" s="27"/>
      <c r="AN50" s="27"/>
      <c r="AO50" s="28"/>
      <c r="AP50" s="28"/>
      <c r="AQ50" s="28"/>
      <c r="AR50" s="28"/>
      <c r="AS50" s="28"/>
      <c r="AT50" s="22"/>
      <c r="AU50" s="22"/>
      <c r="AV50" s="29"/>
      <c r="AW50" s="29"/>
      <c r="AX50" s="29"/>
      <c r="AY50" s="29"/>
      <c r="AZ50" s="29"/>
      <c r="BA50" s="29"/>
      <c r="BB50" s="29"/>
      <c r="BC50" s="29"/>
      <c r="BD50" s="29"/>
      <c r="BE50" s="29"/>
      <c r="BF50" s="29"/>
      <c r="BG50" s="29"/>
    </row>
    <row r="51" spans="1:59" ht="16.5" customHeight="1">
      <c r="A51" s="9"/>
      <c r="E51" s="50"/>
      <c r="F51" s="27"/>
      <c r="G51" s="27"/>
      <c r="H51" s="27"/>
      <c r="I51" s="28"/>
      <c r="J51" s="28"/>
      <c r="K51" s="28"/>
      <c r="L51" s="28"/>
      <c r="M51" s="28"/>
      <c r="N51" s="22"/>
      <c r="O51" s="22"/>
      <c r="P51" s="29"/>
      <c r="Q51" s="29"/>
      <c r="R51" s="29"/>
      <c r="S51" s="29"/>
      <c r="T51" s="29"/>
      <c r="U51" s="29"/>
      <c r="V51" s="29"/>
      <c r="W51" s="29"/>
      <c r="X51" s="29"/>
      <c r="Y51" s="29"/>
      <c r="Z51" s="29"/>
      <c r="AA51" s="29"/>
      <c r="AB51" s="10"/>
      <c r="AC51" s="10"/>
      <c r="AD51" s="10"/>
      <c r="AE51" s="10"/>
      <c r="AF51" s="49"/>
      <c r="AG51" s="50"/>
      <c r="AK51" s="50"/>
      <c r="AL51" s="27"/>
      <c r="AM51" s="27"/>
      <c r="AN51" s="27"/>
      <c r="AO51" s="28"/>
      <c r="AP51" s="28"/>
      <c r="AQ51" s="28"/>
      <c r="AR51" s="28"/>
      <c r="AS51" s="28"/>
      <c r="AT51" s="22"/>
      <c r="AU51" s="22"/>
      <c r="AV51" s="29"/>
      <c r="AW51" s="29"/>
      <c r="AX51" s="29"/>
      <c r="AY51" s="29"/>
      <c r="AZ51" s="29"/>
      <c r="BA51" s="29"/>
      <c r="BB51" s="29"/>
      <c r="BC51" s="29"/>
      <c r="BD51" s="29"/>
      <c r="BE51" s="29"/>
      <c r="BF51" s="29"/>
      <c r="BG51" s="29"/>
    </row>
    <row r="52" spans="1:59" ht="16.5" customHeight="1">
      <c r="A52" s="9"/>
      <c r="E52" s="50"/>
      <c r="F52" s="27"/>
      <c r="G52" s="27"/>
      <c r="H52" s="27"/>
      <c r="I52" s="28"/>
      <c r="J52" s="28"/>
      <c r="K52" s="28"/>
      <c r="L52" s="28"/>
      <c r="M52" s="28"/>
      <c r="N52" s="22"/>
      <c r="O52" s="22"/>
      <c r="P52" s="29"/>
      <c r="Q52" s="29"/>
      <c r="R52" s="29"/>
      <c r="S52" s="29"/>
      <c r="T52" s="29"/>
      <c r="U52" s="29"/>
      <c r="V52" s="29"/>
      <c r="W52" s="29"/>
      <c r="X52" s="29"/>
      <c r="Y52" s="29"/>
      <c r="Z52" s="29"/>
      <c r="AA52" s="29"/>
      <c r="AB52" s="10"/>
      <c r="AC52" s="10"/>
      <c r="AD52" s="10"/>
      <c r="AE52" s="10"/>
      <c r="AF52" s="49"/>
      <c r="AG52" s="50"/>
      <c r="AK52" s="50"/>
      <c r="AL52" s="27"/>
      <c r="AM52" s="27"/>
      <c r="AN52" s="27"/>
      <c r="AO52" s="28"/>
      <c r="AP52" s="28"/>
      <c r="AQ52" s="28"/>
      <c r="AR52" s="28"/>
      <c r="AS52" s="28"/>
      <c r="AT52" s="22"/>
      <c r="AU52" s="22"/>
      <c r="AV52" s="29"/>
      <c r="AW52" s="29"/>
      <c r="AX52" s="29"/>
      <c r="AY52" s="29"/>
      <c r="AZ52" s="29"/>
      <c r="BA52" s="29"/>
      <c r="BB52" s="29"/>
      <c r="BC52" s="29"/>
      <c r="BD52" s="29"/>
      <c r="BE52" s="29"/>
      <c r="BF52" s="29"/>
      <c r="BG52" s="29"/>
    </row>
    <row r="53" spans="1:59" ht="16.5" customHeight="1">
      <c r="A53" s="9"/>
      <c r="E53" s="50"/>
      <c r="F53" s="27"/>
      <c r="G53" s="27"/>
      <c r="H53" s="27"/>
      <c r="I53" s="28"/>
      <c r="J53" s="28"/>
      <c r="K53" s="28"/>
      <c r="L53" s="28"/>
      <c r="M53" s="28"/>
      <c r="N53" s="22"/>
      <c r="O53" s="22"/>
      <c r="P53" s="29"/>
      <c r="Q53" s="29"/>
      <c r="R53" s="29"/>
      <c r="S53" s="29"/>
      <c r="T53" s="29"/>
      <c r="U53" s="29"/>
      <c r="V53" s="29"/>
      <c r="W53" s="29"/>
      <c r="X53" s="29"/>
      <c r="Y53" s="29"/>
      <c r="Z53" s="29"/>
      <c r="AA53" s="29"/>
      <c r="AB53" s="10"/>
      <c r="AC53" s="10"/>
      <c r="AD53" s="10"/>
      <c r="AE53" s="10"/>
      <c r="AF53" s="49"/>
      <c r="AG53" s="50"/>
      <c r="AK53" s="50"/>
      <c r="AL53" s="27"/>
      <c r="AM53" s="27"/>
      <c r="AN53" s="27"/>
      <c r="AO53" s="28"/>
      <c r="AP53" s="28"/>
      <c r="AQ53" s="28"/>
      <c r="AR53" s="28"/>
      <c r="AS53" s="28"/>
      <c r="AT53" s="22"/>
      <c r="AU53" s="22"/>
      <c r="AV53" s="29"/>
      <c r="AW53" s="29"/>
      <c r="AX53" s="29"/>
      <c r="AY53" s="29"/>
      <c r="AZ53" s="29"/>
      <c r="BA53" s="29"/>
      <c r="BB53" s="29"/>
      <c r="BC53" s="29"/>
      <c r="BD53" s="29"/>
      <c r="BE53" s="29"/>
      <c r="BF53" s="29"/>
      <c r="BG53" s="29"/>
    </row>
    <row r="54" spans="1:59" ht="16.5" customHeight="1">
      <c r="A54" s="9"/>
      <c r="E54" s="50"/>
      <c r="F54" s="27"/>
      <c r="G54" s="27"/>
      <c r="H54" s="27"/>
      <c r="I54" s="28"/>
      <c r="J54" s="28"/>
      <c r="K54" s="28"/>
      <c r="L54" s="28"/>
      <c r="M54" s="28"/>
      <c r="N54" s="22"/>
      <c r="O54" s="22"/>
      <c r="P54" s="29"/>
      <c r="Q54" s="29"/>
      <c r="R54" s="29"/>
      <c r="S54" s="29"/>
      <c r="T54" s="29"/>
      <c r="U54" s="29"/>
      <c r="V54" s="29"/>
      <c r="W54" s="29"/>
      <c r="X54" s="29"/>
      <c r="Y54" s="29"/>
      <c r="Z54" s="29"/>
      <c r="AA54" s="29"/>
      <c r="AB54" s="10"/>
      <c r="AC54" s="10"/>
      <c r="AD54" s="10"/>
      <c r="AE54" s="10"/>
      <c r="AF54" s="49"/>
      <c r="AG54" s="50"/>
      <c r="AK54" s="50"/>
      <c r="AL54" s="27"/>
      <c r="AM54" s="27"/>
      <c r="AN54" s="27"/>
      <c r="AO54" s="28"/>
      <c r="AP54" s="28"/>
      <c r="AQ54" s="28"/>
      <c r="AR54" s="28"/>
      <c r="AS54" s="28"/>
      <c r="AT54" s="22"/>
      <c r="AU54" s="22"/>
      <c r="AV54" s="29"/>
      <c r="AW54" s="29"/>
      <c r="AX54" s="29"/>
      <c r="AY54" s="29"/>
      <c r="AZ54" s="29"/>
      <c r="BA54" s="29"/>
      <c r="BB54" s="29"/>
      <c r="BC54" s="29"/>
      <c r="BD54" s="29"/>
      <c r="BE54" s="29"/>
      <c r="BF54" s="29"/>
      <c r="BG54" s="29"/>
    </row>
    <row r="55" spans="1:59" ht="16.5" customHeight="1">
      <c r="A55" s="9"/>
      <c r="E55" s="50"/>
      <c r="F55" s="27"/>
      <c r="G55" s="27"/>
      <c r="H55" s="27"/>
      <c r="I55" s="28"/>
      <c r="J55" s="28"/>
      <c r="K55" s="28"/>
      <c r="L55" s="28"/>
      <c r="M55" s="28"/>
      <c r="N55" s="22"/>
      <c r="O55" s="22"/>
      <c r="P55" s="29"/>
      <c r="Q55" s="29"/>
      <c r="R55" s="29"/>
      <c r="S55" s="29"/>
      <c r="T55" s="29"/>
      <c r="U55" s="29"/>
      <c r="V55" s="29"/>
      <c r="W55" s="29"/>
      <c r="X55" s="29"/>
      <c r="Y55" s="29"/>
      <c r="Z55" s="29"/>
      <c r="AA55" s="29"/>
      <c r="AB55" s="10"/>
      <c r="AC55" s="10"/>
      <c r="AD55" s="10"/>
      <c r="AE55" s="10"/>
      <c r="AF55" s="49"/>
      <c r="AG55" s="50"/>
      <c r="AK55" s="50"/>
      <c r="AL55" s="27"/>
      <c r="AM55" s="27"/>
      <c r="AN55" s="27"/>
      <c r="AO55" s="28"/>
      <c r="AP55" s="28"/>
      <c r="AQ55" s="28"/>
      <c r="AR55" s="28"/>
      <c r="AS55" s="28"/>
      <c r="AT55" s="22"/>
      <c r="AU55" s="22"/>
      <c r="AV55" s="29"/>
      <c r="AW55" s="29"/>
      <c r="AX55" s="29"/>
      <c r="AY55" s="29"/>
      <c r="AZ55" s="29"/>
      <c r="BA55" s="29"/>
      <c r="BB55" s="29"/>
      <c r="BC55" s="29"/>
      <c r="BD55" s="29"/>
      <c r="BE55" s="29"/>
      <c r="BF55" s="29"/>
      <c r="BG55" s="29"/>
    </row>
    <row r="56" spans="1:59" ht="16.5" customHeight="1">
      <c r="A56" s="50"/>
      <c r="E56" s="50"/>
      <c r="F56" s="27"/>
      <c r="G56" s="27"/>
      <c r="H56" s="27"/>
      <c r="I56" s="28"/>
      <c r="J56" s="28"/>
      <c r="K56" s="28"/>
      <c r="L56" s="28"/>
      <c r="M56" s="28"/>
      <c r="N56" s="22"/>
      <c r="O56" s="22"/>
      <c r="P56" s="29"/>
      <c r="Q56" s="29"/>
      <c r="R56" s="29"/>
      <c r="S56" s="29"/>
      <c r="T56" s="29"/>
      <c r="U56" s="29"/>
      <c r="V56" s="29"/>
      <c r="W56" s="29"/>
      <c r="X56" s="29"/>
      <c r="Y56" s="29"/>
      <c r="Z56" s="29"/>
      <c r="AA56" s="29"/>
      <c r="AB56" s="10"/>
      <c r="AC56" s="10"/>
      <c r="AD56" s="10"/>
      <c r="AE56" s="10"/>
      <c r="AF56" s="49"/>
      <c r="AG56" s="50"/>
      <c r="AK56" s="50"/>
      <c r="AL56" s="27"/>
      <c r="AM56" s="27"/>
      <c r="AN56" s="27"/>
      <c r="AO56" s="28"/>
      <c r="AP56" s="28"/>
      <c r="AQ56" s="28"/>
      <c r="AR56" s="28"/>
      <c r="AS56" s="28"/>
      <c r="AT56" s="22"/>
      <c r="AU56" s="22"/>
      <c r="AV56" s="29"/>
      <c r="AW56" s="29"/>
      <c r="AX56" s="29"/>
      <c r="AY56" s="29"/>
      <c r="AZ56" s="29"/>
      <c r="BA56" s="29"/>
      <c r="BB56" s="29"/>
      <c r="BC56" s="29"/>
      <c r="BD56" s="29"/>
      <c r="BE56" s="29"/>
      <c r="BF56" s="29"/>
      <c r="BG56" s="29"/>
    </row>
    <row r="57" spans="1:59" ht="16.5" customHeight="1">
      <c r="A57" s="50"/>
      <c r="E57" s="50"/>
      <c r="F57" s="27"/>
      <c r="G57" s="27"/>
      <c r="H57" s="27"/>
      <c r="I57" s="28"/>
      <c r="J57" s="28"/>
      <c r="K57" s="28"/>
      <c r="L57" s="28"/>
      <c r="M57" s="28"/>
      <c r="N57" s="22"/>
      <c r="O57" s="22"/>
      <c r="P57" s="29"/>
      <c r="Q57" s="29"/>
      <c r="R57" s="29"/>
      <c r="S57" s="29"/>
      <c r="T57" s="29"/>
      <c r="U57" s="29"/>
      <c r="V57" s="29"/>
      <c r="W57" s="29"/>
      <c r="X57" s="29"/>
      <c r="Y57" s="29"/>
      <c r="Z57" s="29"/>
      <c r="AA57" s="29"/>
      <c r="AB57" s="10"/>
      <c r="AC57" s="10"/>
      <c r="AD57" s="10"/>
      <c r="AE57" s="10"/>
      <c r="AF57" s="49"/>
      <c r="AG57" s="50"/>
      <c r="AK57" s="50"/>
      <c r="AL57" s="27"/>
      <c r="AM57" s="27"/>
      <c r="AN57" s="27"/>
      <c r="AO57" s="28"/>
      <c r="AP57" s="28"/>
      <c r="AQ57" s="28"/>
      <c r="AR57" s="28"/>
      <c r="AS57" s="28"/>
      <c r="AT57" s="22"/>
      <c r="AU57" s="22"/>
      <c r="AV57" s="29"/>
      <c r="AW57" s="29"/>
      <c r="AX57" s="29"/>
      <c r="AY57" s="29"/>
      <c r="AZ57" s="29"/>
      <c r="BA57" s="29"/>
      <c r="BB57" s="29"/>
      <c r="BC57" s="29"/>
      <c r="BD57" s="29"/>
      <c r="BE57" s="29"/>
      <c r="BF57" s="29"/>
      <c r="BG57" s="29"/>
    </row>
    <row r="58" spans="1:59" ht="16.5" customHeight="1">
      <c r="A58" s="98" t="s">
        <v>3</v>
      </c>
      <c r="B58" s="98"/>
      <c r="C58" s="98"/>
      <c r="D58" s="98"/>
      <c r="E58" s="98"/>
      <c r="F58" s="155" t="s">
        <v>4</v>
      </c>
      <c r="G58" s="155"/>
      <c r="H58" s="155"/>
      <c r="I58" s="98" t="s">
        <v>5</v>
      </c>
      <c r="J58" s="98"/>
      <c r="K58" s="98"/>
      <c r="L58" s="98"/>
      <c r="M58" s="98"/>
      <c r="N58" s="98"/>
      <c r="O58" s="98"/>
      <c r="P58" s="98" t="s">
        <v>6</v>
      </c>
      <c r="Q58" s="98"/>
      <c r="R58" s="98"/>
      <c r="S58" s="98"/>
      <c r="T58" s="98" t="s">
        <v>7</v>
      </c>
      <c r="U58" s="98"/>
      <c r="V58" s="98"/>
      <c r="W58" s="98"/>
      <c r="X58" s="98" t="s">
        <v>8</v>
      </c>
      <c r="Y58" s="98"/>
      <c r="Z58" s="98"/>
      <c r="AA58" s="98"/>
      <c r="AB58" s="3"/>
      <c r="AC58" s="3"/>
      <c r="AD58" s="3"/>
      <c r="AE58" s="3"/>
      <c r="AF58" s="3"/>
    </row>
    <row r="59" spans="1:59" ht="16.5" customHeight="1">
      <c r="A59" s="202">
        <v>970</v>
      </c>
      <c r="B59" s="202"/>
      <c r="C59" s="202"/>
      <c r="D59" s="202"/>
      <c r="E59" s="202"/>
      <c r="F59" s="94">
        <v>5</v>
      </c>
      <c r="G59" s="94"/>
      <c r="H59" s="94"/>
      <c r="I59" s="95" t="s">
        <v>9</v>
      </c>
      <c r="J59" s="95"/>
      <c r="K59" s="95"/>
      <c r="L59" s="95"/>
      <c r="M59" s="95"/>
      <c r="N59" s="100" t="s">
        <v>10</v>
      </c>
      <c r="O59" s="100"/>
      <c r="P59" s="99">
        <f>P71+20</f>
        <v>283.5</v>
      </c>
      <c r="Q59" s="99"/>
      <c r="R59" s="99"/>
      <c r="S59" s="99"/>
      <c r="T59" s="99">
        <f>P59+30</f>
        <v>313.5</v>
      </c>
      <c r="U59" s="99"/>
      <c r="V59" s="99"/>
      <c r="W59" s="99"/>
      <c r="X59" s="99">
        <f>T59+30</f>
        <v>343.5</v>
      </c>
      <c r="Y59" s="99"/>
      <c r="Z59" s="99"/>
      <c r="AA59" s="99"/>
      <c r="AB59" s="10"/>
      <c r="AC59" s="10"/>
      <c r="AD59" s="10"/>
      <c r="AE59" s="10"/>
      <c r="AF59" s="49"/>
    </row>
    <row r="60" spans="1:59" ht="16.5" customHeight="1">
      <c r="A60" s="202"/>
      <c r="B60" s="202"/>
      <c r="C60" s="202"/>
      <c r="D60" s="202"/>
      <c r="E60" s="202"/>
      <c r="F60" s="94"/>
      <c r="G60" s="94"/>
      <c r="H60" s="94"/>
      <c r="I60" s="95"/>
      <c r="J60" s="95"/>
      <c r="K60" s="95"/>
      <c r="L60" s="95"/>
      <c r="M60" s="95"/>
      <c r="N60" s="100" t="s">
        <v>11</v>
      </c>
      <c r="O60" s="100"/>
      <c r="P60" s="99">
        <f>CEILING(P59*0.95,0.5)</f>
        <v>269.5</v>
      </c>
      <c r="Q60" s="99"/>
      <c r="R60" s="99"/>
      <c r="S60" s="99"/>
      <c r="T60" s="99">
        <f>CEILING(T59*0.95,0.5)</f>
        <v>298</v>
      </c>
      <c r="U60" s="99"/>
      <c r="V60" s="99"/>
      <c r="W60" s="99"/>
      <c r="X60" s="99">
        <f>CEILING(X59*0.95,0.5)</f>
        <v>326.5</v>
      </c>
      <c r="Y60" s="99"/>
      <c r="Z60" s="99"/>
      <c r="AA60" s="99"/>
      <c r="AB60" s="10"/>
      <c r="AC60" s="10"/>
      <c r="AD60" s="10"/>
      <c r="AE60" s="10"/>
      <c r="AF60" s="49"/>
    </row>
    <row r="61" spans="1:59" ht="16.5" customHeight="1">
      <c r="A61" s="202"/>
      <c r="B61" s="202"/>
      <c r="C61" s="202"/>
      <c r="D61" s="202"/>
      <c r="E61" s="202"/>
      <c r="F61" s="94"/>
      <c r="G61" s="94"/>
      <c r="H61" s="94"/>
      <c r="I61" s="95"/>
      <c r="J61" s="95"/>
      <c r="K61" s="95"/>
      <c r="L61" s="95"/>
      <c r="M61" s="95"/>
      <c r="N61" s="100" t="s">
        <v>12</v>
      </c>
      <c r="O61" s="100"/>
      <c r="P61" s="99">
        <f>P73+20</f>
        <v>249</v>
      </c>
      <c r="Q61" s="99"/>
      <c r="R61" s="99"/>
      <c r="S61" s="99"/>
      <c r="T61" s="99">
        <f>P61+30</f>
        <v>279</v>
      </c>
      <c r="U61" s="99"/>
      <c r="V61" s="99"/>
      <c r="W61" s="99"/>
      <c r="X61" s="99">
        <f>T61+30</f>
        <v>309</v>
      </c>
      <c r="Y61" s="99"/>
      <c r="Z61" s="99"/>
      <c r="AA61" s="99"/>
      <c r="AB61" s="10"/>
      <c r="AC61" s="10"/>
      <c r="AD61" s="10"/>
      <c r="AE61" s="10"/>
      <c r="AF61" s="49"/>
    </row>
    <row r="62" spans="1:59" ht="16.5" customHeight="1">
      <c r="A62" s="202"/>
      <c r="B62" s="202"/>
      <c r="C62" s="202"/>
      <c r="D62" s="202"/>
      <c r="E62" s="202"/>
      <c r="F62" s="94"/>
      <c r="G62" s="94"/>
      <c r="H62" s="94"/>
      <c r="I62" s="97" t="s">
        <v>14</v>
      </c>
      <c r="J62" s="97"/>
      <c r="K62" s="97"/>
      <c r="L62" s="97"/>
      <c r="M62" s="97"/>
      <c r="N62" s="98" t="s">
        <v>58</v>
      </c>
      <c r="O62" s="98"/>
      <c r="P62" s="96">
        <f>CEILING(P59*0.47+5,0.5)</f>
        <v>138.5</v>
      </c>
      <c r="Q62" s="96"/>
      <c r="R62" s="96"/>
      <c r="S62" s="96"/>
      <c r="T62" s="96">
        <f>CEILING(T59*0.47+5,0.5)</f>
        <v>152.5</v>
      </c>
      <c r="U62" s="96"/>
      <c r="V62" s="96"/>
      <c r="W62" s="96"/>
      <c r="X62" s="96">
        <f>CEILING(X59*0.47+5,0.5)</f>
        <v>166.5</v>
      </c>
      <c r="Y62" s="96"/>
      <c r="Z62" s="96"/>
      <c r="AA62" s="96"/>
      <c r="AB62" s="10"/>
      <c r="AC62" s="10"/>
      <c r="AD62" s="10"/>
      <c r="AE62" s="10"/>
      <c r="AF62" s="49"/>
    </row>
    <row r="63" spans="1:59" ht="16.5" customHeight="1">
      <c r="A63" s="202"/>
      <c r="B63" s="202"/>
      <c r="C63" s="202"/>
      <c r="D63" s="202"/>
      <c r="E63" s="202"/>
      <c r="F63" s="94"/>
      <c r="G63" s="94"/>
      <c r="H63" s="94"/>
      <c r="I63" s="97"/>
      <c r="J63" s="97"/>
      <c r="K63" s="97"/>
      <c r="L63" s="97"/>
      <c r="M63" s="97"/>
      <c r="N63" s="98" t="s">
        <v>11</v>
      </c>
      <c r="O63" s="98"/>
      <c r="P63" s="96">
        <f>CEILING(P62*0.95,0.5)</f>
        <v>132</v>
      </c>
      <c r="Q63" s="96"/>
      <c r="R63" s="96"/>
      <c r="S63" s="96"/>
      <c r="T63" s="96">
        <f>CEILING(T62*0.95,0.5)</f>
        <v>145</v>
      </c>
      <c r="U63" s="96"/>
      <c r="V63" s="96"/>
      <c r="W63" s="96"/>
      <c r="X63" s="96">
        <f>CEILING(X62*0.95,0.5)</f>
        <v>158.5</v>
      </c>
      <c r="Y63" s="96"/>
      <c r="Z63" s="96"/>
      <c r="AA63" s="96"/>
      <c r="AB63" s="10"/>
      <c r="AC63" s="10"/>
      <c r="AD63" s="10"/>
      <c r="AE63" s="10"/>
      <c r="AF63" s="49"/>
    </row>
    <row r="64" spans="1:59" ht="16.5" customHeight="1">
      <c r="A64" s="202"/>
      <c r="B64" s="202"/>
      <c r="C64" s="202"/>
      <c r="D64" s="202"/>
      <c r="E64" s="202"/>
      <c r="F64" s="94"/>
      <c r="G64" s="94"/>
      <c r="H64" s="94"/>
      <c r="I64" s="97"/>
      <c r="J64" s="97"/>
      <c r="K64" s="97"/>
      <c r="L64" s="97"/>
      <c r="M64" s="97"/>
      <c r="N64" s="98" t="s">
        <v>12</v>
      </c>
      <c r="O64" s="98"/>
      <c r="P64" s="96">
        <f>CEILING(P61*0.47+5,0.5)</f>
        <v>122.5</v>
      </c>
      <c r="Q64" s="96"/>
      <c r="R64" s="96"/>
      <c r="S64" s="96"/>
      <c r="T64" s="96">
        <f>CEILING(T61*0.47+5,0.5)</f>
        <v>136.5</v>
      </c>
      <c r="U64" s="96"/>
      <c r="V64" s="96"/>
      <c r="W64" s="96"/>
      <c r="X64" s="96">
        <f>CEILING(X61*0.47+5,0.5)</f>
        <v>150.5</v>
      </c>
      <c r="Y64" s="96"/>
      <c r="Z64" s="96"/>
      <c r="AA64" s="96"/>
      <c r="AB64" s="10"/>
      <c r="AC64" s="10"/>
      <c r="AD64" s="10"/>
      <c r="AE64" s="10"/>
      <c r="AF64" s="49"/>
    </row>
    <row r="65" spans="1:32" ht="16.5" customHeight="1">
      <c r="A65" s="202"/>
      <c r="B65" s="202"/>
      <c r="C65" s="202"/>
      <c r="D65" s="202"/>
      <c r="E65" s="202"/>
      <c r="F65" s="94"/>
      <c r="G65" s="94"/>
      <c r="H65" s="94"/>
      <c r="I65" s="95" t="s">
        <v>15</v>
      </c>
      <c r="J65" s="95"/>
      <c r="K65" s="95"/>
      <c r="L65" s="95"/>
      <c r="M65" s="95"/>
      <c r="N65" s="100" t="s">
        <v>10</v>
      </c>
      <c r="O65" s="100"/>
      <c r="P65" s="247">
        <f>P71+10</f>
        <v>273.5</v>
      </c>
      <c r="Q65" s="247"/>
      <c r="R65" s="247"/>
      <c r="S65" s="247"/>
      <c r="T65" s="247">
        <f>P65+15</f>
        <v>288.5</v>
      </c>
      <c r="U65" s="247"/>
      <c r="V65" s="247"/>
      <c r="W65" s="247"/>
      <c r="X65" s="247">
        <f>T65+15</f>
        <v>303.5</v>
      </c>
      <c r="Y65" s="247"/>
      <c r="Z65" s="247"/>
      <c r="AA65" s="247"/>
      <c r="AB65" s="10"/>
      <c r="AC65" s="10"/>
      <c r="AD65" s="10"/>
      <c r="AE65" s="10"/>
      <c r="AF65" s="49"/>
    </row>
    <row r="66" spans="1:32" ht="16.5" customHeight="1">
      <c r="A66" s="202"/>
      <c r="B66" s="202"/>
      <c r="C66" s="202"/>
      <c r="D66" s="202"/>
      <c r="E66" s="202"/>
      <c r="F66" s="94"/>
      <c r="G66" s="94"/>
      <c r="H66" s="94"/>
      <c r="I66" s="95"/>
      <c r="J66" s="95"/>
      <c r="K66" s="95"/>
      <c r="L66" s="95"/>
      <c r="M66" s="95"/>
      <c r="N66" s="100" t="s">
        <v>11</v>
      </c>
      <c r="O66" s="100"/>
      <c r="P66" s="247">
        <f>CEILING(P65*0.95,0.5)</f>
        <v>260</v>
      </c>
      <c r="Q66" s="247"/>
      <c r="R66" s="247"/>
      <c r="S66" s="247"/>
      <c r="T66" s="247">
        <f>CEILING(T65*0.95,0.5)</f>
        <v>274.5</v>
      </c>
      <c r="U66" s="247"/>
      <c r="V66" s="247"/>
      <c r="W66" s="247"/>
      <c r="X66" s="247">
        <f>CEILING(X65*0.95,0.5)</f>
        <v>288.5</v>
      </c>
      <c r="Y66" s="247"/>
      <c r="Z66" s="247"/>
      <c r="AA66" s="247"/>
      <c r="AB66" s="10"/>
      <c r="AC66" s="10"/>
      <c r="AD66" s="10"/>
      <c r="AE66" s="10"/>
      <c r="AF66" s="49"/>
    </row>
    <row r="67" spans="1:32" ht="16.5" customHeight="1">
      <c r="A67" s="202"/>
      <c r="B67" s="202"/>
      <c r="C67" s="202"/>
      <c r="D67" s="202"/>
      <c r="E67" s="202"/>
      <c r="F67" s="94"/>
      <c r="G67" s="94"/>
      <c r="H67" s="94"/>
      <c r="I67" s="95"/>
      <c r="J67" s="95"/>
      <c r="K67" s="95"/>
      <c r="L67" s="95"/>
      <c r="M67" s="95"/>
      <c r="N67" s="100" t="s">
        <v>12</v>
      </c>
      <c r="O67" s="100"/>
      <c r="P67" s="247">
        <f>P73+10</f>
        <v>239</v>
      </c>
      <c r="Q67" s="247"/>
      <c r="R67" s="247"/>
      <c r="S67" s="247"/>
      <c r="T67" s="247">
        <f>P67+15</f>
        <v>254</v>
      </c>
      <c r="U67" s="247"/>
      <c r="V67" s="247"/>
      <c r="W67" s="247"/>
      <c r="X67" s="247">
        <f>T67+15</f>
        <v>269</v>
      </c>
      <c r="Y67" s="247"/>
      <c r="Z67" s="247"/>
      <c r="AA67" s="247"/>
      <c r="AB67" s="10"/>
      <c r="AC67" s="10"/>
      <c r="AD67" s="10"/>
      <c r="AE67" s="10"/>
      <c r="AF67" s="49"/>
    </row>
    <row r="68" spans="1:32" ht="16.5" customHeight="1">
      <c r="A68" s="202"/>
      <c r="B68" s="202"/>
      <c r="C68" s="202"/>
      <c r="D68" s="202"/>
      <c r="E68" s="202"/>
      <c r="F68" s="94"/>
      <c r="G68" s="94"/>
      <c r="H68" s="94"/>
      <c r="I68" s="97" t="s">
        <v>17</v>
      </c>
      <c r="J68" s="97"/>
      <c r="K68" s="97"/>
      <c r="L68" s="97"/>
      <c r="M68" s="97"/>
      <c r="N68" s="98" t="s">
        <v>58</v>
      </c>
      <c r="O68" s="98"/>
      <c r="P68" s="96">
        <f>CEILING(P65*0.47+5,0.5)</f>
        <v>134</v>
      </c>
      <c r="Q68" s="96"/>
      <c r="R68" s="96"/>
      <c r="S68" s="96"/>
      <c r="T68" s="96">
        <f>CEILING(T65*0.47+5,0.5)</f>
        <v>141</v>
      </c>
      <c r="U68" s="96"/>
      <c r="V68" s="96"/>
      <c r="W68" s="96"/>
      <c r="X68" s="96">
        <f>CEILING(X65*0.47+5,0.5)</f>
        <v>148</v>
      </c>
      <c r="Y68" s="96"/>
      <c r="Z68" s="96"/>
      <c r="AA68" s="96"/>
      <c r="AB68" s="10"/>
      <c r="AC68" s="10"/>
      <c r="AD68" s="10"/>
      <c r="AE68" s="10"/>
      <c r="AF68" s="49"/>
    </row>
    <row r="69" spans="1:32" ht="16.5" customHeight="1">
      <c r="A69" s="202"/>
      <c r="B69" s="202"/>
      <c r="C69" s="202"/>
      <c r="D69" s="202"/>
      <c r="E69" s="202"/>
      <c r="F69" s="94"/>
      <c r="G69" s="94"/>
      <c r="H69" s="94"/>
      <c r="I69" s="97"/>
      <c r="J69" s="97"/>
      <c r="K69" s="97"/>
      <c r="L69" s="97"/>
      <c r="M69" s="97"/>
      <c r="N69" s="98" t="s">
        <v>11</v>
      </c>
      <c r="O69" s="98"/>
      <c r="P69" s="96">
        <f>CEILING(P68*0.95,0.5)</f>
        <v>127.5</v>
      </c>
      <c r="Q69" s="96"/>
      <c r="R69" s="96"/>
      <c r="S69" s="96"/>
      <c r="T69" s="96">
        <f>CEILING(T68*0.95,0.5)</f>
        <v>134</v>
      </c>
      <c r="U69" s="96"/>
      <c r="V69" s="96"/>
      <c r="W69" s="96"/>
      <c r="X69" s="96">
        <f>CEILING(X68*0.95,0.5)</f>
        <v>141</v>
      </c>
      <c r="Y69" s="96"/>
      <c r="Z69" s="96"/>
      <c r="AA69" s="96"/>
      <c r="AB69" s="10"/>
      <c r="AC69" s="10"/>
      <c r="AD69" s="10"/>
      <c r="AE69" s="10"/>
      <c r="AF69" s="49"/>
    </row>
    <row r="70" spans="1:32" ht="16.5" customHeight="1">
      <c r="A70" s="202"/>
      <c r="B70" s="202"/>
      <c r="C70" s="202"/>
      <c r="D70" s="202"/>
      <c r="E70" s="202"/>
      <c r="F70" s="94"/>
      <c r="G70" s="94"/>
      <c r="H70" s="94"/>
      <c r="I70" s="97"/>
      <c r="J70" s="97"/>
      <c r="K70" s="97"/>
      <c r="L70" s="97"/>
      <c r="M70" s="97"/>
      <c r="N70" s="98" t="s">
        <v>12</v>
      </c>
      <c r="O70" s="98"/>
      <c r="P70" s="96">
        <f>CEILING(P67*0.47+5,0.5)</f>
        <v>117.5</v>
      </c>
      <c r="Q70" s="96"/>
      <c r="R70" s="96"/>
      <c r="S70" s="96"/>
      <c r="T70" s="96">
        <f>CEILING(T67*0.47+5,0.5)</f>
        <v>124.5</v>
      </c>
      <c r="U70" s="96"/>
      <c r="V70" s="96"/>
      <c r="W70" s="96"/>
      <c r="X70" s="96">
        <f>CEILING(X67*0.47+5,0.5)</f>
        <v>131.5</v>
      </c>
      <c r="Y70" s="96"/>
      <c r="Z70" s="96"/>
      <c r="AA70" s="96"/>
      <c r="AB70" s="10"/>
      <c r="AC70" s="10"/>
      <c r="AD70" s="10"/>
      <c r="AE70" s="10"/>
      <c r="AF70" s="49"/>
    </row>
    <row r="71" spans="1:32" ht="16.5" customHeight="1">
      <c r="A71" s="202"/>
      <c r="B71" s="202"/>
      <c r="C71" s="202"/>
      <c r="D71" s="202"/>
      <c r="E71" s="202"/>
      <c r="F71" s="94"/>
      <c r="G71" s="94"/>
      <c r="H71" s="94"/>
      <c r="I71" s="95" t="s">
        <v>18</v>
      </c>
      <c r="J71" s="95"/>
      <c r="K71" s="95"/>
      <c r="L71" s="95"/>
      <c r="M71" s="95"/>
      <c r="N71" s="100" t="s">
        <v>10</v>
      </c>
      <c r="O71" s="100"/>
      <c r="P71" s="248">
        <f>CEILING(202.5*1.3,0.5)</f>
        <v>263.5</v>
      </c>
      <c r="Q71" s="248"/>
      <c r="R71" s="248"/>
      <c r="S71" s="248"/>
      <c r="T71" s="247">
        <f>P71+10</f>
        <v>273.5</v>
      </c>
      <c r="U71" s="247"/>
      <c r="V71" s="247"/>
      <c r="W71" s="247"/>
      <c r="X71" s="247">
        <f>T71+10</f>
        <v>283.5</v>
      </c>
      <c r="Y71" s="247"/>
      <c r="Z71" s="247"/>
      <c r="AA71" s="247"/>
      <c r="AB71" s="10"/>
      <c r="AC71" s="10"/>
      <c r="AD71" s="10"/>
      <c r="AE71" s="10"/>
      <c r="AF71" s="49"/>
    </row>
    <row r="72" spans="1:32" ht="16.5" customHeight="1">
      <c r="A72" s="202"/>
      <c r="B72" s="202"/>
      <c r="C72" s="202"/>
      <c r="D72" s="202"/>
      <c r="E72" s="202"/>
      <c r="F72" s="94"/>
      <c r="G72" s="94"/>
      <c r="H72" s="94"/>
      <c r="I72" s="95"/>
      <c r="J72" s="95"/>
      <c r="K72" s="95"/>
      <c r="L72" s="95"/>
      <c r="M72" s="95"/>
      <c r="N72" s="100" t="s">
        <v>11</v>
      </c>
      <c r="O72" s="100"/>
      <c r="P72" s="247">
        <f>CEILING(P71*0.95,0.5)</f>
        <v>250.5</v>
      </c>
      <c r="Q72" s="247"/>
      <c r="R72" s="247"/>
      <c r="S72" s="247"/>
      <c r="T72" s="247">
        <f>CEILING(T71*0.95,0.5)</f>
        <v>260</v>
      </c>
      <c r="U72" s="247"/>
      <c r="V72" s="247"/>
      <c r="W72" s="247"/>
      <c r="X72" s="247">
        <f>CEILING(X71*0.95,0.5)</f>
        <v>269.5</v>
      </c>
      <c r="Y72" s="247"/>
      <c r="Z72" s="247"/>
      <c r="AA72" s="247"/>
      <c r="AB72" s="10"/>
      <c r="AC72" s="10"/>
      <c r="AD72" s="10"/>
      <c r="AE72" s="10"/>
      <c r="AF72" s="49"/>
    </row>
    <row r="73" spans="1:32" ht="16.5" customHeight="1">
      <c r="A73" s="202"/>
      <c r="B73" s="202"/>
      <c r="C73" s="202"/>
      <c r="D73" s="202"/>
      <c r="E73" s="202"/>
      <c r="F73" s="94"/>
      <c r="G73" s="94"/>
      <c r="H73" s="94"/>
      <c r="I73" s="95"/>
      <c r="J73" s="95"/>
      <c r="K73" s="95"/>
      <c r="L73" s="95"/>
      <c r="M73" s="95"/>
      <c r="N73" s="100" t="s">
        <v>12</v>
      </c>
      <c r="O73" s="100"/>
      <c r="P73" s="248">
        <f>CEILING(176*1.3,0.5)</f>
        <v>229</v>
      </c>
      <c r="Q73" s="248"/>
      <c r="R73" s="248"/>
      <c r="S73" s="248"/>
      <c r="T73" s="247">
        <f>P73+10</f>
        <v>239</v>
      </c>
      <c r="U73" s="247"/>
      <c r="V73" s="247"/>
      <c r="W73" s="247"/>
      <c r="X73" s="247">
        <f>T73+10</f>
        <v>249</v>
      </c>
      <c r="Y73" s="247"/>
      <c r="Z73" s="247"/>
      <c r="AA73" s="247"/>
      <c r="AB73" s="10"/>
      <c r="AC73" s="10"/>
      <c r="AD73" s="10"/>
      <c r="AE73" s="10"/>
      <c r="AF73" s="49"/>
    </row>
    <row r="74" spans="1:32" ht="16.5" customHeight="1">
      <c r="A74" s="202"/>
      <c r="B74" s="202"/>
      <c r="C74" s="202"/>
      <c r="D74" s="202"/>
      <c r="E74" s="202"/>
      <c r="F74" s="94"/>
      <c r="G74" s="94"/>
      <c r="H74" s="94"/>
      <c r="I74" s="97" t="s">
        <v>20</v>
      </c>
      <c r="J74" s="97"/>
      <c r="K74" s="97"/>
      <c r="L74" s="97"/>
      <c r="M74" s="97"/>
      <c r="N74" s="98" t="s">
        <v>58</v>
      </c>
      <c r="O74" s="98"/>
      <c r="P74" s="96">
        <f>CEILING(P71*0.47+5,0.5)</f>
        <v>129</v>
      </c>
      <c r="Q74" s="96"/>
      <c r="R74" s="96"/>
      <c r="S74" s="96"/>
      <c r="T74" s="96">
        <f>CEILING(T71*0.47+5,0.5)</f>
        <v>134</v>
      </c>
      <c r="U74" s="96"/>
      <c r="V74" s="96"/>
      <c r="W74" s="96"/>
      <c r="X74" s="96">
        <f>CEILING(X71*0.47+5,0.5)</f>
        <v>138.5</v>
      </c>
      <c r="Y74" s="96"/>
      <c r="Z74" s="96"/>
      <c r="AA74" s="96"/>
      <c r="AB74" s="10"/>
      <c r="AC74" s="10"/>
      <c r="AD74" s="10"/>
      <c r="AE74" s="10"/>
      <c r="AF74" s="49"/>
    </row>
    <row r="75" spans="1:32" ht="16.5" customHeight="1">
      <c r="A75" s="202"/>
      <c r="B75" s="202"/>
      <c r="C75" s="202"/>
      <c r="D75" s="202"/>
      <c r="E75" s="202"/>
      <c r="F75" s="94"/>
      <c r="G75" s="94"/>
      <c r="H75" s="94"/>
      <c r="I75" s="97"/>
      <c r="J75" s="97"/>
      <c r="K75" s="97"/>
      <c r="L75" s="97"/>
      <c r="M75" s="97"/>
      <c r="N75" s="98" t="s">
        <v>11</v>
      </c>
      <c r="O75" s="98"/>
      <c r="P75" s="96">
        <f>CEILING(P74*0.95,0.5)</f>
        <v>123</v>
      </c>
      <c r="Q75" s="96"/>
      <c r="R75" s="96"/>
      <c r="S75" s="96"/>
      <c r="T75" s="96">
        <f>CEILING(T74*0.95,0.5)</f>
        <v>127.5</v>
      </c>
      <c r="U75" s="96"/>
      <c r="V75" s="96"/>
      <c r="W75" s="96"/>
      <c r="X75" s="96">
        <f>CEILING(X74*0.95,0.5)</f>
        <v>132</v>
      </c>
      <c r="Y75" s="96"/>
      <c r="Z75" s="96"/>
      <c r="AA75" s="96"/>
      <c r="AB75" s="10"/>
      <c r="AC75" s="10"/>
      <c r="AD75" s="10"/>
      <c r="AE75" s="10"/>
      <c r="AF75" s="49"/>
    </row>
    <row r="76" spans="1:32" ht="16.5" customHeight="1">
      <c r="A76" s="202"/>
      <c r="B76" s="202"/>
      <c r="C76" s="202"/>
      <c r="D76" s="202"/>
      <c r="E76" s="202"/>
      <c r="F76" s="94"/>
      <c r="G76" s="94"/>
      <c r="H76" s="94"/>
      <c r="I76" s="97"/>
      <c r="J76" s="97"/>
      <c r="K76" s="97"/>
      <c r="L76" s="97"/>
      <c r="M76" s="97"/>
      <c r="N76" s="98" t="s">
        <v>12</v>
      </c>
      <c r="O76" s="98"/>
      <c r="P76" s="96">
        <f>CEILING(P73*0.47+5,0.5)</f>
        <v>113</v>
      </c>
      <c r="Q76" s="96"/>
      <c r="R76" s="96"/>
      <c r="S76" s="96"/>
      <c r="T76" s="96">
        <f>CEILING(T73*0.47+5,0.5)</f>
        <v>117.5</v>
      </c>
      <c r="U76" s="96"/>
      <c r="V76" s="96"/>
      <c r="W76" s="96"/>
      <c r="X76" s="96">
        <f>CEILING(X73*0.47+5,0.5)</f>
        <v>122.5</v>
      </c>
      <c r="Y76" s="96"/>
      <c r="Z76" s="96"/>
      <c r="AA76" s="96"/>
      <c r="AB76" s="10"/>
      <c r="AC76" s="10"/>
      <c r="AD76" s="10"/>
      <c r="AE76" s="10"/>
      <c r="AF76" s="49"/>
    </row>
    <row r="77" spans="1:32" ht="16.5" customHeight="1">
      <c r="A77" s="202"/>
      <c r="B77" s="202"/>
      <c r="C77" s="202"/>
      <c r="D77" s="202"/>
      <c r="E77" s="202"/>
      <c r="F77" s="94"/>
      <c r="G77" s="94"/>
      <c r="H77" s="94"/>
      <c r="I77" s="82" t="s">
        <v>21</v>
      </c>
      <c r="J77" s="82"/>
      <c r="K77" s="82"/>
      <c r="L77" s="82"/>
      <c r="M77" s="82"/>
      <c r="N77" s="84" t="s">
        <v>10</v>
      </c>
      <c r="O77" s="84"/>
      <c r="P77" s="249">
        <f>P71-4</f>
        <v>259.5</v>
      </c>
      <c r="Q77" s="249"/>
      <c r="R77" s="249"/>
      <c r="S77" s="249"/>
      <c r="T77" s="249">
        <f>P77+8</f>
        <v>267.5</v>
      </c>
      <c r="U77" s="249"/>
      <c r="V77" s="249"/>
      <c r="W77" s="249"/>
      <c r="X77" s="249">
        <f>T77+8</f>
        <v>275.5</v>
      </c>
      <c r="Y77" s="249"/>
      <c r="Z77" s="249"/>
      <c r="AA77" s="249"/>
      <c r="AB77" s="10"/>
      <c r="AC77" s="10"/>
      <c r="AD77" s="10"/>
      <c r="AE77" s="10"/>
      <c r="AF77" s="49"/>
    </row>
    <row r="78" spans="1:32" ht="16.5" customHeight="1">
      <c r="A78" s="202"/>
      <c r="B78" s="202"/>
      <c r="C78" s="202"/>
      <c r="D78" s="202"/>
      <c r="E78" s="202"/>
      <c r="F78" s="94"/>
      <c r="G78" s="94"/>
      <c r="H78" s="94"/>
      <c r="I78" s="82"/>
      <c r="J78" s="82"/>
      <c r="K78" s="82"/>
      <c r="L78" s="82"/>
      <c r="M78" s="82"/>
      <c r="N78" s="84" t="s">
        <v>11</v>
      </c>
      <c r="O78" s="84"/>
      <c r="P78" s="249">
        <f>CEILING(P77*0.95,0.5)</f>
        <v>247</v>
      </c>
      <c r="Q78" s="249"/>
      <c r="R78" s="249"/>
      <c r="S78" s="249"/>
      <c r="T78" s="249">
        <f>CEILING(T77*0.95,0.5)</f>
        <v>254.5</v>
      </c>
      <c r="U78" s="249"/>
      <c r="V78" s="249"/>
      <c r="W78" s="249"/>
      <c r="X78" s="249">
        <f>CEILING(X77*0.95,0.5)</f>
        <v>262</v>
      </c>
      <c r="Y78" s="249"/>
      <c r="Z78" s="249"/>
      <c r="AA78" s="249"/>
      <c r="AB78" s="10"/>
      <c r="AC78" s="10"/>
      <c r="AD78" s="10"/>
      <c r="AE78" s="10"/>
      <c r="AF78" s="49"/>
    </row>
    <row r="79" spans="1:32" ht="16.5" customHeight="1">
      <c r="A79" s="202"/>
      <c r="B79" s="202"/>
      <c r="C79" s="202"/>
      <c r="D79" s="202"/>
      <c r="E79" s="202"/>
      <c r="F79" s="94"/>
      <c r="G79" s="94"/>
      <c r="H79" s="94"/>
      <c r="I79" s="82"/>
      <c r="J79" s="82"/>
      <c r="K79" s="82"/>
      <c r="L79" s="82"/>
      <c r="M79" s="82"/>
      <c r="N79" s="84" t="s">
        <v>12</v>
      </c>
      <c r="O79" s="84"/>
      <c r="P79" s="249">
        <f>P73-4</f>
        <v>225</v>
      </c>
      <c r="Q79" s="249"/>
      <c r="R79" s="249"/>
      <c r="S79" s="249"/>
      <c r="T79" s="249">
        <f>P79+8</f>
        <v>233</v>
      </c>
      <c r="U79" s="249"/>
      <c r="V79" s="249"/>
      <c r="W79" s="249"/>
      <c r="X79" s="249">
        <f>T79+8</f>
        <v>241</v>
      </c>
      <c r="Y79" s="249"/>
      <c r="Z79" s="249"/>
      <c r="AA79" s="249"/>
      <c r="AB79" s="10"/>
      <c r="AC79" s="10"/>
      <c r="AD79" s="10"/>
      <c r="AE79" s="10"/>
      <c r="AF79" s="49"/>
    </row>
    <row r="80" spans="1:32" ht="16.5" customHeight="1">
      <c r="A80" s="202"/>
      <c r="B80" s="202"/>
      <c r="C80" s="202"/>
      <c r="D80" s="202"/>
      <c r="E80" s="202"/>
      <c r="F80" s="94"/>
      <c r="G80" s="94"/>
      <c r="H80" s="94"/>
      <c r="I80" s="80" t="s">
        <v>23</v>
      </c>
      <c r="J80" s="80"/>
      <c r="K80" s="80"/>
      <c r="L80" s="80"/>
      <c r="M80" s="80"/>
      <c r="N80" s="81" t="s">
        <v>58</v>
      </c>
      <c r="O80" s="81"/>
      <c r="P80" s="89">
        <f>CEILING(P77*0.47+5,0.5)</f>
        <v>127</v>
      </c>
      <c r="Q80" s="89"/>
      <c r="R80" s="89"/>
      <c r="S80" s="89"/>
      <c r="T80" s="89">
        <f>CEILING(T77*0.47+5,0.5)</f>
        <v>131</v>
      </c>
      <c r="U80" s="89"/>
      <c r="V80" s="89"/>
      <c r="W80" s="89"/>
      <c r="X80" s="89">
        <f>CEILING(X77*0.47+5,0.5)</f>
        <v>134.5</v>
      </c>
      <c r="Y80" s="89"/>
      <c r="Z80" s="89"/>
      <c r="AA80" s="89"/>
      <c r="AB80" s="10"/>
      <c r="AC80" s="10"/>
      <c r="AD80" s="10"/>
      <c r="AE80" s="10"/>
      <c r="AF80" s="49"/>
    </row>
    <row r="81" spans="1:63" ht="16.5" customHeight="1">
      <c r="A81" s="202"/>
      <c r="B81" s="202"/>
      <c r="C81" s="202"/>
      <c r="D81" s="202"/>
      <c r="E81" s="202"/>
      <c r="F81" s="94"/>
      <c r="G81" s="94"/>
      <c r="H81" s="94"/>
      <c r="I81" s="80"/>
      <c r="J81" s="80"/>
      <c r="K81" s="80"/>
      <c r="L81" s="80"/>
      <c r="M81" s="80"/>
      <c r="N81" s="81" t="s">
        <v>11</v>
      </c>
      <c r="O81" s="81"/>
      <c r="P81" s="89">
        <f>CEILING(P80*0.95,0.5)</f>
        <v>121</v>
      </c>
      <c r="Q81" s="89"/>
      <c r="R81" s="89"/>
      <c r="S81" s="89"/>
      <c r="T81" s="89">
        <f>CEILING(T80*0.95,0.5)</f>
        <v>124.5</v>
      </c>
      <c r="U81" s="89"/>
      <c r="V81" s="89"/>
      <c r="W81" s="89"/>
      <c r="X81" s="89">
        <f>CEILING(X80*0.95,0.5)</f>
        <v>128</v>
      </c>
      <c r="Y81" s="89"/>
      <c r="Z81" s="89"/>
      <c r="AA81" s="89"/>
      <c r="AB81" s="10"/>
      <c r="AC81" s="10"/>
      <c r="AD81" s="10"/>
      <c r="AE81" s="10"/>
      <c r="AF81" s="49"/>
    </row>
    <row r="82" spans="1:63" ht="16.5" customHeight="1">
      <c r="A82" s="202"/>
      <c r="B82" s="202"/>
      <c r="C82" s="202"/>
      <c r="D82" s="202"/>
      <c r="E82" s="202"/>
      <c r="F82" s="94"/>
      <c r="G82" s="94"/>
      <c r="H82" s="94"/>
      <c r="I82" s="80"/>
      <c r="J82" s="80"/>
      <c r="K82" s="80"/>
      <c r="L82" s="80"/>
      <c r="M82" s="80"/>
      <c r="N82" s="81" t="s">
        <v>12</v>
      </c>
      <c r="O82" s="81"/>
      <c r="P82" s="89">
        <f>CEILING(P79*0.47+5,0.5)</f>
        <v>111</v>
      </c>
      <c r="Q82" s="89"/>
      <c r="R82" s="89"/>
      <c r="S82" s="89"/>
      <c r="T82" s="89">
        <f>CEILING(T79*0.47+5,0.5)</f>
        <v>115</v>
      </c>
      <c r="U82" s="89"/>
      <c r="V82" s="89"/>
      <c r="W82" s="89"/>
      <c r="X82" s="89">
        <f>CEILING(X79*0.47+5,0.5)</f>
        <v>118.5</v>
      </c>
      <c r="Y82" s="89"/>
      <c r="Z82" s="89"/>
      <c r="AA82" s="89"/>
      <c r="AB82" s="10"/>
      <c r="AC82" s="10"/>
      <c r="AD82" s="10"/>
      <c r="AE82" s="10"/>
      <c r="AF82" s="49"/>
    </row>
    <row r="83" spans="1:63" ht="16.5" customHeight="1">
      <c r="A83" s="9" t="s">
        <v>60</v>
      </c>
      <c r="C83" s="9"/>
      <c r="D83" s="9"/>
      <c r="E83" s="50"/>
      <c r="F83" s="27"/>
      <c r="G83" s="27"/>
      <c r="H83" s="27"/>
      <c r="I83" s="28"/>
      <c r="J83" s="28"/>
      <c r="K83" s="28"/>
      <c r="L83" s="28"/>
      <c r="M83" s="28"/>
      <c r="N83" s="22"/>
      <c r="O83" s="22"/>
      <c r="P83" s="29"/>
      <c r="Q83" s="29"/>
      <c r="R83" s="29"/>
      <c r="S83" s="29"/>
      <c r="T83" s="29"/>
      <c r="U83" s="29"/>
      <c r="V83" s="29"/>
      <c r="W83" s="29"/>
      <c r="X83" s="29"/>
      <c r="Y83" s="29"/>
      <c r="Z83" s="29"/>
      <c r="AA83" s="29"/>
      <c r="AB83" s="10"/>
      <c r="AC83" s="10"/>
      <c r="AD83" s="10"/>
      <c r="AE83" s="10"/>
      <c r="AF83" s="49"/>
      <c r="AG83" s="50"/>
      <c r="AK83" s="50"/>
      <c r="AL83" s="27"/>
      <c r="AM83" s="27"/>
      <c r="AN83" s="27"/>
      <c r="AO83" s="28"/>
      <c r="AP83" s="28"/>
      <c r="AQ83" s="28"/>
      <c r="AR83" s="28"/>
      <c r="AS83" s="28"/>
      <c r="AT83" s="22"/>
      <c r="AU83" s="22"/>
      <c r="AV83" s="29"/>
      <c r="AW83" s="29"/>
      <c r="AX83" s="29"/>
      <c r="AY83" s="29"/>
      <c r="AZ83" s="29"/>
      <c r="BA83" s="29"/>
      <c r="BB83" s="29"/>
      <c r="BC83" s="29"/>
      <c r="BD83" s="29"/>
      <c r="BE83" s="29"/>
      <c r="BF83" s="29"/>
      <c r="BG83" s="29"/>
      <c r="BH83" s="10"/>
      <c r="BI83" s="10"/>
      <c r="BJ83" s="10"/>
      <c r="BK83" s="10"/>
    </row>
    <row r="84" spans="1:63" ht="16.5" customHeight="1">
      <c r="A84" s="9" t="s">
        <v>25</v>
      </c>
    </row>
    <row r="85" spans="1:63" ht="16.5" customHeight="1">
      <c r="A85" s="9" t="s">
        <v>26</v>
      </c>
      <c r="B85" s="45"/>
    </row>
    <row r="86" spans="1:63" ht="16.5" customHeight="1" thickBot="1">
      <c r="A86" s="9"/>
      <c r="B86" s="45"/>
    </row>
    <row r="87" spans="1:63" ht="15.6" customHeight="1" thickTop="1">
      <c r="A87" s="229" t="s">
        <v>27</v>
      </c>
      <c r="B87" s="230"/>
      <c r="C87" s="230"/>
      <c r="D87" s="230"/>
      <c r="E87" s="230"/>
      <c r="F87" s="230"/>
      <c r="G87" s="230"/>
      <c r="H87" s="230"/>
      <c r="I87" s="230"/>
      <c r="J87" s="230"/>
      <c r="K87" s="230"/>
      <c r="L87" s="230"/>
      <c r="M87" s="230"/>
      <c r="N87" s="230"/>
      <c r="O87" s="230"/>
      <c r="P87" s="230"/>
      <c r="Q87" s="230"/>
      <c r="R87" s="230"/>
      <c r="S87" s="230"/>
      <c r="T87" s="231"/>
    </row>
    <row r="88" spans="1:63" ht="15.6" customHeight="1" thickBot="1">
      <c r="A88" s="159" t="s">
        <v>30</v>
      </c>
      <c r="B88" s="160"/>
      <c r="C88" s="160"/>
      <c r="D88" s="160"/>
      <c r="E88" s="160"/>
      <c r="F88" s="160"/>
      <c r="G88" s="160"/>
      <c r="H88" s="161"/>
      <c r="I88" s="232" t="s">
        <v>31</v>
      </c>
      <c r="J88" s="160"/>
      <c r="K88" s="160"/>
      <c r="L88" s="160"/>
      <c r="M88" s="160"/>
      <c r="N88" s="160"/>
      <c r="O88" s="160"/>
      <c r="P88" s="160"/>
      <c r="Q88" s="160"/>
      <c r="R88" s="160"/>
      <c r="S88" s="160"/>
      <c r="T88" s="162"/>
    </row>
    <row r="89" spans="1:63" ht="15.6" customHeight="1" thickTop="1"/>
    <row r="90" spans="1:63" ht="15.6" customHeight="1"/>
    <row r="91" spans="1:63" ht="15.6" customHeight="1"/>
    <row r="92" spans="1:63" ht="15.6" customHeight="1"/>
    <row r="93" spans="1:63" ht="15.6" customHeight="1"/>
    <row r="94" spans="1:63" ht="15.6" customHeight="1"/>
    <row r="95" spans="1:63" ht="15.6" customHeight="1"/>
    <row r="96" spans="1:63"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sheetData>
  <mergeCells count="351">
    <mergeCell ref="P78:S78"/>
    <mergeCell ref="I74:M76"/>
    <mergeCell ref="N74:O74"/>
    <mergeCell ref="N79:O79"/>
    <mergeCell ref="P79:S79"/>
    <mergeCell ref="T79:W79"/>
    <mergeCell ref="X79:AA79"/>
    <mergeCell ref="P76:S76"/>
    <mergeCell ref="N75:O75"/>
    <mergeCell ref="P75:S75"/>
    <mergeCell ref="T75:W75"/>
    <mergeCell ref="X75:AA75"/>
    <mergeCell ref="N76:O76"/>
    <mergeCell ref="T78:W78"/>
    <mergeCell ref="X78:AA78"/>
    <mergeCell ref="T76:W76"/>
    <mergeCell ref="X76:AA76"/>
    <mergeCell ref="T73:W73"/>
    <mergeCell ref="X73:AA73"/>
    <mergeCell ref="P74:S74"/>
    <mergeCell ref="T74:W74"/>
    <mergeCell ref="X74:AA74"/>
    <mergeCell ref="P82:S82"/>
    <mergeCell ref="T82:W82"/>
    <mergeCell ref="X82:AA82"/>
    <mergeCell ref="I80:M82"/>
    <mergeCell ref="N80:O80"/>
    <mergeCell ref="P80:S80"/>
    <mergeCell ref="T80:W80"/>
    <mergeCell ref="X80:AA80"/>
    <mergeCell ref="N81:O81"/>
    <mergeCell ref="P81:S81"/>
    <mergeCell ref="T81:W81"/>
    <mergeCell ref="X81:AA81"/>
    <mergeCell ref="N82:O82"/>
    <mergeCell ref="I77:M79"/>
    <mergeCell ref="N77:O77"/>
    <mergeCell ref="P77:S77"/>
    <mergeCell ref="T77:W77"/>
    <mergeCell ref="X77:AA77"/>
    <mergeCell ref="N78:O78"/>
    <mergeCell ref="N67:O67"/>
    <mergeCell ref="P67:S67"/>
    <mergeCell ref="T67:W67"/>
    <mergeCell ref="X67:AA67"/>
    <mergeCell ref="P64:S64"/>
    <mergeCell ref="T64:W64"/>
    <mergeCell ref="X64:AA64"/>
    <mergeCell ref="P65:S65"/>
    <mergeCell ref="T65:W65"/>
    <mergeCell ref="X65:AA65"/>
    <mergeCell ref="N66:O66"/>
    <mergeCell ref="P66:S66"/>
    <mergeCell ref="T66:W66"/>
    <mergeCell ref="X66:AA66"/>
    <mergeCell ref="I71:M73"/>
    <mergeCell ref="N71:O71"/>
    <mergeCell ref="P71:S71"/>
    <mergeCell ref="T71:W71"/>
    <mergeCell ref="X71:AA71"/>
    <mergeCell ref="N72:O72"/>
    <mergeCell ref="P72:S72"/>
    <mergeCell ref="I68:M70"/>
    <mergeCell ref="N68:O68"/>
    <mergeCell ref="P68:S68"/>
    <mergeCell ref="T68:W68"/>
    <mergeCell ref="X68:AA68"/>
    <mergeCell ref="N69:O69"/>
    <mergeCell ref="P69:S69"/>
    <mergeCell ref="T69:W69"/>
    <mergeCell ref="X69:AA69"/>
    <mergeCell ref="N70:O70"/>
    <mergeCell ref="P70:S70"/>
    <mergeCell ref="T70:W70"/>
    <mergeCell ref="X70:AA70"/>
    <mergeCell ref="T72:W72"/>
    <mergeCell ref="X72:AA72"/>
    <mergeCell ref="N73:O73"/>
    <mergeCell ref="P73:S73"/>
    <mergeCell ref="I62:M64"/>
    <mergeCell ref="N62:O62"/>
    <mergeCell ref="P62:S62"/>
    <mergeCell ref="T62:W62"/>
    <mergeCell ref="X62:AA62"/>
    <mergeCell ref="N63:O63"/>
    <mergeCell ref="P63:S63"/>
    <mergeCell ref="T63:W63"/>
    <mergeCell ref="X63:AA63"/>
    <mergeCell ref="N64:O64"/>
    <mergeCell ref="T60:W60"/>
    <mergeCell ref="X60:AA60"/>
    <mergeCell ref="N61:O61"/>
    <mergeCell ref="P61:S61"/>
    <mergeCell ref="T61:W61"/>
    <mergeCell ref="X61:AA61"/>
    <mergeCell ref="X58:AA58"/>
    <mergeCell ref="A59:E82"/>
    <mergeCell ref="F59:H82"/>
    <mergeCell ref="I59:M61"/>
    <mergeCell ref="N59:O59"/>
    <mergeCell ref="P59:S59"/>
    <mergeCell ref="T59:W59"/>
    <mergeCell ref="X59:AA59"/>
    <mergeCell ref="N60:O60"/>
    <mergeCell ref="P60:S60"/>
    <mergeCell ref="A58:E58"/>
    <mergeCell ref="F58:H58"/>
    <mergeCell ref="I58:M58"/>
    <mergeCell ref="N58:O58"/>
    <mergeCell ref="P58:S58"/>
    <mergeCell ref="T58:W58"/>
    <mergeCell ref="I65:M67"/>
    <mergeCell ref="N65:O65"/>
    <mergeCell ref="X32:AA32"/>
    <mergeCell ref="AT32:AU32"/>
    <mergeCell ref="AV32:AY32"/>
    <mergeCell ref="AZ32:BC32"/>
    <mergeCell ref="BD32:BG32"/>
    <mergeCell ref="N33:O33"/>
    <mergeCell ref="P33:S33"/>
    <mergeCell ref="T33:W33"/>
    <mergeCell ref="X33:AA33"/>
    <mergeCell ref="AT33:AU33"/>
    <mergeCell ref="AV33:AY33"/>
    <mergeCell ref="AZ33:BC33"/>
    <mergeCell ref="BD33:BG33"/>
    <mergeCell ref="I31:M33"/>
    <mergeCell ref="N31:O31"/>
    <mergeCell ref="P31:S31"/>
    <mergeCell ref="T31:W31"/>
    <mergeCell ref="X31:AA31"/>
    <mergeCell ref="AO31:AS33"/>
    <mergeCell ref="AZ29:BC29"/>
    <mergeCell ref="BD29:BG29"/>
    <mergeCell ref="N30:O30"/>
    <mergeCell ref="P30:S30"/>
    <mergeCell ref="T30:W30"/>
    <mergeCell ref="X30:AA30"/>
    <mergeCell ref="AT30:AU30"/>
    <mergeCell ref="AV30:AY30"/>
    <mergeCell ref="AZ30:BC30"/>
    <mergeCell ref="BD30:BG30"/>
    <mergeCell ref="I28:M30"/>
    <mergeCell ref="AT31:AU31"/>
    <mergeCell ref="AV31:AY31"/>
    <mergeCell ref="AZ31:BC31"/>
    <mergeCell ref="BD31:BG31"/>
    <mergeCell ref="N32:O32"/>
    <mergeCell ref="P32:S32"/>
    <mergeCell ref="T32:W32"/>
    <mergeCell ref="N29:O29"/>
    <mergeCell ref="P29:S29"/>
    <mergeCell ref="T29:W29"/>
    <mergeCell ref="X29:AA29"/>
    <mergeCell ref="AT29:AU29"/>
    <mergeCell ref="AV29:AY29"/>
    <mergeCell ref="N28:O28"/>
    <mergeCell ref="P28:S28"/>
    <mergeCell ref="T28:W28"/>
    <mergeCell ref="X28:AA28"/>
    <mergeCell ref="AO28:AS30"/>
    <mergeCell ref="AT28:AU28"/>
    <mergeCell ref="AV28:AY28"/>
    <mergeCell ref="AZ28:BC28"/>
    <mergeCell ref="BD28:BG28"/>
    <mergeCell ref="AO25:AS27"/>
    <mergeCell ref="AT25:AU25"/>
    <mergeCell ref="AV25:AY25"/>
    <mergeCell ref="AZ25:BC25"/>
    <mergeCell ref="BD25:BG25"/>
    <mergeCell ref="X24:AA24"/>
    <mergeCell ref="AT24:AU24"/>
    <mergeCell ref="AV24:AY24"/>
    <mergeCell ref="AZ24:BC24"/>
    <mergeCell ref="BD24:BG24"/>
    <mergeCell ref="T27:W27"/>
    <mergeCell ref="X27:AA27"/>
    <mergeCell ref="AT27:AU27"/>
    <mergeCell ref="AV27:AY27"/>
    <mergeCell ref="AZ27:BC27"/>
    <mergeCell ref="BD27:BG27"/>
    <mergeCell ref="N26:O26"/>
    <mergeCell ref="P26:S26"/>
    <mergeCell ref="T26:W26"/>
    <mergeCell ref="X26:AA26"/>
    <mergeCell ref="AT26:AU26"/>
    <mergeCell ref="AV26:AY26"/>
    <mergeCell ref="AZ26:BC26"/>
    <mergeCell ref="BD26:BG26"/>
    <mergeCell ref="N27:O27"/>
    <mergeCell ref="P27:S27"/>
    <mergeCell ref="AT21:AU21"/>
    <mergeCell ref="AV21:AY21"/>
    <mergeCell ref="AZ21:BC21"/>
    <mergeCell ref="BD21:BG21"/>
    <mergeCell ref="AV22:AY22"/>
    <mergeCell ref="AZ22:BC22"/>
    <mergeCell ref="BD22:BG22"/>
    <mergeCell ref="AT22:AU22"/>
    <mergeCell ref="N23:O23"/>
    <mergeCell ref="P23:S23"/>
    <mergeCell ref="T23:W23"/>
    <mergeCell ref="X23:AA23"/>
    <mergeCell ref="AT23:AU23"/>
    <mergeCell ref="AV23:AY23"/>
    <mergeCell ref="AZ23:BC23"/>
    <mergeCell ref="N22:O22"/>
    <mergeCell ref="P22:S22"/>
    <mergeCell ref="T22:W22"/>
    <mergeCell ref="X22:AA22"/>
    <mergeCell ref="AO22:AS24"/>
    <mergeCell ref="BD23:BG23"/>
    <mergeCell ref="N24:O24"/>
    <mergeCell ref="P24:S24"/>
    <mergeCell ref="T24:W24"/>
    <mergeCell ref="AV18:AY18"/>
    <mergeCell ref="AZ18:BC18"/>
    <mergeCell ref="BD18:BG18"/>
    <mergeCell ref="I16:M18"/>
    <mergeCell ref="AV19:AY19"/>
    <mergeCell ref="AZ19:BC19"/>
    <mergeCell ref="BD19:BG19"/>
    <mergeCell ref="N20:O20"/>
    <mergeCell ref="P20:S20"/>
    <mergeCell ref="T20:W20"/>
    <mergeCell ref="X20:AA20"/>
    <mergeCell ref="AT20:AU20"/>
    <mergeCell ref="AV20:AY20"/>
    <mergeCell ref="AZ20:BC20"/>
    <mergeCell ref="BD20:BG20"/>
    <mergeCell ref="AT16:AU16"/>
    <mergeCell ref="AT19:AU19"/>
    <mergeCell ref="AV15:AY15"/>
    <mergeCell ref="AZ15:BC15"/>
    <mergeCell ref="BD15:BG15"/>
    <mergeCell ref="AV16:AY16"/>
    <mergeCell ref="AZ16:BC16"/>
    <mergeCell ref="BD16:BG16"/>
    <mergeCell ref="N17:O17"/>
    <mergeCell ref="P17:S17"/>
    <mergeCell ref="T17:W17"/>
    <mergeCell ref="X17:AA17"/>
    <mergeCell ref="AT17:AU17"/>
    <mergeCell ref="AV17:AY17"/>
    <mergeCell ref="AZ17:BC17"/>
    <mergeCell ref="N16:O16"/>
    <mergeCell ref="P16:S16"/>
    <mergeCell ref="T16:W16"/>
    <mergeCell ref="X16:AA16"/>
    <mergeCell ref="AO16:AS18"/>
    <mergeCell ref="BD17:BG17"/>
    <mergeCell ref="N18:O18"/>
    <mergeCell ref="P18:S18"/>
    <mergeCell ref="T18:W18"/>
    <mergeCell ref="X18:AA18"/>
    <mergeCell ref="AT18:AU18"/>
    <mergeCell ref="AV13:AY13"/>
    <mergeCell ref="AZ13:BC13"/>
    <mergeCell ref="BD13:BG13"/>
    <mergeCell ref="N14:O14"/>
    <mergeCell ref="P14:S14"/>
    <mergeCell ref="T14:W14"/>
    <mergeCell ref="X14:AA14"/>
    <mergeCell ref="AT14:AU14"/>
    <mergeCell ref="AV14:AY14"/>
    <mergeCell ref="AZ14:BC14"/>
    <mergeCell ref="BD14:BG14"/>
    <mergeCell ref="AT13:AU13"/>
    <mergeCell ref="BD11:BG11"/>
    <mergeCell ref="N12:O12"/>
    <mergeCell ref="P12:S12"/>
    <mergeCell ref="T12:W12"/>
    <mergeCell ref="X12:AA12"/>
    <mergeCell ref="AT12:AU12"/>
    <mergeCell ref="AV12:AY12"/>
    <mergeCell ref="AZ12:BC12"/>
    <mergeCell ref="BD12:BG12"/>
    <mergeCell ref="AO10:AS12"/>
    <mergeCell ref="AT10:AU10"/>
    <mergeCell ref="AT15:AU15"/>
    <mergeCell ref="I19:M21"/>
    <mergeCell ref="N19:O19"/>
    <mergeCell ref="P19:S19"/>
    <mergeCell ref="T19:W19"/>
    <mergeCell ref="X19:AA19"/>
    <mergeCell ref="AO19:AS21"/>
    <mergeCell ref="N21:O21"/>
    <mergeCell ref="AO9:AS9"/>
    <mergeCell ref="AT9:AU9"/>
    <mergeCell ref="I9:M9"/>
    <mergeCell ref="N9:O9"/>
    <mergeCell ref="P9:S9"/>
    <mergeCell ref="T9:W9"/>
    <mergeCell ref="X9:AA9"/>
    <mergeCell ref="AG9:AK9"/>
    <mergeCell ref="AL9:AN9"/>
    <mergeCell ref="I13:M15"/>
    <mergeCell ref="N13:O13"/>
    <mergeCell ref="P13:S13"/>
    <mergeCell ref="T13:W13"/>
    <mergeCell ref="X13:AA13"/>
    <mergeCell ref="AO13:AS15"/>
    <mergeCell ref="N15:O15"/>
    <mergeCell ref="AV9:AY9"/>
    <mergeCell ref="AZ9:BC9"/>
    <mergeCell ref="BD9:BG9"/>
    <mergeCell ref="A10:E33"/>
    <mergeCell ref="F10:H33"/>
    <mergeCell ref="I10:M12"/>
    <mergeCell ref="N10:O10"/>
    <mergeCell ref="P10:S10"/>
    <mergeCell ref="AV10:AY10"/>
    <mergeCell ref="AZ10:BC10"/>
    <mergeCell ref="BD10:BG10"/>
    <mergeCell ref="N11:O11"/>
    <mergeCell ref="P11:S11"/>
    <mergeCell ref="T11:W11"/>
    <mergeCell ref="X11:AA11"/>
    <mergeCell ref="AT11:AU11"/>
    <mergeCell ref="AV11:AY11"/>
    <mergeCell ref="AZ11:BC11"/>
    <mergeCell ref="T10:W10"/>
    <mergeCell ref="X10:AA10"/>
    <mergeCell ref="AG10:AK33"/>
    <mergeCell ref="AL10:AN33"/>
    <mergeCell ref="A9:E9"/>
    <mergeCell ref="F9:H9"/>
    <mergeCell ref="A38:T38"/>
    <mergeCell ref="A39:H39"/>
    <mergeCell ref="I39:T39"/>
    <mergeCell ref="A87:T87"/>
    <mergeCell ref="A88:H88"/>
    <mergeCell ref="I88:T88"/>
    <mergeCell ref="A40:H40"/>
    <mergeCell ref="I40:T40"/>
    <mergeCell ref="A4:K5"/>
    <mergeCell ref="L4:Q7"/>
    <mergeCell ref="R4:AI7"/>
    <mergeCell ref="A6:K7"/>
    <mergeCell ref="P15:S15"/>
    <mergeCell ref="T15:W15"/>
    <mergeCell ref="X15:AA15"/>
    <mergeCell ref="P21:S21"/>
    <mergeCell ref="T21:W21"/>
    <mergeCell ref="X21:AA21"/>
    <mergeCell ref="I25:M27"/>
    <mergeCell ref="N25:O25"/>
    <mergeCell ref="P25:S25"/>
    <mergeCell ref="T25:W25"/>
    <mergeCell ref="X25:AA25"/>
    <mergeCell ref="I22:M24"/>
  </mergeCells>
  <phoneticPr fontId="2"/>
  <pageMargins left="0.39370078740157483" right="0.39370078740157483" top="0.59055118110236227" bottom="0.39370078740157483" header="0.51181102362204722" footer="0.19685039370078741"/>
  <pageSetup paperSize="9" scale="90" firstPageNumber="11" orientation="portrait" useFirstPageNumber="1" r:id="rId1"/>
  <headerFooter alignWithMargins="0">
    <oddFooter>&amp;C20260511臨時改定価格_SP_真空和紙包&amp;R&amp;P/&amp;N</oddFooter>
  </headerFooter>
  <rowBreaks count="1" manualBreakCount="1">
    <brk id="54" max="6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33B3-5488-48E8-AF78-73107C7BEECA}">
  <sheetPr>
    <tabColor indexed="10"/>
  </sheetPr>
  <dimension ref="A1:BK265"/>
  <sheetViews>
    <sheetView view="pageBreakPreview" zoomScaleSheetLayoutView="100" workbookViewId="0">
      <selection activeCell="BS8" sqref="BS8"/>
    </sheetView>
  </sheetViews>
  <sheetFormatPr defaultColWidth="8.875" defaultRowHeight="13.5"/>
  <cols>
    <col min="1" max="104" width="1.625" style="1" customWidth="1"/>
    <col min="105"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A2" s="9"/>
      <c r="E2" s="50"/>
      <c r="F2" s="27"/>
      <c r="G2" s="27"/>
      <c r="H2" s="27"/>
      <c r="I2" s="51"/>
      <c r="J2" s="51"/>
      <c r="K2" s="51"/>
      <c r="L2" s="51"/>
      <c r="M2" s="51"/>
      <c r="N2" s="22"/>
      <c r="O2" s="22"/>
      <c r="P2" s="29"/>
      <c r="Q2" s="29"/>
      <c r="R2" s="29"/>
      <c r="S2" s="29"/>
      <c r="T2" s="29"/>
      <c r="U2" s="29"/>
      <c r="V2" s="29"/>
      <c r="W2" s="29"/>
      <c r="X2" s="29"/>
      <c r="Y2" s="29"/>
      <c r="Z2" s="29"/>
      <c r="AA2" s="29"/>
      <c r="AB2" s="29"/>
      <c r="AC2" s="29"/>
      <c r="AD2" s="29"/>
      <c r="AE2" s="29"/>
      <c r="AF2" s="49"/>
      <c r="AG2" s="50"/>
      <c r="AK2" s="50"/>
      <c r="AL2" s="27"/>
      <c r="AM2" s="27"/>
      <c r="AN2" s="27"/>
      <c r="AO2" s="51"/>
      <c r="AP2" s="51"/>
      <c r="AQ2" s="51"/>
      <c r="AR2" s="51"/>
      <c r="AS2" s="51"/>
      <c r="AT2" s="22"/>
      <c r="AU2" s="22"/>
      <c r="AV2" s="29"/>
      <c r="AW2" s="29"/>
      <c r="AX2" s="29"/>
      <c r="AY2" s="29"/>
      <c r="AZ2" s="29"/>
      <c r="BA2" s="29"/>
      <c r="BB2" s="29"/>
      <c r="BC2" s="29"/>
      <c r="BD2" s="29"/>
      <c r="BE2" s="29"/>
      <c r="BF2" s="29"/>
      <c r="BG2" s="29"/>
      <c r="BH2" s="29"/>
      <c r="BI2" s="29"/>
      <c r="BJ2" s="29"/>
      <c r="BK2" s="29"/>
    </row>
    <row r="3" spans="1:63" ht="16.5" customHeight="1">
      <c r="A3" s="50"/>
      <c r="E3" s="50"/>
      <c r="F3" s="27"/>
      <c r="G3" s="27"/>
      <c r="H3" s="27"/>
      <c r="I3" s="51"/>
      <c r="J3" s="51"/>
      <c r="K3" s="51"/>
      <c r="L3" s="51"/>
      <c r="M3" s="51"/>
      <c r="N3" s="22"/>
      <c r="O3" s="22"/>
      <c r="P3" s="29"/>
      <c r="Q3" s="29"/>
      <c r="R3" s="29"/>
      <c r="S3" s="29"/>
      <c r="T3" s="29"/>
      <c r="U3" s="29"/>
      <c r="V3" s="29"/>
      <c r="W3" s="29"/>
      <c r="X3" s="29"/>
      <c r="Y3" s="29"/>
      <c r="Z3" s="29"/>
      <c r="AA3" s="29"/>
      <c r="AB3" s="29"/>
      <c r="AC3" s="29"/>
      <c r="AD3" s="29"/>
      <c r="AE3" s="29"/>
      <c r="AF3" s="49"/>
      <c r="AG3" s="50"/>
      <c r="AK3" s="50"/>
      <c r="AL3" s="27"/>
      <c r="AM3" s="27"/>
      <c r="AN3" s="27"/>
      <c r="AO3" s="51"/>
      <c r="AP3" s="51"/>
      <c r="AQ3" s="51"/>
      <c r="AR3" s="51"/>
      <c r="AS3" s="51"/>
      <c r="AT3" s="22"/>
      <c r="AU3" s="22"/>
      <c r="AV3" s="29"/>
      <c r="AW3" s="29"/>
      <c r="AX3" s="29"/>
      <c r="AY3" s="29"/>
      <c r="AZ3" s="29"/>
      <c r="BA3" s="29"/>
      <c r="BB3" s="29"/>
      <c r="BC3" s="29"/>
      <c r="BD3" s="29"/>
      <c r="BE3" s="29"/>
      <c r="BF3" s="29"/>
      <c r="BG3" s="29"/>
      <c r="BH3" s="29"/>
      <c r="BI3" s="29"/>
      <c r="BJ3" s="29"/>
      <c r="BK3" s="29"/>
    </row>
    <row r="4" spans="1:63" ht="16.5" customHeight="1">
      <c r="A4" s="109" t="s">
        <v>0</v>
      </c>
      <c r="B4" s="110"/>
      <c r="C4" s="110"/>
      <c r="D4" s="110"/>
      <c r="E4" s="110"/>
      <c r="F4" s="110"/>
      <c r="G4" s="110"/>
      <c r="H4" s="110"/>
      <c r="I4" s="110"/>
      <c r="J4" s="110"/>
      <c r="K4" s="172"/>
      <c r="L4" s="123" t="s">
        <v>104</v>
      </c>
      <c r="M4" s="124"/>
      <c r="N4" s="124"/>
      <c r="O4" s="124"/>
      <c r="P4" s="124"/>
      <c r="Q4" s="124"/>
      <c r="R4" s="124"/>
      <c r="S4" s="124"/>
      <c r="T4" s="124"/>
      <c r="U4" s="124"/>
      <c r="V4" s="124"/>
      <c r="W4" s="124"/>
      <c r="X4" s="124"/>
      <c r="Y4" s="124"/>
      <c r="Z4" s="124"/>
      <c r="AA4" s="124"/>
      <c r="AB4" s="124"/>
      <c r="AC4" s="124"/>
      <c r="AD4" s="124"/>
      <c r="AE4" s="124"/>
      <c r="AF4" s="4"/>
      <c r="AG4" s="119">
        <v>839</v>
      </c>
      <c r="AH4" s="119"/>
      <c r="AI4" s="119"/>
      <c r="AJ4" s="120" t="s">
        <v>105</v>
      </c>
      <c r="AK4" s="120"/>
      <c r="AL4" s="120"/>
      <c r="AM4" s="120"/>
      <c r="AN4" s="120"/>
      <c r="AO4" s="120"/>
      <c r="AP4" s="120"/>
      <c r="AQ4" s="120"/>
      <c r="AR4" s="120"/>
      <c r="AS4" s="120"/>
      <c r="AZ4" s="3"/>
      <c r="BA4" s="3"/>
      <c r="BB4" s="3"/>
      <c r="BC4" s="3"/>
      <c r="BD4" s="3"/>
      <c r="BE4" s="3"/>
      <c r="BF4" s="3"/>
      <c r="BG4" s="3"/>
      <c r="BH4" s="3"/>
      <c r="BI4" s="3"/>
      <c r="BJ4" s="3"/>
      <c r="BK4" s="3"/>
    </row>
    <row r="5" spans="1:63" ht="16.5" customHeight="1">
      <c r="A5" s="111"/>
      <c r="B5" s="112"/>
      <c r="C5" s="112"/>
      <c r="D5" s="112"/>
      <c r="E5" s="112"/>
      <c r="F5" s="112"/>
      <c r="G5" s="112"/>
      <c r="H5" s="112"/>
      <c r="I5" s="112"/>
      <c r="J5" s="112"/>
      <c r="K5" s="173"/>
      <c r="L5" s="125"/>
      <c r="M5" s="126"/>
      <c r="N5" s="126"/>
      <c r="O5" s="126"/>
      <c r="P5" s="126"/>
      <c r="Q5" s="126"/>
      <c r="R5" s="126"/>
      <c r="S5" s="126"/>
      <c r="T5" s="126"/>
      <c r="U5" s="126"/>
      <c r="V5" s="126"/>
      <c r="W5" s="126"/>
      <c r="X5" s="126"/>
      <c r="Y5" s="126"/>
      <c r="Z5" s="126"/>
      <c r="AA5" s="126"/>
      <c r="AB5" s="126"/>
      <c r="AC5" s="126"/>
      <c r="AD5" s="126"/>
      <c r="AE5" s="126"/>
      <c r="AF5" s="4"/>
      <c r="AG5" s="141">
        <v>840</v>
      </c>
      <c r="AH5" s="141"/>
      <c r="AI5" s="141"/>
      <c r="AJ5" s="148" t="s">
        <v>106</v>
      </c>
      <c r="AK5" s="148"/>
      <c r="AL5" s="148"/>
      <c r="AM5" s="148"/>
      <c r="AN5" s="148"/>
      <c r="AO5" s="148"/>
      <c r="AP5" s="148"/>
      <c r="AQ5" s="148"/>
      <c r="AR5" s="148"/>
      <c r="AS5" s="148"/>
      <c r="AZ5" s="3"/>
      <c r="BA5" s="52"/>
      <c r="BB5" s="3"/>
      <c r="BC5" s="3"/>
      <c r="BD5" s="3"/>
      <c r="BE5" s="3"/>
      <c r="BF5" s="3"/>
      <c r="BG5" s="3"/>
      <c r="BH5" s="3"/>
      <c r="BI5" s="3"/>
      <c r="BJ5" s="3"/>
      <c r="BK5" s="3"/>
    </row>
    <row r="6" spans="1:63" ht="16.5" customHeight="1">
      <c r="A6" s="180" t="s">
        <v>2</v>
      </c>
      <c r="B6" s="181"/>
      <c r="C6" s="181"/>
      <c r="D6" s="181"/>
      <c r="E6" s="181"/>
      <c r="F6" s="181"/>
      <c r="G6" s="181"/>
      <c r="H6" s="181"/>
      <c r="I6" s="181"/>
      <c r="J6" s="181"/>
      <c r="K6" s="182"/>
      <c r="L6" s="125"/>
      <c r="M6" s="126"/>
      <c r="N6" s="126"/>
      <c r="O6" s="126"/>
      <c r="P6" s="126"/>
      <c r="Q6" s="126"/>
      <c r="R6" s="126"/>
      <c r="S6" s="126"/>
      <c r="T6" s="126"/>
      <c r="U6" s="126"/>
      <c r="V6" s="126"/>
      <c r="W6" s="126"/>
      <c r="X6" s="126"/>
      <c r="Y6" s="126"/>
      <c r="Z6" s="126"/>
      <c r="AA6" s="126"/>
      <c r="AB6" s="126"/>
      <c r="AC6" s="126"/>
      <c r="AD6" s="126"/>
      <c r="AE6" s="126"/>
      <c r="AF6" s="4"/>
      <c r="AG6" s="151">
        <v>856</v>
      </c>
      <c r="AH6" s="151"/>
      <c r="AI6" s="151"/>
      <c r="AJ6" s="190" t="s">
        <v>95</v>
      </c>
      <c r="AK6" s="190"/>
      <c r="AL6" s="190"/>
      <c r="AM6" s="190"/>
      <c r="AN6" s="190"/>
      <c r="AO6" s="190"/>
      <c r="AP6" s="190"/>
      <c r="AQ6" s="190"/>
      <c r="AR6" s="190"/>
      <c r="AS6" s="190"/>
      <c r="AY6" s="52"/>
      <c r="AZ6" s="52"/>
      <c r="BA6" s="52"/>
      <c r="BB6" s="3"/>
      <c r="BC6" s="3"/>
      <c r="BD6" s="3"/>
      <c r="BE6" s="3"/>
      <c r="BF6" s="3"/>
      <c r="BG6" s="3"/>
      <c r="BH6" s="3"/>
      <c r="BI6" s="3"/>
      <c r="BJ6" s="3"/>
      <c r="BK6" s="3"/>
    </row>
    <row r="7" spans="1:63" ht="16.5" customHeight="1">
      <c r="A7" s="106"/>
      <c r="B7" s="107"/>
      <c r="C7" s="107"/>
      <c r="D7" s="107"/>
      <c r="E7" s="107"/>
      <c r="F7" s="107"/>
      <c r="G7" s="107"/>
      <c r="H7" s="107"/>
      <c r="I7" s="107"/>
      <c r="J7" s="107"/>
      <c r="K7" s="108"/>
      <c r="L7" s="127"/>
      <c r="M7" s="128"/>
      <c r="N7" s="128"/>
      <c r="O7" s="128"/>
      <c r="P7" s="128"/>
      <c r="Q7" s="128"/>
      <c r="R7" s="128"/>
      <c r="S7" s="128"/>
      <c r="T7" s="128"/>
      <c r="U7" s="128"/>
      <c r="V7" s="128"/>
      <c r="W7" s="128"/>
      <c r="X7" s="128"/>
      <c r="Y7" s="128"/>
      <c r="Z7" s="128"/>
      <c r="AA7" s="128"/>
      <c r="AB7" s="128"/>
      <c r="AC7" s="128"/>
      <c r="AD7" s="128"/>
      <c r="AE7" s="128"/>
      <c r="AF7" s="4"/>
      <c r="AG7" s="4"/>
      <c r="AH7" s="4"/>
      <c r="AL7" s="3"/>
      <c r="AM7" s="3"/>
      <c r="AN7" s="3"/>
      <c r="AO7" s="3"/>
      <c r="AP7" s="3"/>
      <c r="AQ7" s="3"/>
      <c r="AR7" s="3"/>
      <c r="AS7" s="3"/>
      <c r="AT7" s="3"/>
      <c r="AU7" s="3"/>
      <c r="AV7" s="3"/>
      <c r="AW7" s="3"/>
      <c r="AX7" s="3"/>
      <c r="AY7" s="53"/>
      <c r="AZ7" s="53"/>
      <c r="BA7" s="53"/>
      <c r="BB7" s="3"/>
      <c r="BC7" s="3"/>
      <c r="BD7" s="3"/>
      <c r="BE7" s="3"/>
      <c r="BF7" s="3"/>
      <c r="BG7" s="3"/>
      <c r="BH7" s="3"/>
      <c r="BI7" s="3"/>
      <c r="BJ7" s="3"/>
      <c r="BK7" s="3"/>
    </row>
    <row r="8" spans="1:63" ht="16.5" customHeight="1">
      <c r="A8" s="34"/>
      <c r="B8" s="34"/>
      <c r="C8" s="34"/>
      <c r="D8" s="34"/>
      <c r="E8" s="34"/>
      <c r="F8" s="34"/>
      <c r="G8" s="34"/>
      <c r="H8" s="34"/>
      <c r="I8" s="34"/>
      <c r="J8" s="34"/>
      <c r="K8" s="34"/>
      <c r="L8" s="35"/>
      <c r="M8" s="35"/>
      <c r="N8" s="35"/>
      <c r="O8" s="35"/>
      <c r="P8" s="35"/>
      <c r="Q8" s="35"/>
      <c r="R8" s="35"/>
      <c r="S8" s="35"/>
      <c r="T8" s="35"/>
      <c r="U8" s="35"/>
      <c r="V8" s="35"/>
      <c r="W8" s="35"/>
      <c r="X8" s="35"/>
      <c r="Y8" s="35"/>
    </row>
    <row r="9" spans="1:63"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c r="AG9" s="98" t="s">
        <v>3</v>
      </c>
      <c r="AH9" s="98"/>
      <c r="AI9" s="98"/>
      <c r="AJ9" s="98"/>
      <c r="AK9" s="98"/>
      <c r="AL9" s="98" t="s">
        <v>4</v>
      </c>
      <c r="AM9" s="98"/>
      <c r="AN9" s="98"/>
      <c r="AO9" s="98" t="s">
        <v>5</v>
      </c>
      <c r="AP9" s="98"/>
      <c r="AQ9" s="98"/>
      <c r="AR9" s="98"/>
      <c r="AS9" s="98"/>
      <c r="AT9" s="98"/>
      <c r="AU9" s="98"/>
      <c r="AV9" s="98" t="s">
        <v>6</v>
      </c>
      <c r="AW9" s="98"/>
      <c r="AX9" s="98"/>
      <c r="AY9" s="98"/>
      <c r="AZ9" s="98" t="s">
        <v>7</v>
      </c>
      <c r="BA9" s="98"/>
      <c r="BB9" s="98"/>
      <c r="BC9" s="98"/>
      <c r="BD9" s="98" t="s">
        <v>8</v>
      </c>
      <c r="BE9" s="98"/>
      <c r="BF9" s="98"/>
      <c r="BG9" s="98"/>
      <c r="BH9" s="98" t="s">
        <v>52</v>
      </c>
      <c r="BI9" s="98"/>
      <c r="BJ9" s="98"/>
      <c r="BK9" s="98"/>
    </row>
    <row r="10" spans="1:63" ht="16.5" customHeight="1">
      <c r="A10" s="184" t="s">
        <v>107</v>
      </c>
      <c r="B10" s="184"/>
      <c r="C10" s="184"/>
      <c r="D10" s="184"/>
      <c r="E10" s="184"/>
      <c r="F10" s="94">
        <v>2</v>
      </c>
      <c r="G10" s="94"/>
      <c r="H10" s="94"/>
      <c r="I10" s="156" t="s">
        <v>9</v>
      </c>
      <c r="J10" s="156"/>
      <c r="K10" s="156"/>
      <c r="L10" s="156"/>
      <c r="M10" s="156"/>
      <c r="N10" s="100" t="s">
        <v>10</v>
      </c>
      <c r="O10" s="100"/>
      <c r="P10" s="99">
        <f>P22+25</f>
        <v>237</v>
      </c>
      <c r="Q10" s="99"/>
      <c r="R10" s="99"/>
      <c r="S10" s="99"/>
      <c r="T10" s="99">
        <f>P10+30</f>
        <v>267</v>
      </c>
      <c r="U10" s="99"/>
      <c r="V10" s="99"/>
      <c r="W10" s="99"/>
      <c r="X10" s="99">
        <f>T10+30</f>
        <v>297</v>
      </c>
      <c r="Y10" s="99"/>
      <c r="Z10" s="99"/>
      <c r="AA10" s="99"/>
      <c r="AB10" s="99">
        <f>X10+30</f>
        <v>327</v>
      </c>
      <c r="AC10" s="99"/>
      <c r="AD10" s="99"/>
      <c r="AE10" s="99"/>
      <c r="AG10" s="184" t="s">
        <v>108</v>
      </c>
      <c r="AH10" s="184"/>
      <c r="AI10" s="184"/>
      <c r="AJ10" s="184"/>
      <c r="AK10" s="184"/>
      <c r="AL10" s="94">
        <v>5</v>
      </c>
      <c r="AM10" s="94"/>
      <c r="AN10" s="94"/>
      <c r="AO10" s="95" t="s">
        <v>9</v>
      </c>
      <c r="AP10" s="95"/>
      <c r="AQ10" s="95"/>
      <c r="AR10" s="95"/>
      <c r="AS10" s="95"/>
      <c r="AT10" s="100" t="s">
        <v>10</v>
      </c>
      <c r="AU10" s="100"/>
      <c r="AV10" s="99">
        <f>AV22+25</f>
        <v>249</v>
      </c>
      <c r="AW10" s="99"/>
      <c r="AX10" s="99"/>
      <c r="AY10" s="99"/>
      <c r="AZ10" s="99">
        <f>AV10+30</f>
        <v>279</v>
      </c>
      <c r="BA10" s="99"/>
      <c r="BB10" s="99"/>
      <c r="BC10" s="99"/>
      <c r="BD10" s="99">
        <f>AZ10+30</f>
        <v>309</v>
      </c>
      <c r="BE10" s="99"/>
      <c r="BF10" s="99"/>
      <c r="BG10" s="99"/>
      <c r="BH10" s="99">
        <f>BD10+30</f>
        <v>339</v>
      </c>
      <c r="BI10" s="99"/>
      <c r="BJ10" s="99"/>
      <c r="BK10" s="99"/>
    </row>
    <row r="11" spans="1:63" ht="16.5" customHeight="1">
      <c r="A11" s="184"/>
      <c r="B11" s="184"/>
      <c r="C11" s="184"/>
      <c r="D11" s="184"/>
      <c r="E11" s="184"/>
      <c r="F11" s="94"/>
      <c r="G11" s="94"/>
      <c r="H11" s="94"/>
      <c r="I11" s="156"/>
      <c r="J11" s="156"/>
      <c r="K11" s="156"/>
      <c r="L11" s="156"/>
      <c r="M11" s="156"/>
      <c r="N11" s="100" t="s">
        <v>11</v>
      </c>
      <c r="O11" s="100"/>
      <c r="P11" s="99">
        <f>CEILING(P10*0.95,0.5)</f>
        <v>225.5</v>
      </c>
      <c r="Q11" s="99"/>
      <c r="R11" s="99"/>
      <c r="S11" s="99"/>
      <c r="T11" s="99">
        <f>CEILING(T10*0.95,0.5)</f>
        <v>254</v>
      </c>
      <c r="U11" s="99"/>
      <c r="V11" s="99"/>
      <c r="W11" s="99"/>
      <c r="X11" s="99">
        <f>CEILING(X10*0.95,0.5)</f>
        <v>282.5</v>
      </c>
      <c r="Y11" s="99"/>
      <c r="Z11" s="99"/>
      <c r="AA11" s="99"/>
      <c r="AB11" s="99">
        <f>CEILING(AB10*0.95,0.5)</f>
        <v>311</v>
      </c>
      <c r="AC11" s="99"/>
      <c r="AD11" s="99"/>
      <c r="AE11" s="99"/>
      <c r="AG11" s="184"/>
      <c r="AH11" s="184"/>
      <c r="AI11" s="184"/>
      <c r="AJ11" s="184"/>
      <c r="AK11" s="184"/>
      <c r="AL11" s="94"/>
      <c r="AM11" s="94"/>
      <c r="AN11" s="94"/>
      <c r="AO11" s="95"/>
      <c r="AP11" s="95"/>
      <c r="AQ11" s="95"/>
      <c r="AR11" s="95"/>
      <c r="AS11" s="95"/>
      <c r="AT11" s="100" t="s">
        <v>11</v>
      </c>
      <c r="AU11" s="100"/>
      <c r="AV11" s="99">
        <f>CEILING(AV10*0.95,0.5)</f>
        <v>237</v>
      </c>
      <c r="AW11" s="99"/>
      <c r="AX11" s="99"/>
      <c r="AY11" s="99"/>
      <c r="AZ11" s="99">
        <f>CEILING(AZ10*0.95,0.5)</f>
        <v>265.5</v>
      </c>
      <c r="BA11" s="99"/>
      <c r="BB11" s="99"/>
      <c r="BC11" s="99"/>
      <c r="BD11" s="99">
        <f>CEILING(BD10*0.95,0.5)</f>
        <v>294</v>
      </c>
      <c r="BE11" s="99"/>
      <c r="BF11" s="99"/>
      <c r="BG11" s="99"/>
      <c r="BH11" s="99">
        <f>CEILING(BH10*0.95,0.5)</f>
        <v>322.5</v>
      </c>
      <c r="BI11" s="99"/>
      <c r="BJ11" s="99"/>
      <c r="BK11" s="99"/>
    </row>
    <row r="12" spans="1:63" ht="16.5" customHeight="1">
      <c r="A12" s="184"/>
      <c r="B12" s="184"/>
      <c r="C12" s="184"/>
      <c r="D12" s="184"/>
      <c r="E12" s="184"/>
      <c r="F12" s="94"/>
      <c r="G12" s="94"/>
      <c r="H12" s="94"/>
      <c r="I12" s="156"/>
      <c r="J12" s="156"/>
      <c r="K12" s="156"/>
      <c r="L12" s="156"/>
      <c r="M12" s="156"/>
      <c r="N12" s="100" t="s">
        <v>12</v>
      </c>
      <c r="O12" s="100"/>
      <c r="P12" s="99">
        <f>P24+25</f>
        <v>210</v>
      </c>
      <c r="Q12" s="99"/>
      <c r="R12" s="99"/>
      <c r="S12" s="99"/>
      <c r="T12" s="99">
        <f>P12+30</f>
        <v>240</v>
      </c>
      <c r="U12" s="99"/>
      <c r="V12" s="99"/>
      <c r="W12" s="99"/>
      <c r="X12" s="99">
        <f>T12+30</f>
        <v>270</v>
      </c>
      <c r="Y12" s="99"/>
      <c r="Z12" s="99"/>
      <c r="AA12" s="99"/>
      <c r="AB12" s="99">
        <f>X12+30</f>
        <v>300</v>
      </c>
      <c r="AC12" s="99"/>
      <c r="AD12" s="99"/>
      <c r="AE12" s="99"/>
      <c r="AG12" s="184"/>
      <c r="AH12" s="184"/>
      <c r="AI12" s="184"/>
      <c r="AJ12" s="184"/>
      <c r="AK12" s="184"/>
      <c r="AL12" s="94"/>
      <c r="AM12" s="94"/>
      <c r="AN12" s="94"/>
      <c r="AO12" s="95"/>
      <c r="AP12" s="95"/>
      <c r="AQ12" s="95"/>
      <c r="AR12" s="95"/>
      <c r="AS12" s="95"/>
      <c r="AT12" s="100" t="s">
        <v>12</v>
      </c>
      <c r="AU12" s="100"/>
      <c r="AV12" s="99">
        <f>AV24+25</f>
        <v>226.5</v>
      </c>
      <c r="AW12" s="99"/>
      <c r="AX12" s="99"/>
      <c r="AY12" s="99"/>
      <c r="AZ12" s="99">
        <f>AV12+30</f>
        <v>256.5</v>
      </c>
      <c r="BA12" s="99"/>
      <c r="BB12" s="99"/>
      <c r="BC12" s="99"/>
      <c r="BD12" s="99">
        <f>AZ12+30</f>
        <v>286.5</v>
      </c>
      <c r="BE12" s="99"/>
      <c r="BF12" s="99"/>
      <c r="BG12" s="99"/>
      <c r="BH12" s="99">
        <f>BD12+30</f>
        <v>316.5</v>
      </c>
      <c r="BI12" s="99"/>
      <c r="BJ12" s="99"/>
      <c r="BK12" s="99"/>
    </row>
    <row r="13" spans="1:63" ht="16.5" customHeight="1">
      <c r="A13" s="184"/>
      <c r="B13" s="184"/>
      <c r="C13" s="184"/>
      <c r="D13" s="184"/>
      <c r="E13" s="184"/>
      <c r="F13" s="94"/>
      <c r="G13" s="94"/>
      <c r="H13" s="94"/>
      <c r="I13" s="97" t="s">
        <v>13</v>
      </c>
      <c r="J13" s="97"/>
      <c r="K13" s="97"/>
      <c r="L13" s="97"/>
      <c r="M13" s="97"/>
      <c r="N13" s="98" t="s">
        <v>10</v>
      </c>
      <c r="O13" s="98"/>
      <c r="P13" s="96">
        <f>CEILING(P10*0.35+5,0.5)</f>
        <v>88</v>
      </c>
      <c r="Q13" s="96"/>
      <c r="R13" s="96"/>
      <c r="S13" s="96"/>
      <c r="T13" s="96">
        <f>CEILING(T10*0.35+5,0.5)</f>
        <v>98.5</v>
      </c>
      <c r="U13" s="96"/>
      <c r="V13" s="96"/>
      <c r="W13" s="96"/>
      <c r="X13" s="96">
        <f>CEILING(X10*0.35+5,0.5)</f>
        <v>109</v>
      </c>
      <c r="Y13" s="96"/>
      <c r="Z13" s="96"/>
      <c r="AA13" s="96"/>
      <c r="AB13" s="96">
        <f>CEILING(AB10*0.35+5,0.5)</f>
        <v>119.5</v>
      </c>
      <c r="AC13" s="96"/>
      <c r="AD13" s="96"/>
      <c r="AE13" s="96"/>
      <c r="AG13" s="184"/>
      <c r="AH13" s="184"/>
      <c r="AI13" s="184"/>
      <c r="AJ13" s="184"/>
      <c r="AK13" s="184"/>
      <c r="AL13" s="94"/>
      <c r="AM13" s="94"/>
      <c r="AN13" s="94"/>
      <c r="AO13" s="97" t="s">
        <v>14</v>
      </c>
      <c r="AP13" s="97"/>
      <c r="AQ13" s="97"/>
      <c r="AR13" s="97"/>
      <c r="AS13" s="97"/>
      <c r="AT13" s="98" t="s">
        <v>10</v>
      </c>
      <c r="AU13" s="98"/>
      <c r="AV13" s="96">
        <f>CEILING(AV10*0.47+5,0.5)</f>
        <v>122.5</v>
      </c>
      <c r="AW13" s="96"/>
      <c r="AX13" s="96"/>
      <c r="AY13" s="96"/>
      <c r="AZ13" s="96">
        <f>CEILING(AZ10*0.47+5,0.5)</f>
        <v>136.5</v>
      </c>
      <c r="BA13" s="96"/>
      <c r="BB13" s="96"/>
      <c r="BC13" s="96"/>
      <c r="BD13" s="96">
        <f>CEILING(BD10*0.47+5,0.5)</f>
        <v>150.5</v>
      </c>
      <c r="BE13" s="96"/>
      <c r="BF13" s="96"/>
      <c r="BG13" s="96"/>
      <c r="BH13" s="96">
        <f>CEILING(BH10*0.47+5,0.5)</f>
        <v>164.5</v>
      </c>
      <c r="BI13" s="96"/>
      <c r="BJ13" s="96"/>
      <c r="BK13" s="96"/>
    </row>
    <row r="14" spans="1:63" ht="16.5" customHeight="1">
      <c r="A14" s="184"/>
      <c r="B14" s="184"/>
      <c r="C14" s="184"/>
      <c r="D14" s="184"/>
      <c r="E14" s="184"/>
      <c r="F14" s="94"/>
      <c r="G14" s="94"/>
      <c r="H14" s="94"/>
      <c r="I14" s="97"/>
      <c r="J14" s="97"/>
      <c r="K14" s="97"/>
      <c r="L14" s="97"/>
      <c r="M14" s="97"/>
      <c r="N14" s="98" t="s">
        <v>11</v>
      </c>
      <c r="O14" s="98"/>
      <c r="P14" s="96">
        <f>CEILING(P13*0.95,0.5)</f>
        <v>84</v>
      </c>
      <c r="Q14" s="96"/>
      <c r="R14" s="96"/>
      <c r="S14" s="96"/>
      <c r="T14" s="96">
        <f>CEILING(T13*0.95,0.5)</f>
        <v>94</v>
      </c>
      <c r="U14" s="96"/>
      <c r="V14" s="96"/>
      <c r="W14" s="96"/>
      <c r="X14" s="96">
        <f>CEILING(X13*0.95,0.5)</f>
        <v>104</v>
      </c>
      <c r="Y14" s="96"/>
      <c r="Z14" s="96"/>
      <c r="AA14" s="96"/>
      <c r="AB14" s="96">
        <f>CEILING(AB13*0.95,0.5)</f>
        <v>114</v>
      </c>
      <c r="AC14" s="96"/>
      <c r="AD14" s="96"/>
      <c r="AE14" s="96"/>
      <c r="AG14" s="184"/>
      <c r="AH14" s="184"/>
      <c r="AI14" s="184"/>
      <c r="AJ14" s="184"/>
      <c r="AK14" s="184"/>
      <c r="AL14" s="94"/>
      <c r="AM14" s="94"/>
      <c r="AN14" s="94"/>
      <c r="AO14" s="97"/>
      <c r="AP14" s="97"/>
      <c r="AQ14" s="97"/>
      <c r="AR14" s="97"/>
      <c r="AS14" s="97"/>
      <c r="AT14" s="98" t="s">
        <v>11</v>
      </c>
      <c r="AU14" s="98"/>
      <c r="AV14" s="96">
        <f>CEILING(AV13*0.95,0.5)</f>
        <v>116.5</v>
      </c>
      <c r="AW14" s="96"/>
      <c r="AX14" s="96"/>
      <c r="AY14" s="96"/>
      <c r="AZ14" s="96">
        <f>CEILING(AZ13*0.95,0.5)</f>
        <v>130</v>
      </c>
      <c r="BA14" s="96"/>
      <c r="BB14" s="96"/>
      <c r="BC14" s="96"/>
      <c r="BD14" s="96">
        <f>CEILING(BD13*0.95,0.5)</f>
        <v>143</v>
      </c>
      <c r="BE14" s="96"/>
      <c r="BF14" s="96"/>
      <c r="BG14" s="96"/>
      <c r="BH14" s="96">
        <f>CEILING(BH13*0.95,0.5)</f>
        <v>156.5</v>
      </c>
      <c r="BI14" s="96"/>
      <c r="BJ14" s="96"/>
      <c r="BK14" s="96"/>
    </row>
    <row r="15" spans="1:63" ht="16.5" customHeight="1">
      <c r="A15" s="184"/>
      <c r="B15" s="184"/>
      <c r="C15" s="184"/>
      <c r="D15" s="184"/>
      <c r="E15" s="184"/>
      <c r="F15" s="94"/>
      <c r="G15" s="94"/>
      <c r="H15" s="94"/>
      <c r="I15" s="97"/>
      <c r="J15" s="97"/>
      <c r="K15" s="97"/>
      <c r="L15" s="97"/>
      <c r="M15" s="97"/>
      <c r="N15" s="98" t="s">
        <v>12</v>
      </c>
      <c r="O15" s="98"/>
      <c r="P15" s="96">
        <f>CEILING(P12*0.35+5,0.5)</f>
        <v>78.5</v>
      </c>
      <c r="Q15" s="96"/>
      <c r="R15" s="96"/>
      <c r="S15" s="96"/>
      <c r="T15" s="96">
        <f>CEILING(T12*0.35+5,0.5)</f>
        <v>89</v>
      </c>
      <c r="U15" s="96"/>
      <c r="V15" s="96"/>
      <c r="W15" s="96"/>
      <c r="X15" s="96">
        <f>CEILING(X12*0.35+5,0.5)</f>
        <v>99.5</v>
      </c>
      <c r="Y15" s="96"/>
      <c r="Z15" s="96"/>
      <c r="AA15" s="96"/>
      <c r="AB15" s="96">
        <f>CEILING(AB12*0.35+5,0.5)</f>
        <v>110</v>
      </c>
      <c r="AC15" s="96"/>
      <c r="AD15" s="96"/>
      <c r="AE15" s="96"/>
      <c r="AG15" s="184"/>
      <c r="AH15" s="184"/>
      <c r="AI15" s="184"/>
      <c r="AJ15" s="184"/>
      <c r="AK15" s="184"/>
      <c r="AL15" s="94"/>
      <c r="AM15" s="94"/>
      <c r="AN15" s="94"/>
      <c r="AO15" s="97"/>
      <c r="AP15" s="97"/>
      <c r="AQ15" s="97"/>
      <c r="AR15" s="97"/>
      <c r="AS15" s="97"/>
      <c r="AT15" s="98" t="s">
        <v>12</v>
      </c>
      <c r="AU15" s="98"/>
      <c r="AV15" s="96">
        <f>CEILING(AV12*0.47+5,0.5)</f>
        <v>111.5</v>
      </c>
      <c r="AW15" s="96"/>
      <c r="AX15" s="96"/>
      <c r="AY15" s="96"/>
      <c r="AZ15" s="96">
        <f>CEILING(AZ12*0.47+5,0.5)</f>
        <v>126</v>
      </c>
      <c r="BA15" s="96"/>
      <c r="BB15" s="96"/>
      <c r="BC15" s="96"/>
      <c r="BD15" s="96">
        <f>CEILING(BD12*0.47+5,0.5)</f>
        <v>140</v>
      </c>
      <c r="BE15" s="96"/>
      <c r="BF15" s="96"/>
      <c r="BG15" s="96"/>
      <c r="BH15" s="96">
        <f>CEILING(BH12*0.47+5,0.5)</f>
        <v>154</v>
      </c>
      <c r="BI15" s="96"/>
      <c r="BJ15" s="96"/>
      <c r="BK15" s="96"/>
    </row>
    <row r="16" spans="1:63" ht="16.5" customHeight="1">
      <c r="A16" s="184"/>
      <c r="B16" s="184"/>
      <c r="C16" s="184"/>
      <c r="D16" s="184"/>
      <c r="E16" s="184"/>
      <c r="F16" s="94"/>
      <c r="G16" s="94"/>
      <c r="H16" s="94"/>
      <c r="I16" s="156" t="s">
        <v>15</v>
      </c>
      <c r="J16" s="156"/>
      <c r="K16" s="156"/>
      <c r="L16" s="156"/>
      <c r="M16" s="156"/>
      <c r="N16" s="100" t="s">
        <v>10</v>
      </c>
      <c r="O16" s="100"/>
      <c r="P16" s="99">
        <f>P22+15</f>
        <v>227</v>
      </c>
      <c r="Q16" s="99"/>
      <c r="R16" s="99"/>
      <c r="S16" s="99"/>
      <c r="T16" s="99">
        <f>P16+15</f>
        <v>242</v>
      </c>
      <c r="U16" s="99"/>
      <c r="V16" s="99"/>
      <c r="W16" s="99"/>
      <c r="X16" s="99">
        <f>T16+15</f>
        <v>257</v>
      </c>
      <c r="Y16" s="99"/>
      <c r="Z16" s="99"/>
      <c r="AA16" s="99"/>
      <c r="AB16" s="99">
        <f>X16+15</f>
        <v>272</v>
      </c>
      <c r="AC16" s="99"/>
      <c r="AD16" s="99"/>
      <c r="AE16" s="99"/>
      <c r="AG16" s="184"/>
      <c r="AH16" s="184"/>
      <c r="AI16" s="184"/>
      <c r="AJ16" s="184"/>
      <c r="AK16" s="184"/>
      <c r="AL16" s="94"/>
      <c r="AM16" s="94"/>
      <c r="AN16" s="94"/>
      <c r="AO16" s="95" t="s">
        <v>15</v>
      </c>
      <c r="AP16" s="95"/>
      <c r="AQ16" s="95"/>
      <c r="AR16" s="95"/>
      <c r="AS16" s="95"/>
      <c r="AT16" s="100" t="s">
        <v>58</v>
      </c>
      <c r="AU16" s="100"/>
      <c r="AV16" s="99">
        <f>AV22+15</f>
        <v>239</v>
      </c>
      <c r="AW16" s="99"/>
      <c r="AX16" s="99"/>
      <c r="AY16" s="99"/>
      <c r="AZ16" s="99">
        <f>AV16+15</f>
        <v>254</v>
      </c>
      <c r="BA16" s="99"/>
      <c r="BB16" s="99"/>
      <c r="BC16" s="99"/>
      <c r="BD16" s="99">
        <f>AZ16+15</f>
        <v>269</v>
      </c>
      <c r="BE16" s="99"/>
      <c r="BF16" s="99"/>
      <c r="BG16" s="99"/>
      <c r="BH16" s="99">
        <f>BD16+15</f>
        <v>284</v>
      </c>
      <c r="BI16" s="99"/>
      <c r="BJ16" s="99"/>
      <c r="BK16" s="99"/>
    </row>
    <row r="17" spans="1:63" ht="16.5" customHeight="1">
      <c r="A17" s="184"/>
      <c r="B17" s="184"/>
      <c r="C17" s="184"/>
      <c r="D17" s="184"/>
      <c r="E17" s="184"/>
      <c r="F17" s="94"/>
      <c r="G17" s="94"/>
      <c r="H17" s="94"/>
      <c r="I17" s="156"/>
      <c r="J17" s="156"/>
      <c r="K17" s="156"/>
      <c r="L17" s="156"/>
      <c r="M17" s="156"/>
      <c r="N17" s="100" t="s">
        <v>11</v>
      </c>
      <c r="O17" s="100"/>
      <c r="P17" s="99">
        <f>CEILING(P16*0.95,0.5)</f>
        <v>216</v>
      </c>
      <c r="Q17" s="99"/>
      <c r="R17" s="99"/>
      <c r="S17" s="99"/>
      <c r="T17" s="99">
        <f>CEILING(T16*0.95,0.5)</f>
        <v>230</v>
      </c>
      <c r="U17" s="99"/>
      <c r="V17" s="99"/>
      <c r="W17" s="99"/>
      <c r="X17" s="99">
        <f>CEILING(X16*0.95,0.5)</f>
        <v>244.5</v>
      </c>
      <c r="Y17" s="99"/>
      <c r="Z17" s="99"/>
      <c r="AA17" s="99"/>
      <c r="AB17" s="99">
        <f>CEILING(AB16*0.95,0.5)</f>
        <v>258.5</v>
      </c>
      <c r="AC17" s="99"/>
      <c r="AD17" s="99"/>
      <c r="AE17" s="99"/>
      <c r="AG17" s="184"/>
      <c r="AH17" s="184"/>
      <c r="AI17" s="184"/>
      <c r="AJ17" s="184"/>
      <c r="AK17" s="184"/>
      <c r="AL17" s="94"/>
      <c r="AM17" s="94"/>
      <c r="AN17" s="94"/>
      <c r="AO17" s="95"/>
      <c r="AP17" s="95"/>
      <c r="AQ17" s="95"/>
      <c r="AR17" s="95"/>
      <c r="AS17" s="95"/>
      <c r="AT17" s="100" t="s">
        <v>11</v>
      </c>
      <c r="AU17" s="100"/>
      <c r="AV17" s="99">
        <f>CEILING(AV16*0.95,0.5)</f>
        <v>227.5</v>
      </c>
      <c r="AW17" s="99"/>
      <c r="AX17" s="99"/>
      <c r="AY17" s="99"/>
      <c r="AZ17" s="99">
        <f>CEILING(AZ16*0.95,0.5)</f>
        <v>241.5</v>
      </c>
      <c r="BA17" s="99"/>
      <c r="BB17" s="99"/>
      <c r="BC17" s="99"/>
      <c r="BD17" s="99">
        <f>CEILING(BD16*0.95,0.5)</f>
        <v>256</v>
      </c>
      <c r="BE17" s="99"/>
      <c r="BF17" s="99"/>
      <c r="BG17" s="99"/>
      <c r="BH17" s="99">
        <f>CEILING(BH16*0.95,0.5)</f>
        <v>270</v>
      </c>
      <c r="BI17" s="99"/>
      <c r="BJ17" s="99"/>
      <c r="BK17" s="99"/>
    </row>
    <row r="18" spans="1:63" ht="16.5" customHeight="1">
      <c r="A18" s="184"/>
      <c r="B18" s="184"/>
      <c r="C18" s="184"/>
      <c r="D18" s="184"/>
      <c r="E18" s="184"/>
      <c r="F18" s="94"/>
      <c r="G18" s="94"/>
      <c r="H18" s="94"/>
      <c r="I18" s="156"/>
      <c r="J18" s="156"/>
      <c r="K18" s="156"/>
      <c r="L18" s="156"/>
      <c r="M18" s="156"/>
      <c r="N18" s="100" t="s">
        <v>12</v>
      </c>
      <c r="O18" s="100"/>
      <c r="P18" s="99">
        <f>P24+15</f>
        <v>200</v>
      </c>
      <c r="Q18" s="99"/>
      <c r="R18" s="99"/>
      <c r="S18" s="99"/>
      <c r="T18" s="99">
        <f>P18+15</f>
        <v>215</v>
      </c>
      <c r="U18" s="99"/>
      <c r="V18" s="99"/>
      <c r="W18" s="99"/>
      <c r="X18" s="99">
        <f>T18+15</f>
        <v>230</v>
      </c>
      <c r="Y18" s="99"/>
      <c r="Z18" s="99"/>
      <c r="AA18" s="99"/>
      <c r="AB18" s="99">
        <f>X18+15</f>
        <v>245</v>
      </c>
      <c r="AC18" s="99"/>
      <c r="AD18" s="99"/>
      <c r="AE18" s="99"/>
      <c r="AG18" s="184"/>
      <c r="AH18" s="184"/>
      <c r="AI18" s="184"/>
      <c r="AJ18" s="184"/>
      <c r="AK18" s="184"/>
      <c r="AL18" s="94"/>
      <c r="AM18" s="94"/>
      <c r="AN18" s="94"/>
      <c r="AO18" s="95"/>
      <c r="AP18" s="95"/>
      <c r="AQ18" s="95"/>
      <c r="AR18" s="95"/>
      <c r="AS18" s="95"/>
      <c r="AT18" s="100" t="s">
        <v>12</v>
      </c>
      <c r="AU18" s="100"/>
      <c r="AV18" s="99">
        <f>AV24+15</f>
        <v>216.5</v>
      </c>
      <c r="AW18" s="99"/>
      <c r="AX18" s="99"/>
      <c r="AY18" s="99"/>
      <c r="AZ18" s="99">
        <f>AV18+15</f>
        <v>231.5</v>
      </c>
      <c r="BA18" s="99"/>
      <c r="BB18" s="99"/>
      <c r="BC18" s="99"/>
      <c r="BD18" s="99">
        <f>AZ18+15</f>
        <v>246.5</v>
      </c>
      <c r="BE18" s="99"/>
      <c r="BF18" s="99"/>
      <c r="BG18" s="99"/>
      <c r="BH18" s="99">
        <f>BD18+15</f>
        <v>261.5</v>
      </c>
      <c r="BI18" s="99"/>
      <c r="BJ18" s="99"/>
      <c r="BK18" s="99"/>
    </row>
    <row r="19" spans="1:63" ht="16.5" customHeight="1">
      <c r="A19" s="184"/>
      <c r="B19" s="184"/>
      <c r="C19" s="184"/>
      <c r="D19" s="184"/>
      <c r="E19" s="184"/>
      <c r="F19" s="94"/>
      <c r="G19" s="94"/>
      <c r="H19" s="94"/>
      <c r="I19" s="97" t="s">
        <v>16</v>
      </c>
      <c r="J19" s="97"/>
      <c r="K19" s="97"/>
      <c r="L19" s="97"/>
      <c r="M19" s="97"/>
      <c r="N19" s="98" t="s">
        <v>10</v>
      </c>
      <c r="O19" s="98"/>
      <c r="P19" s="96">
        <f>CEILING(P16*0.35+5,0.5)</f>
        <v>84.5</v>
      </c>
      <c r="Q19" s="96"/>
      <c r="R19" s="96"/>
      <c r="S19" s="96"/>
      <c r="T19" s="96">
        <f>CEILING(T16*0.35+5,0.5)</f>
        <v>90</v>
      </c>
      <c r="U19" s="96"/>
      <c r="V19" s="96"/>
      <c r="W19" s="96"/>
      <c r="X19" s="96">
        <f>CEILING(X16*0.35+5,0.5)</f>
        <v>95</v>
      </c>
      <c r="Y19" s="96"/>
      <c r="Z19" s="96"/>
      <c r="AA19" s="96"/>
      <c r="AB19" s="96">
        <f>CEILING(AB16*0.35+5,0.5)</f>
        <v>100.5</v>
      </c>
      <c r="AC19" s="96"/>
      <c r="AD19" s="96"/>
      <c r="AE19" s="96"/>
      <c r="AG19" s="184"/>
      <c r="AH19" s="184"/>
      <c r="AI19" s="184"/>
      <c r="AJ19" s="184"/>
      <c r="AK19" s="184"/>
      <c r="AL19" s="94"/>
      <c r="AM19" s="94"/>
      <c r="AN19" s="94"/>
      <c r="AO19" s="97" t="s">
        <v>17</v>
      </c>
      <c r="AP19" s="97"/>
      <c r="AQ19" s="97"/>
      <c r="AR19" s="97"/>
      <c r="AS19" s="97"/>
      <c r="AT19" s="98" t="s">
        <v>10</v>
      </c>
      <c r="AU19" s="98"/>
      <c r="AV19" s="96">
        <f>CEILING(AV16*0.47+5,0.5)</f>
        <v>117.5</v>
      </c>
      <c r="AW19" s="96"/>
      <c r="AX19" s="96"/>
      <c r="AY19" s="96"/>
      <c r="AZ19" s="96">
        <f>CEILING(AZ16*0.47+5,0.5)</f>
        <v>124.5</v>
      </c>
      <c r="BA19" s="96"/>
      <c r="BB19" s="96"/>
      <c r="BC19" s="96"/>
      <c r="BD19" s="96">
        <f>CEILING(BD16*0.47+5,0.5)</f>
        <v>131.5</v>
      </c>
      <c r="BE19" s="96"/>
      <c r="BF19" s="96"/>
      <c r="BG19" s="96"/>
      <c r="BH19" s="96">
        <f>CEILING(BH16*0.47+5,0.5)</f>
        <v>138.5</v>
      </c>
      <c r="BI19" s="96"/>
      <c r="BJ19" s="96"/>
      <c r="BK19" s="96"/>
    </row>
    <row r="20" spans="1:63" ht="16.5" customHeight="1">
      <c r="A20" s="184"/>
      <c r="B20" s="184"/>
      <c r="C20" s="184"/>
      <c r="D20" s="184"/>
      <c r="E20" s="184"/>
      <c r="F20" s="94"/>
      <c r="G20" s="94"/>
      <c r="H20" s="94"/>
      <c r="I20" s="97"/>
      <c r="J20" s="97"/>
      <c r="K20" s="97"/>
      <c r="L20" s="97"/>
      <c r="M20" s="97"/>
      <c r="N20" s="98" t="s">
        <v>11</v>
      </c>
      <c r="O20" s="98"/>
      <c r="P20" s="96">
        <f>CEILING(P19*0.95,0.5)</f>
        <v>80.5</v>
      </c>
      <c r="Q20" s="96"/>
      <c r="R20" s="96"/>
      <c r="S20" s="96"/>
      <c r="T20" s="96">
        <f>CEILING(T19*0.95,0.5)</f>
        <v>85.5</v>
      </c>
      <c r="U20" s="96"/>
      <c r="V20" s="96"/>
      <c r="W20" s="96"/>
      <c r="X20" s="96">
        <f>CEILING(X19*0.95,0.5)</f>
        <v>90.5</v>
      </c>
      <c r="Y20" s="96"/>
      <c r="Z20" s="96"/>
      <c r="AA20" s="96"/>
      <c r="AB20" s="96">
        <f>CEILING(AB19*0.95,0.5)</f>
        <v>95.5</v>
      </c>
      <c r="AC20" s="96"/>
      <c r="AD20" s="96"/>
      <c r="AE20" s="96"/>
      <c r="AG20" s="184"/>
      <c r="AH20" s="184"/>
      <c r="AI20" s="184"/>
      <c r="AJ20" s="184"/>
      <c r="AK20" s="184"/>
      <c r="AL20" s="94"/>
      <c r="AM20" s="94"/>
      <c r="AN20" s="94"/>
      <c r="AO20" s="97"/>
      <c r="AP20" s="97"/>
      <c r="AQ20" s="97"/>
      <c r="AR20" s="97"/>
      <c r="AS20" s="97"/>
      <c r="AT20" s="98" t="s">
        <v>11</v>
      </c>
      <c r="AU20" s="98"/>
      <c r="AV20" s="96">
        <f>CEILING(AV19*0.95,0.5)</f>
        <v>112</v>
      </c>
      <c r="AW20" s="96"/>
      <c r="AX20" s="96"/>
      <c r="AY20" s="96"/>
      <c r="AZ20" s="96">
        <f>CEILING(AZ19*0.95,0.5)</f>
        <v>118.5</v>
      </c>
      <c r="BA20" s="96"/>
      <c r="BB20" s="96"/>
      <c r="BC20" s="96"/>
      <c r="BD20" s="96">
        <f>CEILING(BD19*0.95,0.5)</f>
        <v>125</v>
      </c>
      <c r="BE20" s="96"/>
      <c r="BF20" s="96"/>
      <c r="BG20" s="96"/>
      <c r="BH20" s="96">
        <f>CEILING(BH19*0.95,0.5)</f>
        <v>132</v>
      </c>
      <c r="BI20" s="96"/>
      <c r="BJ20" s="96"/>
      <c r="BK20" s="96"/>
    </row>
    <row r="21" spans="1:63" ht="16.5" customHeight="1">
      <c r="A21" s="184"/>
      <c r="B21" s="184"/>
      <c r="C21" s="184"/>
      <c r="D21" s="184"/>
      <c r="E21" s="184"/>
      <c r="F21" s="94"/>
      <c r="G21" s="94"/>
      <c r="H21" s="94"/>
      <c r="I21" s="97"/>
      <c r="J21" s="97"/>
      <c r="K21" s="97"/>
      <c r="L21" s="97"/>
      <c r="M21" s="97"/>
      <c r="N21" s="98" t="s">
        <v>12</v>
      </c>
      <c r="O21" s="98"/>
      <c r="P21" s="96">
        <f>CEILING(P18*0.35+5,0.5)</f>
        <v>75</v>
      </c>
      <c r="Q21" s="96"/>
      <c r="R21" s="96"/>
      <c r="S21" s="96"/>
      <c r="T21" s="96">
        <f>CEILING(T18*0.35+5,0.5)</f>
        <v>80.5</v>
      </c>
      <c r="U21" s="96"/>
      <c r="V21" s="96"/>
      <c r="W21" s="96"/>
      <c r="X21" s="96">
        <f>CEILING(X18*0.35+5,0.5)</f>
        <v>85.5</v>
      </c>
      <c r="Y21" s="96"/>
      <c r="Z21" s="96"/>
      <c r="AA21" s="96"/>
      <c r="AB21" s="96">
        <f>CEILING(AB18*0.35+5,0.5)</f>
        <v>91</v>
      </c>
      <c r="AC21" s="96"/>
      <c r="AD21" s="96"/>
      <c r="AE21" s="96"/>
      <c r="AG21" s="184"/>
      <c r="AH21" s="184"/>
      <c r="AI21" s="184"/>
      <c r="AJ21" s="184"/>
      <c r="AK21" s="184"/>
      <c r="AL21" s="94"/>
      <c r="AM21" s="94"/>
      <c r="AN21" s="94"/>
      <c r="AO21" s="97"/>
      <c r="AP21" s="97"/>
      <c r="AQ21" s="97"/>
      <c r="AR21" s="97"/>
      <c r="AS21" s="97"/>
      <c r="AT21" s="98" t="s">
        <v>12</v>
      </c>
      <c r="AU21" s="98"/>
      <c r="AV21" s="96">
        <f>CEILING(AV18*0.47+5,0.5)</f>
        <v>107</v>
      </c>
      <c r="AW21" s="96"/>
      <c r="AX21" s="96"/>
      <c r="AY21" s="96"/>
      <c r="AZ21" s="96">
        <f>CEILING(AZ18*0.47+5,0.5)</f>
        <v>114</v>
      </c>
      <c r="BA21" s="96"/>
      <c r="BB21" s="96"/>
      <c r="BC21" s="96"/>
      <c r="BD21" s="96">
        <f>CEILING(BD18*0.47+5,0.5)</f>
        <v>121</v>
      </c>
      <c r="BE21" s="96"/>
      <c r="BF21" s="96"/>
      <c r="BG21" s="96"/>
      <c r="BH21" s="96">
        <f>CEILING(BH18*0.47+5,0.5)</f>
        <v>128</v>
      </c>
      <c r="BI21" s="96"/>
      <c r="BJ21" s="96"/>
      <c r="BK21" s="96"/>
    </row>
    <row r="22" spans="1:63" ht="16.5" customHeight="1">
      <c r="A22" s="184"/>
      <c r="B22" s="184"/>
      <c r="C22" s="184"/>
      <c r="D22" s="184"/>
      <c r="E22" s="184"/>
      <c r="F22" s="94"/>
      <c r="G22" s="94"/>
      <c r="H22" s="94"/>
      <c r="I22" s="156" t="s">
        <v>18</v>
      </c>
      <c r="J22" s="156"/>
      <c r="K22" s="156"/>
      <c r="L22" s="156"/>
      <c r="M22" s="156"/>
      <c r="N22" s="100" t="s">
        <v>10</v>
      </c>
      <c r="O22" s="100"/>
      <c r="P22" s="101">
        <f>CEILING(163*1.3,0.5)</f>
        <v>212</v>
      </c>
      <c r="Q22" s="101"/>
      <c r="R22" s="101"/>
      <c r="S22" s="101"/>
      <c r="T22" s="99">
        <f>P22+10</f>
        <v>222</v>
      </c>
      <c r="U22" s="99"/>
      <c r="V22" s="99"/>
      <c r="W22" s="99"/>
      <c r="X22" s="99">
        <f>T22+10</f>
        <v>232</v>
      </c>
      <c r="Y22" s="99"/>
      <c r="Z22" s="99"/>
      <c r="AA22" s="99"/>
      <c r="AB22" s="99">
        <f>X22+10</f>
        <v>242</v>
      </c>
      <c r="AC22" s="99"/>
      <c r="AD22" s="99"/>
      <c r="AE22" s="99"/>
      <c r="AG22" s="184"/>
      <c r="AH22" s="184"/>
      <c r="AI22" s="184"/>
      <c r="AJ22" s="184"/>
      <c r="AK22" s="184"/>
      <c r="AL22" s="94"/>
      <c r="AM22" s="94"/>
      <c r="AN22" s="94"/>
      <c r="AO22" s="95" t="s">
        <v>18</v>
      </c>
      <c r="AP22" s="95"/>
      <c r="AQ22" s="95"/>
      <c r="AR22" s="95"/>
      <c r="AS22" s="95"/>
      <c r="AT22" s="100" t="s">
        <v>10</v>
      </c>
      <c r="AU22" s="100"/>
      <c r="AV22" s="101">
        <f>CEILING(172*1.3,0.5)</f>
        <v>224</v>
      </c>
      <c r="AW22" s="101"/>
      <c r="AX22" s="101"/>
      <c r="AY22" s="101"/>
      <c r="AZ22" s="99">
        <f>AV22+10</f>
        <v>234</v>
      </c>
      <c r="BA22" s="99"/>
      <c r="BB22" s="99"/>
      <c r="BC22" s="99"/>
      <c r="BD22" s="99">
        <f>AZ22+10</f>
        <v>244</v>
      </c>
      <c r="BE22" s="99"/>
      <c r="BF22" s="99"/>
      <c r="BG22" s="99"/>
      <c r="BH22" s="99">
        <f>BD22+10</f>
        <v>254</v>
      </c>
      <c r="BI22" s="99"/>
      <c r="BJ22" s="99"/>
      <c r="BK22" s="99"/>
    </row>
    <row r="23" spans="1:63" ht="16.5" customHeight="1">
      <c r="A23" s="184"/>
      <c r="B23" s="184"/>
      <c r="C23" s="184"/>
      <c r="D23" s="184"/>
      <c r="E23" s="184"/>
      <c r="F23" s="94"/>
      <c r="G23" s="94"/>
      <c r="H23" s="94"/>
      <c r="I23" s="156"/>
      <c r="J23" s="156"/>
      <c r="K23" s="156"/>
      <c r="L23" s="156"/>
      <c r="M23" s="156"/>
      <c r="N23" s="100" t="s">
        <v>11</v>
      </c>
      <c r="O23" s="100"/>
      <c r="P23" s="99">
        <f>CEILING(P22*0.95,0.5)</f>
        <v>201.5</v>
      </c>
      <c r="Q23" s="99"/>
      <c r="R23" s="99"/>
      <c r="S23" s="99"/>
      <c r="T23" s="99">
        <f>CEILING(T22*0.95,0.5)</f>
        <v>211</v>
      </c>
      <c r="U23" s="99"/>
      <c r="V23" s="99"/>
      <c r="W23" s="99"/>
      <c r="X23" s="99">
        <f>CEILING(X22*0.95,0.5)</f>
        <v>220.5</v>
      </c>
      <c r="Y23" s="99"/>
      <c r="Z23" s="99"/>
      <c r="AA23" s="99"/>
      <c r="AB23" s="99">
        <f>CEILING(AB22*0.95,0.5)</f>
        <v>230</v>
      </c>
      <c r="AC23" s="99"/>
      <c r="AD23" s="99"/>
      <c r="AE23" s="99"/>
      <c r="AG23" s="184"/>
      <c r="AH23" s="184"/>
      <c r="AI23" s="184"/>
      <c r="AJ23" s="184"/>
      <c r="AK23" s="184"/>
      <c r="AL23" s="94"/>
      <c r="AM23" s="94"/>
      <c r="AN23" s="94"/>
      <c r="AO23" s="95"/>
      <c r="AP23" s="95"/>
      <c r="AQ23" s="95"/>
      <c r="AR23" s="95"/>
      <c r="AS23" s="95"/>
      <c r="AT23" s="100" t="s">
        <v>11</v>
      </c>
      <c r="AU23" s="100"/>
      <c r="AV23" s="99">
        <f>CEILING(AV22*0.95,0.5)</f>
        <v>213</v>
      </c>
      <c r="AW23" s="99"/>
      <c r="AX23" s="99"/>
      <c r="AY23" s="99"/>
      <c r="AZ23" s="99">
        <f>CEILING(AZ22*0.95,0.5)</f>
        <v>222.5</v>
      </c>
      <c r="BA23" s="99"/>
      <c r="BB23" s="99"/>
      <c r="BC23" s="99"/>
      <c r="BD23" s="99">
        <f>CEILING(BD22*0.95,0.5)</f>
        <v>232</v>
      </c>
      <c r="BE23" s="99"/>
      <c r="BF23" s="99"/>
      <c r="BG23" s="99"/>
      <c r="BH23" s="99">
        <f>CEILING(BH22*0.95,0.5)</f>
        <v>241.5</v>
      </c>
      <c r="BI23" s="99"/>
      <c r="BJ23" s="99"/>
      <c r="BK23" s="99"/>
    </row>
    <row r="24" spans="1:63" ht="16.5" customHeight="1">
      <c r="A24" s="184"/>
      <c r="B24" s="184"/>
      <c r="C24" s="184"/>
      <c r="D24" s="184"/>
      <c r="E24" s="184"/>
      <c r="F24" s="94"/>
      <c r="G24" s="94"/>
      <c r="H24" s="94"/>
      <c r="I24" s="156"/>
      <c r="J24" s="156"/>
      <c r="K24" s="156"/>
      <c r="L24" s="156"/>
      <c r="M24" s="156"/>
      <c r="N24" s="100" t="s">
        <v>12</v>
      </c>
      <c r="O24" s="100"/>
      <c r="P24" s="101">
        <f>CEILING(142*1.3,0.5)</f>
        <v>185</v>
      </c>
      <c r="Q24" s="101"/>
      <c r="R24" s="101"/>
      <c r="S24" s="101"/>
      <c r="T24" s="99">
        <f>P24+10</f>
        <v>195</v>
      </c>
      <c r="U24" s="99"/>
      <c r="V24" s="99"/>
      <c r="W24" s="99"/>
      <c r="X24" s="99">
        <f>T24+10</f>
        <v>205</v>
      </c>
      <c r="Y24" s="99"/>
      <c r="Z24" s="99"/>
      <c r="AA24" s="99"/>
      <c r="AB24" s="99">
        <f>X24+10</f>
        <v>215</v>
      </c>
      <c r="AC24" s="99"/>
      <c r="AD24" s="99"/>
      <c r="AE24" s="99"/>
      <c r="AG24" s="184"/>
      <c r="AH24" s="184"/>
      <c r="AI24" s="184"/>
      <c r="AJ24" s="184"/>
      <c r="AK24" s="184"/>
      <c r="AL24" s="94"/>
      <c r="AM24" s="94"/>
      <c r="AN24" s="94"/>
      <c r="AO24" s="95"/>
      <c r="AP24" s="95"/>
      <c r="AQ24" s="95"/>
      <c r="AR24" s="95"/>
      <c r="AS24" s="95"/>
      <c r="AT24" s="100" t="s">
        <v>12</v>
      </c>
      <c r="AU24" s="100"/>
      <c r="AV24" s="101">
        <f>CEILING(155*1.3,0.5)</f>
        <v>201.5</v>
      </c>
      <c r="AW24" s="101"/>
      <c r="AX24" s="101"/>
      <c r="AY24" s="101"/>
      <c r="AZ24" s="99">
        <f>AV24+10</f>
        <v>211.5</v>
      </c>
      <c r="BA24" s="99"/>
      <c r="BB24" s="99"/>
      <c r="BC24" s="99"/>
      <c r="BD24" s="99">
        <f>AZ24+10</f>
        <v>221.5</v>
      </c>
      <c r="BE24" s="99"/>
      <c r="BF24" s="99"/>
      <c r="BG24" s="99"/>
      <c r="BH24" s="99">
        <f>BD24+10</f>
        <v>231.5</v>
      </c>
      <c r="BI24" s="99"/>
      <c r="BJ24" s="99"/>
      <c r="BK24" s="99"/>
    </row>
    <row r="25" spans="1:63" ht="16.5" customHeight="1">
      <c r="A25" s="184"/>
      <c r="B25" s="184"/>
      <c r="C25" s="184"/>
      <c r="D25" s="184"/>
      <c r="E25" s="184"/>
      <c r="F25" s="94"/>
      <c r="G25" s="94"/>
      <c r="H25" s="94"/>
      <c r="I25" s="97" t="s">
        <v>19</v>
      </c>
      <c r="J25" s="97"/>
      <c r="K25" s="97"/>
      <c r="L25" s="97"/>
      <c r="M25" s="97"/>
      <c r="N25" s="98" t="s">
        <v>58</v>
      </c>
      <c r="O25" s="98"/>
      <c r="P25" s="96">
        <f>CEILING(P22*0.35+5,0.5)</f>
        <v>79.5</v>
      </c>
      <c r="Q25" s="96"/>
      <c r="R25" s="96"/>
      <c r="S25" s="96"/>
      <c r="T25" s="96">
        <f>CEILING(T22*0.35+5,0.5)</f>
        <v>83</v>
      </c>
      <c r="U25" s="96"/>
      <c r="V25" s="96"/>
      <c r="W25" s="96"/>
      <c r="X25" s="96">
        <f>CEILING(X22*0.35+5,0.5)</f>
        <v>86.5</v>
      </c>
      <c r="Y25" s="96"/>
      <c r="Z25" s="96"/>
      <c r="AA25" s="96"/>
      <c r="AB25" s="96">
        <f>CEILING(AB22*0.35+5,0.5)</f>
        <v>90</v>
      </c>
      <c r="AC25" s="96"/>
      <c r="AD25" s="96"/>
      <c r="AE25" s="96"/>
      <c r="AG25" s="184"/>
      <c r="AH25" s="184"/>
      <c r="AI25" s="184"/>
      <c r="AJ25" s="184"/>
      <c r="AK25" s="184"/>
      <c r="AL25" s="94"/>
      <c r="AM25" s="94"/>
      <c r="AN25" s="94"/>
      <c r="AO25" s="97" t="s">
        <v>20</v>
      </c>
      <c r="AP25" s="97"/>
      <c r="AQ25" s="97"/>
      <c r="AR25" s="97"/>
      <c r="AS25" s="97"/>
      <c r="AT25" s="98" t="s">
        <v>58</v>
      </c>
      <c r="AU25" s="98"/>
      <c r="AV25" s="96">
        <f>CEILING(AV22*0.47+5,0.5)</f>
        <v>110.5</v>
      </c>
      <c r="AW25" s="96"/>
      <c r="AX25" s="96"/>
      <c r="AY25" s="96"/>
      <c r="AZ25" s="96">
        <f>CEILING(AZ22*0.47+5,0.5)</f>
        <v>115</v>
      </c>
      <c r="BA25" s="96"/>
      <c r="BB25" s="96"/>
      <c r="BC25" s="96"/>
      <c r="BD25" s="96">
        <f>CEILING(BD22*0.47+5,0.5)</f>
        <v>120</v>
      </c>
      <c r="BE25" s="96"/>
      <c r="BF25" s="96"/>
      <c r="BG25" s="96"/>
      <c r="BH25" s="96">
        <f>CEILING(BH22*0.47+5,0.5)</f>
        <v>124.5</v>
      </c>
      <c r="BI25" s="96"/>
      <c r="BJ25" s="96"/>
      <c r="BK25" s="96"/>
    </row>
    <row r="26" spans="1:63" ht="16.5" customHeight="1">
      <c r="A26" s="184"/>
      <c r="B26" s="184"/>
      <c r="C26" s="184"/>
      <c r="D26" s="184"/>
      <c r="E26" s="184"/>
      <c r="F26" s="94"/>
      <c r="G26" s="94"/>
      <c r="H26" s="94"/>
      <c r="I26" s="97"/>
      <c r="J26" s="97"/>
      <c r="K26" s="97"/>
      <c r="L26" s="97"/>
      <c r="M26" s="97"/>
      <c r="N26" s="98" t="s">
        <v>11</v>
      </c>
      <c r="O26" s="98"/>
      <c r="P26" s="96">
        <f>CEILING(P25*0.95,0.5)</f>
        <v>76</v>
      </c>
      <c r="Q26" s="96"/>
      <c r="R26" s="96"/>
      <c r="S26" s="96"/>
      <c r="T26" s="96">
        <f>CEILING(T25*0.95,0.5)</f>
        <v>79</v>
      </c>
      <c r="U26" s="96"/>
      <c r="V26" s="96"/>
      <c r="W26" s="96"/>
      <c r="X26" s="96">
        <f>CEILING(X25*0.95,0.5)</f>
        <v>82.5</v>
      </c>
      <c r="Y26" s="96"/>
      <c r="Z26" s="96"/>
      <c r="AA26" s="96"/>
      <c r="AB26" s="96">
        <f>CEILING(AB25*0.95,0.5)</f>
        <v>85.5</v>
      </c>
      <c r="AC26" s="96"/>
      <c r="AD26" s="96"/>
      <c r="AE26" s="96"/>
      <c r="AG26" s="184"/>
      <c r="AH26" s="184"/>
      <c r="AI26" s="184"/>
      <c r="AJ26" s="184"/>
      <c r="AK26" s="184"/>
      <c r="AL26" s="94"/>
      <c r="AM26" s="94"/>
      <c r="AN26" s="94"/>
      <c r="AO26" s="97"/>
      <c r="AP26" s="97"/>
      <c r="AQ26" s="97"/>
      <c r="AR26" s="97"/>
      <c r="AS26" s="97"/>
      <c r="AT26" s="98" t="s">
        <v>11</v>
      </c>
      <c r="AU26" s="98"/>
      <c r="AV26" s="96">
        <f>CEILING(AV25*0.95,0.5)</f>
        <v>105</v>
      </c>
      <c r="AW26" s="96"/>
      <c r="AX26" s="96"/>
      <c r="AY26" s="96"/>
      <c r="AZ26" s="96">
        <f>CEILING(AZ25*0.95,0.5)</f>
        <v>109.5</v>
      </c>
      <c r="BA26" s="96"/>
      <c r="BB26" s="96"/>
      <c r="BC26" s="96"/>
      <c r="BD26" s="96">
        <f>CEILING(BD25*0.95,0.5)</f>
        <v>114</v>
      </c>
      <c r="BE26" s="96"/>
      <c r="BF26" s="96"/>
      <c r="BG26" s="96"/>
      <c r="BH26" s="96">
        <f>CEILING(BH25*0.95,0.5)</f>
        <v>118.5</v>
      </c>
      <c r="BI26" s="96"/>
      <c r="BJ26" s="96"/>
      <c r="BK26" s="96"/>
    </row>
    <row r="27" spans="1:63" ht="16.5" customHeight="1">
      <c r="A27" s="184"/>
      <c r="B27" s="184"/>
      <c r="C27" s="184"/>
      <c r="D27" s="184"/>
      <c r="E27" s="184"/>
      <c r="F27" s="94"/>
      <c r="G27" s="94"/>
      <c r="H27" s="94"/>
      <c r="I27" s="97"/>
      <c r="J27" s="97"/>
      <c r="K27" s="97"/>
      <c r="L27" s="97"/>
      <c r="M27" s="97"/>
      <c r="N27" s="98" t="s">
        <v>12</v>
      </c>
      <c r="O27" s="98"/>
      <c r="P27" s="96">
        <f>CEILING(P24*0.35+5,0.5)</f>
        <v>70</v>
      </c>
      <c r="Q27" s="96"/>
      <c r="R27" s="96"/>
      <c r="S27" s="96"/>
      <c r="T27" s="96">
        <f>CEILING(T24*0.35+5,0.5)</f>
        <v>73.5</v>
      </c>
      <c r="U27" s="96"/>
      <c r="V27" s="96"/>
      <c r="W27" s="96"/>
      <c r="X27" s="96">
        <f>CEILING(X24*0.35+5,0.5)</f>
        <v>77</v>
      </c>
      <c r="Y27" s="96"/>
      <c r="Z27" s="96"/>
      <c r="AA27" s="96"/>
      <c r="AB27" s="96">
        <f>CEILING(AB24*0.35+5,0.5)</f>
        <v>80.5</v>
      </c>
      <c r="AC27" s="96"/>
      <c r="AD27" s="96"/>
      <c r="AE27" s="96"/>
      <c r="AG27" s="184"/>
      <c r="AH27" s="184"/>
      <c r="AI27" s="184"/>
      <c r="AJ27" s="184"/>
      <c r="AK27" s="184"/>
      <c r="AL27" s="94"/>
      <c r="AM27" s="94"/>
      <c r="AN27" s="94"/>
      <c r="AO27" s="97"/>
      <c r="AP27" s="97"/>
      <c r="AQ27" s="97"/>
      <c r="AR27" s="97"/>
      <c r="AS27" s="97"/>
      <c r="AT27" s="98" t="s">
        <v>12</v>
      </c>
      <c r="AU27" s="98"/>
      <c r="AV27" s="96">
        <f>CEILING(AV24*0.47+5,0.5)</f>
        <v>100</v>
      </c>
      <c r="AW27" s="96"/>
      <c r="AX27" s="96"/>
      <c r="AY27" s="96"/>
      <c r="AZ27" s="96">
        <f>CEILING(AZ24*0.47+5,0.5)</f>
        <v>104.5</v>
      </c>
      <c r="BA27" s="96"/>
      <c r="BB27" s="96"/>
      <c r="BC27" s="96"/>
      <c r="BD27" s="96">
        <f>CEILING(BD24*0.47+5,0.5)</f>
        <v>109.5</v>
      </c>
      <c r="BE27" s="96"/>
      <c r="BF27" s="96"/>
      <c r="BG27" s="96"/>
      <c r="BH27" s="96">
        <f>CEILING(BH24*0.47+5,0.5)</f>
        <v>114</v>
      </c>
      <c r="BI27" s="96"/>
      <c r="BJ27" s="96"/>
      <c r="BK27" s="96"/>
    </row>
    <row r="28" spans="1:63" ht="16.5" customHeight="1">
      <c r="A28" s="184"/>
      <c r="B28" s="184"/>
      <c r="C28" s="184"/>
      <c r="D28" s="184"/>
      <c r="E28" s="184"/>
      <c r="F28" s="94"/>
      <c r="G28" s="94"/>
      <c r="H28" s="94"/>
      <c r="I28" s="158" t="s">
        <v>21</v>
      </c>
      <c r="J28" s="158"/>
      <c r="K28" s="158"/>
      <c r="L28" s="158"/>
      <c r="M28" s="158"/>
      <c r="N28" s="84" t="s">
        <v>10</v>
      </c>
      <c r="O28" s="84"/>
      <c r="P28" s="83">
        <f>P22-4</f>
        <v>208</v>
      </c>
      <c r="Q28" s="83"/>
      <c r="R28" s="83"/>
      <c r="S28" s="83"/>
      <c r="T28" s="83">
        <f>P28+8</f>
        <v>216</v>
      </c>
      <c r="U28" s="83"/>
      <c r="V28" s="83"/>
      <c r="W28" s="83"/>
      <c r="X28" s="83">
        <f>T28+8</f>
        <v>224</v>
      </c>
      <c r="Y28" s="83"/>
      <c r="Z28" s="83"/>
      <c r="AA28" s="83"/>
      <c r="AB28" s="83">
        <f>X28+8</f>
        <v>232</v>
      </c>
      <c r="AC28" s="83"/>
      <c r="AD28" s="83"/>
      <c r="AE28" s="83"/>
      <c r="AG28" s="184"/>
      <c r="AH28" s="184"/>
      <c r="AI28" s="184"/>
      <c r="AJ28" s="184"/>
      <c r="AK28" s="184"/>
      <c r="AL28" s="94"/>
      <c r="AM28" s="94"/>
      <c r="AN28" s="94"/>
      <c r="AO28" s="82" t="s">
        <v>21</v>
      </c>
      <c r="AP28" s="82"/>
      <c r="AQ28" s="82"/>
      <c r="AR28" s="82"/>
      <c r="AS28" s="82"/>
      <c r="AT28" s="84" t="s">
        <v>10</v>
      </c>
      <c r="AU28" s="84"/>
      <c r="AV28" s="83">
        <f>AV22-4</f>
        <v>220</v>
      </c>
      <c r="AW28" s="83"/>
      <c r="AX28" s="83"/>
      <c r="AY28" s="83"/>
      <c r="AZ28" s="83">
        <f>AV28+8</f>
        <v>228</v>
      </c>
      <c r="BA28" s="83"/>
      <c r="BB28" s="83"/>
      <c r="BC28" s="83"/>
      <c r="BD28" s="83">
        <f>AZ28+8</f>
        <v>236</v>
      </c>
      <c r="BE28" s="83"/>
      <c r="BF28" s="83"/>
      <c r="BG28" s="83"/>
      <c r="BH28" s="83">
        <f>BD28+8</f>
        <v>244</v>
      </c>
      <c r="BI28" s="83"/>
      <c r="BJ28" s="83"/>
      <c r="BK28" s="83"/>
    </row>
    <row r="29" spans="1:63" ht="16.5" customHeight="1">
      <c r="A29" s="184"/>
      <c r="B29" s="184"/>
      <c r="C29" s="184"/>
      <c r="D29" s="184"/>
      <c r="E29" s="184"/>
      <c r="F29" s="94"/>
      <c r="G29" s="94"/>
      <c r="H29" s="94"/>
      <c r="I29" s="158"/>
      <c r="J29" s="158"/>
      <c r="K29" s="158"/>
      <c r="L29" s="158"/>
      <c r="M29" s="158"/>
      <c r="N29" s="84" t="s">
        <v>11</v>
      </c>
      <c r="O29" s="84"/>
      <c r="P29" s="83">
        <f>CEILING(P28*0.95,0.5)</f>
        <v>198</v>
      </c>
      <c r="Q29" s="83"/>
      <c r="R29" s="83"/>
      <c r="S29" s="83"/>
      <c r="T29" s="83">
        <f>CEILING(T28*0.95,0.5)</f>
        <v>205.5</v>
      </c>
      <c r="U29" s="83"/>
      <c r="V29" s="83"/>
      <c r="W29" s="83"/>
      <c r="X29" s="83">
        <f>CEILING(X28*0.95,0.5)</f>
        <v>213</v>
      </c>
      <c r="Y29" s="83"/>
      <c r="Z29" s="83"/>
      <c r="AA29" s="83"/>
      <c r="AB29" s="83">
        <f>CEILING(AB28*0.95,0.5)</f>
        <v>220.5</v>
      </c>
      <c r="AC29" s="83"/>
      <c r="AD29" s="83"/>
      <c r="AE29" s="83"/>
      <c r="AG29" s="184"/>
      <c r="AH29" s="184"/>
      <c r="AI29" s="184"/>
      <c r="AJ29" s="184"/>
      <c r="AK29" s="184"/>
      <c r="AL29" s="94"/>
      <c r="AM29" s="94"/>
      <c r="AN29" s="94"/>
      <c r="AO29" s="82"/>
      <c r="AP29" s="82"/>
      <c r="AQ29" s="82"/>
      <c r="AR29" s="82"/>
      <c r="AS29" s="82"/>
      <c r="AT29" s="84" t="s">
        <v>11</v>
      </c>
      <c r="AU29" s="84"/>
      <c r="AV29" s="83">
        <f>CEILING(AV28*0.95,0.5)</f>
        <v>209</v>
      </c>
      <c r="AW29" s="83"/>
      <c r="AX29" s="83"/>
      <c r="AY29" s="83"/>
      <c r="AZ29" s="83">
        <f>CEILING(AZ28*0.95,0.5)</f>
        <v>217</v>
      </c>
      <c r="BA29" s="83"/>
      <c r="BB29" s="83"/>
      <c r="BC29" s="83"/>
      <c r="BD29" s="83">
        <f>CEILING(BD28*0.95,0.5)</f>
        <v>224.5</v>
      </c>
      <c r="BE29" s="83"/>
      <c r="BF29" s="83"/>
      <c r="BG29" s="83"/>
      <c r="BH29" s="83">
        <f>CEILING(BH28*0.95,0.5)</f>
        <v>232</v>
      </c>
      <c r="BI29" s="83"/>
      <c r="BJ29" s="83"/>
      <c r="BK29" s="83"/>
    </row>
    <row r="30" spans="1:63" ht="16.5" customHeight="1">
      <c r="A30" s="184"/>
      <c r="B30" s="184"/>
      <c r="C30" s="184"/>
      <c r="D30" s="184"/>
      <c r="E30" s="184"/>
      <c r="F30" s="94"/>
      <c r="G30" s="94"/>
      <c r="H30" s="94"/>
      <c r="I30" s="158"/>
      <c r="J30" s="158"/>
      <c r="K30" s="158"/>
      <c r="L30" s="158"/>
      <c r="M30" s="158"/>
      <c r="N30" s="84" t="s">
        <v>12</v>
      </c>
      <c r="O30" s="84"/>
      <c r="P30" s="83">
        <f>P24-4</f>
        <v>181</v>
      </c>
      <c r="Q30" s="83"/>
      <c r="R30" s="83"/>
      <c r="S30" s="83"/>
      <c r="T30" s="83">
        <f>P30+8</f>
        <v>189</v>
      </c>
      <c r="U30" s="83"/>
      <c r="V30" s="83"/>
      <c r="W30" s="83"/>
      <c r="X30" s="83">
        <f>T30+8</f>
        <v>197</v>
      </c>
      <c r="Y30" s="83"/>
      <c r="Z30" s="83"/>
      <c r="AA30" s="83"/>
      <c r="AB30" s="83">
        <f>X30+8</f>
        <v>205</v>
      </c>
      <c r="AC30" s="83"/>
      <c r="AD30" s="83"/>
      <c r="AE30" s="83"/>
      <c r="AG30" s="184"/>
      <c r="AH30" s="184"/>
      <c r="AI30" s="184"/>
      <c r="AJ30" s="184"/>
      <c r="AK30" s="184"/>
      <c r="AL30" s="94"/>
      <c r="AM30" s="94"/>
      <c r="AN30" s="94"/>
      <c r="AO30" s="82"/>
      <c r="AP30" s="82"/>
      <c r="AQ30" s="82"/>
      <c r="AR30" s="82"/>
      <c r="AS30" s="82"/>
      <c r="AT30" s="84" t="s">
        <v>12</v>
      </c>
      <c r="AU30" s="84"/>
      <c r="AV30" s="83">
        <f>AV24-4</f>
        <v>197.5</v>
      </c>
      <c r="AW30" s="83"/>
      <c r="AX30" s="83"/>
      <c r="AY30" s="83"/>
      <c r="AZ30" s="83">
        <f>AV30+8</f>
        <v>205.5</v>
      </c>
      <c r="BA30" s="83"/>
      <c r="BB30" s="83"/>
      <c r="BC30" s="83"/>
      <c r="BD30" s="83">
        <f>AZ30+8</f>
        <v>213.5</v>
      </c>
      <c r="BE30" s="83"/>
      <c r="BF30" s="83"/>
      <c r="BG30" s="83"/>
      <c r="BH30" s="83">
        <f>BD30+8</f>
        <v>221.5</v>
      </c>
      <c r="BI30" s="83"/>
      <c r="BJ30" s="83"/>
      <c r="BK30" s="83"/>
    </row>
    <row r="31" spans="1:63" ht="16.5" customHeight="1">
      <c r="A31" s="184"/>
      <c r="B31" s="184"/>
      <c r="C31" s="184"/>
      <c r="D31" s="184"/>
      <c r="E31" s="184"/>
      <c r="F31" s="94"/>
      <c r="G31" s="94"/>
      <c r="H31" s="94"/>
      <c r="I31" s="80" t="s">
        <v>22</v>
      </c>
      <c r="J31" s="80"/>
      <c r="K31" s="80"/>
      <c r="L31" s="80"/>
      <c r="M31" s="80"/>
      <c r="N31" s="81" t="s">
        <v>58</v>
      </c>
      <c r="O31" s="81"/>
      <c r="P31" s="89">
        <f>CEILING(P28*0.35+5,0.5)</f>
        <v>78</v>
      </c>
      <c r="Q31" s="89"/>
      <c r="R31" s="89"/>
      <c r="S31" s="89"/>
      <c r="T31" s="89">
        <f>CEILING(T28*0.35+5,0.5)</f>
        <v>81</v>
      </c>
      <c r="U31" s="89"/>
      <c r="V31" s="89"/>
      <c r="W31" s="89"/>
      <c r="X31" s="89">
        <f>CEILING(X28*0.35+5,0.5)</f>
        <v>83.5</v>
      </c>
      <c r="Y31" s="89"/>
      <c r="Z31" s="89"/>
      <c r="AA31" s="89"/>
      <c r="AB31" s="89">
        <f>CEILING(AB28*0.35+5,0.5)</f>
        <v>86.5</v>
      </c>
      <c r="AC31" s="89"/>
      <c r="AD31" s="89"/>
      <c r="AE31" s="89"/>
      <c r="AG31" s="184"/>
      <c r="AH31" s="184"/>
      <c r="AI31" s="184"/>
      <c r="AJ31" s="184"/>
      <c r="AK31" s="184"/>
      <c r="AL31" s="94"/>
      <c r="AM31" s="94"/>
      <c r="AN31" s="94"/>
      <c r="AO31" s="80" t="s">
        <v>23</v>
      </c>
      <c r="AP31" s="80"/>
      <c r="AQ31" s="80"/>
      <c r="AR31" s="80"/>
      <c r="AS31" s="80"/>
      <c r="AT31" s="81" t="s">
        <v>58</v>
      </c>
      <c r="AU31" s="81"/>
      <c r="AV31" s="89">
        <f>CEILING(AV28*0.47+5,0.5)</f>
        <v>108.5</v>
      </c>
      <c r="AW31" s="89"/>
      <c r="AX31" s="89"/>
      <c r="AY31" s="89"/>
      <c r="AZ31" s="89">
        <f>CEILING(AZ28*0.47+5,0.5)</f>
        <v>112.5</v>
      </c>
      <c r="BA31" s="89"/>
      <c r="BB31" s="89"/>
      <c r="BC31" s="89"/>
      <c r="BD31" s="89">
        <f>CEILING(BD28*0.47+5,0.5)</f>
        <v>116</v>
      </c>
      <c r="BE31" s="89"/>
      <c r="BF31" s="89"/>
      <c r="BG31" s="89"/>
      <c r="BH31" s="89">
        <f>CEILING(BH28*0.47+5,0.5)</f>
        <v>120</v>
      </c>
      <c r="BI31" s="89"/>
      <c r="BJ31" s="89"/>
      <c r="BK31" s="89"/>
    </row>
    <row r="32" spans="1:63" ht="16.5" customHeight="1">
      <c r="A32" s="184"/>
      <c r="B32" s="184"/>
      <c r="C32" s="184"/>
      <c r="D32" s="184"/>
      <c r="E32" s="184"/>
      <c r="F32" s="94"/>
      <c r="G32" s="94"/>
      <c r="H32" s="94"/>
      <c r="I32" s="80"/>
      <c r="J32" s="80"/>
      <c r="K32" s="80"/>
      <c r="L32" s="80"/>
      <c r="M32" s="80"/>
      <c r="N32" s="81" t="s">
        <v>11</v>
      </c>
      <c r="O32" s="81"/>
      <c r="P32" s="89">
        <f>CEILING(P31*0.95,0.5)</f>
        <v>74.5</v>
      </c>
      <c r="Q32" s="89"/>
      <c r="R32" s="89"/>
      <c r="S32" s="89"/>
      <c r="T32" s="89">
        <f>CEILING(T31*0.95,0.5)</f>
        <v>77</v>
      </c>
      <c r="U32" s="89"/>
      <c r="V32" s="89"/>
      <c r="W32" s="89"/>
      <c r="X32" s="89">
        <f>CEILING(X31*0.95,0.5)</f>
        <v>79.5</v>
      </c>
      <c r="Y32" s="89"/>
      <c r="Z32" s="89"/>
      <c r="AA32" s="89"/>
      <c r="AB32" s="89">
        <f>CEILING(AB31*0.95,0.5)</f>
        <v>82.5</v>
      </c>
      <c r="AC32" s="89"/>
      <c r="AD32" s="89"/>
      <c r="AE32" s="89"/>
      <c r="AG32" s="184"/>
      <c r="AH32" s="184"/>
      <c r="AI32" s="184"/>
      <c r="AJ32" s="184"/>
      <c r="AK32" s="184"/>
      <c r="AL32" s="94"/>
      <c r="AM32" s="94"/>
      <c r="AN32" s="94"/>
      <c r="AO32" s="80"/>
      <c r="AP32" s="80"/>
      <c r="AQ32" s="80"/>
      <c r="AR32" s="80"/>
      <c r="AS32" s="80"/>
      <c r="AT32" s="81" t="s">
        <v>11</v>
      </c>
      <c r="AU32" s="81"/>
      <c r="AV32" s="89">
        <f>CEILING(AV31*0.95,0.5)</f>
        <v>103.5</v>
      </c>
      <c r="AW32" s="89"/>
      <c r="AX32" s="89"/>
      <c r="AY32" s="89"/>
      <c r="AZ32" s="89">
        <f>CEILING(AZ31*0.95,0.5)</f>
        <v>107</v>
      </c>
      <c r="BA32" s="89"/>
      <c r="BB32" s="89"/>
      <c r="BC32" s="89"/>
      <c r="BD32" s="89">
        <f>CEILING(BD31*0.95,0.5)</f>
        <v>110.5</v>
      </c>
      <c r="BE32" s="89"/>
      <c r="BF32" s="89"/>
      <c r="BG32" s="89"/>
      <c r="BH32" s="89">
        <f>CEILING(BH31*0.95,0.5)</f>
        <v>114</v>
      </c>
      <c r="BI32" s="89"/>
      <c r="BJ32" s="89"/>
      <c r="BK32" s="89"/>
    </row>
    <row r="33" spans="1:63" ht="16.5" customHeight="1">
      <c r="A33" s="184"/>
      <c r="B33" s="184"/>
      <c r="C33" s="184"/>
      <c r="D33" s="184"/>
      <c r="E33" s="184"/>
      <c r="F33" s="94"/>
      <c r="G33" s="94"/>
      <c r="H33" s="94"/>
      <c r="I33" s="80"/>
      <c r="J33" s="80"/>
      <c r="K33" s="80"/>
      <c r="L33" s="80"/>
      <c r="M33" s="80"/>
      <c r="N33" s="81" t="s">
        <v>12</v>
      </c>
      <c r="O33" s="81"/>
      <c r="P33" s="89">
        <f>CEILING(P30*0.35+5,0.5)</f>
        <v>68.5</v>
      </c>
      <c r="Q33" s="89"/>
      <c r="R33" s="89"/>
      <c r="S33" s="89"/>
      <c r="T33" s="89">
        <f>CEILING(T30*0.35+5,0.5)</f>
        <v>71.5</v>
      </c>
      <c r="U33" s="89"/>
      <c r="V33" s="89"/>
      <c r="W33" s="89"/>
      <c r="X33" s="89">
        <f>CEILING(X30*0.35+5,0.5)</f>
        <v>74</v>
      </c>
      <c r="Y33" s="89"/>
      <c r="Z33" s="89"/>
      <c r="AA33" s="89"/>
      <c r="AB33" s="89">
        <f>CEILING(AB30*0.35+5,0.5)</f>
        <v>77</v>
      </c>
      <c r="AC33" s="89"/>
      <c r="AD33" s="89"/>
      <c r="AE33" s="89"/>
      <c r="AG33" s="184"/>
      <c r="AH33" s="184"/>
      <c r="AI33" s="184"/>
      <c r="AJ33" s="184"/>
      <c r="AK33" s="184"/>
      <c r="AL33" s="94"/>
      <c r="AM33" s="94"/>
      <c r="AN33" s="94"/>
      <c r="AO33" s="80"/>
      <c r="AP33" s="80"/>
      <c r="AQ33" s="80"/>
      <c r="AR33" s="80"/>
      <c r="AS33" s="80"/>
      <c r="AT33" s="81" t="s">
        <v>12</v>
      </c>
      <c r="AU33" s="81"/>
      <c r="AV33" s="89">
        <f>CEILING(AV30*0.47+5,0.5)</f>
        <v>98</v>
      </c>
      <c r="AW33" s="89"/>
      <c r="AX33" s="89"/>
      <c r="AY33" s="89"/>
      <c r="AZ33" s="89">
        <f>CEILING(AZ30*0.47+5,0.5)</f>
        <v>102</v>
      </c>
      <c r="BA33" s="89"/>
      <c r="BB33" s="89"/>
      <c r="BC33" s="89"/>
      <c r="BD33" s="89">
        <f>CEILING(BD30*0.47+5,0.5)</f>
        <v>105.5</v>
      </c>
      <c r="BE33" s="89"/>
      <c r="BF33" s="89"/>
      <c r="BG33" s="89"/>
      <c r="BH33" s="89">
        <f>CEILING(BH30*0.47+5,0.5)</f>
        <v>109.5</v>
      </c>
      <c r="BI33" s="89"/>
      <c r="BJ33" s="89"/>
      <c r="BK33" s="89"/>
    </row>
    <row r="34" spans="1:63" ht="16.5" customHeight="1">
      <c r="A34" s="39"/>
      <c r="B34" s="39"/>
      <c r="C34" s="39"/>
      <c r="D34" s="39"/>
      <c r="E34" s="39"/>
      <c r="F34" s="27"/>
      <c r="G34" s="27"/>
      <c r="H34" s="27"/>
      <c r="I34" s="28"/>
      <c r="J34" s="28"/>
      <c r="K34" s="28"/>
      <c r="L34" s="28"/>
      <c r="M34" s="28"/>
      <c r="N34" s="22"/>
      <c r="O34" s="22"/>
      <c r="P34" s="29"/>
      <c r="Q34" s="29"/>
      <c r="R34" s="29"/>
      <c r="S34" s="29"/>
      <c r="T34" s="29"/>
      <c r="U34" s="29"/>
      <c r="V34" s="29"/>
      <c r="W34" s="29"/>
      <c r="X34" s="29"/>
      <c r="Y34" s="29"/>
      <c r="Z34" s="29"/>
      <c r="AA34" s="29"/>
      <c r="AB34" s="29"/>
      <c r="AC34" s="29"/>
      <c r="AD34" s="29"/>
      <c r="AE34" s="29"/>
      <c r="AG34" s="39"/>
      <c r="AH34" s="39"/>
      <c r="AI34" s="39"/>
      <c r="AJ34" s="39"/>
      <c r="AK34" s="39"/>
      <c r="AL34" s="27"/>
      <c r="AM34" s="27"/>
      <c r="AN34" s="27"/>
      <c r="AO34" s="28"/>
      <c r="AP34" s="28"/>
      <c r="AQ34" s="28"/>
      <c r="AR34" s="28"/>
      <c r="AS34" s="28"/>
      <c r="AT34" s="22"/>
      <c r="AU34" s="22"/>
      <c r="AV34" s="29"/>
      <c r="AW34" s="29"/>
      <c r="AX34" s="29"/>
      <c r="AY34" s="29"/>
      <c r="AZ34" s="29"/>
      <c r="BA34" s="29"/>
      <c r="BB34" s="29"/>
      <c r="BC34" s="29"/>
      <c r="BD34" s="29"/>
      <c r="BE34" s="29"/>
      <c r="BF34" s="29"/>
      <c r="BG34" s="29"/>
      <c r="BH34" s="29"/>
      <c r="BI34" s="29"/>
      <c r="BJ34" s="29"/>
      <c r="BK34" s="29"/>
    </row>
    <row r="35" spans="1:63" ht="16.5" customHeight="1">
      <c r="A35" s="9" t="s">
        <v>60</v>
      </c>
      <c r="H35" s="54"/>
      <c r="I35" s="55"/>
      <c r="J35" s="55"/>
      <c r="K35" s="55"/>
      <c r="L35" s="55"/>
      <c r="M35" s="55"/>
      <c r="N35" s="3"/>
      <c r="O35" s="3"/>
      <c r="P35" s="10"/>
      <c r="Q35" s="10"/>
      <c r="R35" s="10"/>
      <c r="S35" s="10"/>
      <c r="T35" s="10"/>
      <c r="U35" s="10"/>
      <c r="V35" s="10"/>
      <c r="W35" s="10"/>
      <c r="X35" s="10"/>
      <c r="Y35" s="10"/>
      <c r="Z35" s="10"/>
      <c r="AA35" s="10"/>
      <c r="AB35" s="10"/>
      <c r="AC35" s="10"/>
      <c r="AD35" s="10"/>
      <c r="AE35" s="10"/>
      <c r="AG35" s="9"/>
    </row>
    <row r="36" spans="1:63" ht="16.5" customHeight="1">
      <c r="A36" s="9" t="s">
        <v>109</v>
      </c>
      <c r="H36" s="54"/>
      <c r="I36" s="55"/>
      <c r="J36" s="55"/>
      <c r="K36" s="55"/>
      <c r="L36" s="55"/>
      <c r="M36" s="55"/>
      <c r="N36" s="3"/>
      <c r="O36" s="3"/>
      <c r="P36" s="10"/>
      <c r="Q36" s="10"/>
      <c r="R36" s="10"/>
      <c r="S36" s="10"/>
      <c r="T36" s="10"/>
      <c r="U36" s="10"/>
      <c r="V36" s="10"/>
      <c r="W36" s="10"/>
      <c r="X36" s="10"/>
      <c r="Y36" s="10"/>
      <c r="Z36" s="10"/>
      <c r="AA36" s="10"/>
      <c r="AB36" s="10"/>
      <c r="AC36" s="10"/>
      <c r="AD36" s="10"/>
      <c r="AE36" s="10"/>
      <c r="AG36" s="9"/>
    </row>
    <row r="37" spans="1:63" ht="16.5" customHeight="1">
      <c r="A37" s="9" t="s">
        <v>26</v>
      </c>
      <c r="B37" s="45"/>
      <c r="H37" s="54"/>
      <c r="I37" s="55"/>
      <c r="J37" s="55"/>
      <c r="K37" s="55"/>
      <c r="L37" s="55"/>
      <c r="M37" s="55"/>
      <c r="N37" s="3"/>
      <c r="O37" s="3"/>
      <c r="P37" s="10"/>
      <c r="Q37" s="10"/>
      <c r="R37" s="10"/>
      <c r="S37" s="10"/>
      <c r="T37" s="10"/>
      <c r="U37" s="10"/>
      <c r="V37" s="10"/>
      <c r="W37" s="10"/>
      <c r="X37" s="10"/>
      <c r="Y37" s="10"/>
      <c r="Z37" s="10"/>
      <c r="AA37" s="10"/>
      <c r="AB37" s="10"/>
      <c r="AC37" s="10"/>
      <c r="AD37" s="10"/>
      <c r="AE37" s="10"/>
      <c r="AH37" s="45"/>
    </row>
    <row r="38" spans="1:63" ht="16.5" customHeight="1" thickBot="1">
      <c r="H38" s="54"/>
      <c r="I38" s="55"/>
      <c r="J38" s="55"/>
      <c r="K38" s="55"/>
      <c r="L38" s="55"/>
      <c r="M38" s="55"/>
      <c r="N38" s="3"/>
      <c r="O38" s="3"/>
      <c r="P38" s="10"/>
      <c r="Q38" s="10"/>
      <c r="R38" s="10"/>
      <c r="S38" s="10"/>
      <c r="T38" s="10"/>
      <c r="U38" s="10"/>
      <c r="V38" s="10"/>
      <c r="W38" s="10"/>
      <c r="X38" s="10"/>
      <c r="Y38" s="10"/>
      <c r="Z38" s="10"/>
      <c r="AA38" s="10"/>
      <c r="AB38" s="10"/>
      <c r="AC38" s="10"/>
      <c r="AD38" s="10"/>
      <c r="AE38" s="10"/>
      <c r="AG38" s="9"/>
    </row>
    <row r="39" spans="1:63" ht="16.5" customHeight="1" thickTop="1">
      <c r="A39" s="90" t="s">
        <v>27</v>
      </c>
      <c r="B39" s="91"/>
      <c r="C39" s="91"/>
      <c r="D39" s="91"/>
      <c r="E39" s="91"/>
      <c r="F39" s="91"/>
      <c r="G39" s="91"/>
      <c r="H39" s="91"/>
      <c r="I39" s="91"/>
      <c r="J39" s="91"/>
      <c r="K39" s="91"/>
      <c r="L39" s="91"/>
      <c r="M39" s="91"/>
      <c r="N39" s="91"/>
      <c r="O39" s="91"/>
      <c r="P39" s="91"/>
      <c r="Q39" s="91"/>
      <c r="R39" s="91"/>
      <c r="S39" s="91"/>
      <c r="T39" s="92"/>
      <c r="U39" s="10"/>
      <c r="V39" s="10"/>
      <c r="W39" s="10"/>
      <c r="X39" s="10"/>
      <c r="Y39" s="10"/>
      <c r="Z39" s="10"/>
      <c r="AA39" s="10"/>
      <c r="AB39" s="10"/>
      <c r="AC39" s="10"/>
      <c r="AD39" s="10"/>
      <c r="AE39" s="10"/>
    </row>
    <row r="40" spans="1:63" s="46" customFormat="1" ht="16.5" customHeight="1">
      <c r="A40" s="186" t="s">
        <v>28</v>
      </c>
      <c r="B40" s="187"/>
      <c r="C40" s="187"/>
      <c r="D40" s="187"/>
      <c r="E40" s="187"/>
      <c r="F40" s="187"/>
      <c r="G40" s="187"/>
      <c r="H40" s="188"/>
      <c r="I40" s="187" t="s">
        <v>29</v>
      </c>
      <c r="J40" s="187"/>
      <c r="K40" s="187"/>
      <c r="L40" s="187"/>
      <c r="M40" s="187"/>
      <c r="N40" s="187"/>
      <c r="O40" s="187"/>
      <c r="P40" s="187"/>
      <c r="Q40" s="187"/>
      <c r="R40" s="187"/>
      <c r="S40" s="187"/>
      <c r="T40" s="189"/>
    </row>
    <row r="41" spans="1:63" ht="16.5" customHeight="1" thickBot="1">
      <c r="A41" s="85" t="s">
        <v>30</v>
      </c>
      <c r="B41" s="86"/>
      <c r="C41" s="86"/>
      <c r="D41" s="86"/>
      <c r="E41" s="86"/>
      <c r="F41" s="86"/>
      <c r="G41" s="86"/>
      <c r="H41" s="87"/>
      <c r="I41" s="86" t="s">
        <v>31</v>
      </c>
      <c r="J41" s="86"/>
      <c r="K41" s="86"/>
      <c r="L41" s="86"/>
      <c r="M41" s="86"/>
      <c r="N41" s="86"/>
      <c r="O41" s="86"/>
      <c r="P41" s="86"/>
      <c r="Q41" s="86"/>
      <c r="R41" s="86"/>
      <c r="S41" s="86"/>
      <c r="T41" s="88"/>
      <c r="AQ41" s="14"/>
      <c r="AR41" s="14"/>
      <c r="AS41" s="14"/>
      <c r="AT41" s="14"/>
      <c r="AU41" s="14"/>
      <c r="AV41" s="14"/>
      <c r="AW41" s="14"/>
      <c r="AX41" s="14"/>
      <c r="AY41" s="14"/>
      <c r="AZ41" s="14"/>
      <c r="BA41" s="14"/>
      <c r="BB41" s="14"/>
      <c r="BC41" s="14"/>
      <c r="BD41" s="14"/>
      <c r="BE41" s="14"/>
      <c r="BF41" s="14"/>
      <c r="BG41" s="14"/>
      <c r="BH41" s="14"/>
      <c r="BI41" s="14"/>
      <c r="BJ41" s="14"/>
    </row>
    <row r="42" spans="1:63" ht="16.5" customHeight="1" thickTop="1"/>
    <row r="43" spans="1:63" ht="16.5" customHeight="1"/>
    <row r="44" spans="1:63" ht="16.5" customHeight="1"/>
    <row r="45" spans="1:63" ht="16.5" customHeight="1"/>
    <row r="46" spans="1:63" ht="16.5" customHeight="1"/>
    <row r="47" spans="1:63" ht="16.5" customHeight="1"/>
    <row r="48" spans="1:63"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sheetData>
  <mergeCells count="290">
    <mergeCell ref="A4:K5"/>
    <mergeCell ref="L4:AE7"/>
    <mergeCell ref="AG4:AI4"/>
    <mergeCell ref="AJ4:AS4"/>
    <mergeCell ref="AG5:AI5"/>
    <mergeCell ref="AJ5:AS5"/>
    <mergeCell ref="A6:K7"/>
    <mergeCell ref="AG6:AI6"/>
    <mergeCell ref="AJ6:AS6"/>
    <mergeCell ref="AV9:AY9"/>
    <mergeCell ref="AZ9:BC9"/>
    <mergeCell ref="BD9:BG9"/>
    <mergeCell ref="BH9:BK9"/>
    <mergeCell ref="A10:E33"/>
    <mergeCell ref="F10:H33"/>
    <mergeCell ref="I10:M12"/>
    <mergeCell ref="N10:O10"/>
    <mergeCell ref="P10:S10"/>
    <mergeCell ref="T10:W10"/>
    <mergeCell ref="X9:AA9"/>
    <mergeCell ref="AB9:AE9"/>
    <mergeCell ref="AG9:AK9"/>
    <mergeCell ref="AL9:AN9"/>
    <mergeCell ref="AO9:AS9"/>
    <mergeCell ref="AT9:AU9"/>
    <mergeCell ref="A9:E9"/>
    <mergeCell ref="F9:H9"/>
    <mergeCell ref="I9:M9"/>
    <mergeCell ref="N9:O9"/>
    <mergeCell ref="P9:S9"/>
    <mergeCell ref="T9:W9"/>
    <mergeCell ref="AV10:AY10"/>
    <mergeCell ref="AZ10:BC10"/>
    <mergeCell ref="BD10:BG10"/>
    <mergeCell ref="BH10:BK10"/>
    <mergeCell ref="N11:O11"/>
    <mergeCell ref="P11:S11"/>
    <mergeCell ref="T11:W11"/>
    <mergeCell ref="X11:AA11"/>
    <mergeCell ref="AB11:AE11"/>
    <mergeCell ref="AT11:AU11"/>
    <mergeCell ref="X10:AA10"/>
    <mergeCell ref="AB10:AE10"/>
    <mergeCell ref="AG10:AK33"/>
    <mergeCell ref="AL10:AN33"/>
    <mergeCell ref="AO10:AS12"/>
    <mergeCell ref="AT10:AU10"/>
    <mergeCell ref="AO13:AS15"/>
    <mergeCell ref="AT13:AU13"/>
    <mergeCell ref="AO16:AS18"/>
    <mergeCell ref="AT16:AU16"/>
    <mergeCell ref="AV11:AY11"/>
    <mergeCell ref="AZ11:BC11"/>
    <mergeCell ref="BD11:BG11"/>
    <mergeCell ref="BH11:BK11"/>
    <mergeCell ref="N12:O12"/>
    <mergeCell ref="P12:S12"/>
    <mergeCell ref="T12:W12"/>
    <mergeCell ref="X12:AA12"/>
    <mergeCell ref="AB12:AE12"/>
    <mergeCell ref="AT12:AU12"/>
    <mergeCell ref="AV12:AY12"/>
    <mergeCell ref="AZ12:BC12"/>
    <mergeCell ref="BD12:BG12"/>
    <mergeCell ref="BH12:BK12"/>
    <mergeCell ref="I13:M15"/>
    <mergeCell ref="N13:O13"/>
    <mergeCell ref="P13:S13"/>
    <mergeCell ref="T13:W13"/>
    <mergeCell ref="X13:AA13"/>
    <mergeCell ref="AB13:AE13"/>
    <mergeCell ref="AV13:AY13"/>
    <mergeCell ref="AZ13:BC13"/>
    <mergeCell ref="BD13:BG13"/>
    <mergeCell ref="BH13:BK13"/>
    <mergeCell ref="N14:O14"/>
    <mergeCell ref="P14:S14"/>
    <mergeCell ref="T14:W14"/>
    <mergeCell ref="X14:AA14"/>
    <mergeCell ref="AB14:AE14"/>
    <mergeCell ref="AT14:AU14"/>
    <mergeCell ref="AV14:AY14"/>
    <mergeCell ref="AZ14:BC14"/>
    <mergeCell ref="BD14:BG14"/>
    <mergeCell ref="BH14:BK14"/>
    <mergeCell ref="N15:O15"/>
    <mergeCell ref="P15:S15"/>
    <mergeCell ref="T15:W15"/>
    <mergeCell ref="X15:AA15"/>
    <mergeCell ref="AB15:AE15"/>
    <mergeCell ref="AT15:AU15"/>
    <mergeCell ref="AV15:AY15"/>
    <mergeCell ref="AZ15:BC15"/>
    <mergeCell ref="BD15:BG15"/>
    <mergeCell ref="BH15:BK15"/>
    <mergeCell ref="I16:M18"/>
    <mergeCell ref="N16:O16"/>
    <mergeCell ref="P16:S16"/>
    <mergeCell ref="T16:W16"/>
    <mergeCell ref="X16:AA16"/>
    <mergeCell ref="AB16:AE16"/>
    <mergeCell ref="AV16:AY16"/>
    <mergeCell ref="AZ16:BC16"/>
    <mergeCell ref="BD16:BG16"/>
    <mergeCell ref="N18:O18"/>
    <mergeCell ref="P18:S18"/>
    <mergeCell ref="T18:W18"/>
    <mergeCell ref="X18:AA18"/>
    <mergeCell ref="AB18:AE18"/>
    <mergeCell ref="AT18:AU18"/>
    <mergeCell ref="BH16:BK16"/>
    <mergeCell ref="N17:O17"/>
    <mergeCell ref="P17:S17"/>
    <mergeCell ref="T17:W17"/>
    <mergeCell ref="X17:AA17"/>
    <mergeCell ref="AB17:AE17"/>
    <mergeCell ref="AT17:AU17"/>
    <mergeCell ref="AV17:AY17"/>
    <mergeCell ref="AZ17:BC17"/>
    <mergeCell ref="BD17:BG17"/>
    <mergeCell ref="BH17:BK17"/>
    <mergeCell ref="AV19:AY19"/>
    <mergeCell ref="AZ19:BC19"/>
    <mergeCell ref="BD19:BG19"/>
    <mergeCell ref="BH19:BK19"/>
    <mergeCell ref="AV20:AY20"/>
    <mergeCell ref="AZ20:BC20"/>
    <mergeCell ref="BD20:BG20"/>
    <mergeCell ref="BH20:BK20"/>
    <mergeCell ref="AV18:AY18"/>
    <mergeCell ref="AZ18:BC18"/>
    <mergeCell ref="BD18:BG18"/>
    <mergeCell ref="BH18:BK18"/>
    <mergeCell ref="AT21:AU21"/>
    <mergeCell ref="N20:O20"/>
    <mergeCell ref="P20:S20"/>
    <mergeCell ref="T20:W20"/>
    <mergeCell ref="X20:AA20"/>
    <mergeCell ref="AB20:AE20"/>
    <mergeCell ref="AT20:AU20"/>
    <mergeCell ref="AO19:AS21"/>
    <mergeCell ref="AT19:AU19"/>
    <mergeCell ref="N19:O19"/>
    <mergeCell ref="P19:S19"/>
    <mergeCell ref="T19:W19"/>
    <mergeCell ref="X19:AA19"/>
    <mergeCell ref="AB19:AE19"/>
    <mergeCell ref="I22:M24"/>
    <mergeCell ref="N22:O22"/>
    <mergeCell ref="P22:S22"/>
    <mergeCell ref="T22:W22"/>
    <mergeCell ref="X22:AA22"/>
    <mergeCell ref="AB22:AE22"/>
    <mergeCell ref="N21:O21"/>
    <mergeCell ref="P21:S21"/>
    <mergeCell ref="T21:W21"/>
    <mergeCell ref="X21:AA21"/>
    <mergeCell ref="AB21:AE21"/>
    <mergeCell ref="I19:M21"/>
    <mergeCell ref="N24:O24"/>
    <mergeCell ref="P24:S24"/>
    <mergeCell ref="T24:W24"/>
    <mergeCell ref="X24:AA24"/>
    <mergeCell ref="AB24:AE24"/>
    <mergeCell ref="AV22:AY22"/>
    <mergeCell ref="AZ22:BC22"/>
    <mergeCell ref="BD22:BG22"/>
    <mergeCell ref="BH22:BK22"/>
    <mergeCell ref="AV23:AY23"/>
    <mergeCell ref="AZ23:BC23"/>
    <mergeCell ref="BD23:BG23"/>
    <mergeCell ref="BH23:BK23"/>
    <mergeCell ref="AV21:AY21"/>
    <mergeCell ref="AZ21:BC21"/>
    <mergeCell ref="BD21:BG21"/>
    <mergeCell ref="BH21:BK21"/>
    <mergeCell ref="AT24:AU24"/>
    <mergeCell ref="N23:O23"/>
    <mergeCell ref="P23:S23"/>
    <mergeCell ref="T23:W23"/>
    <mergeCell ref="X23:AA23"/>
    <mergeCell ref="AB23:AE23"/>
    <mergeCell ref="AT23:AU23"/>
    <mergeCell ref="AO22:AS24"/>
    <mergeCell ref="AT22:AU22"/>
    <mergeCell ref="AV25:AY25"/>
    <mergeCell ref="AZ25:BC25"/>
    <mergeCell ref="BD25:BG25"/>
    <mergeCell ref="BH25:BK25"/>
    <mergeCell ref="AV26:AY26"/>
    <mergeCell ref="AZ26:BC26"/>
    <mergeCell ref="BD26:BG26"/>
    <mergeCell ref="BH26:BK26"/>
    <mergeCell ref="AV24:AY24"/>
    <mergeCell ref="AZ24:BC24"/>
    <mergeCell ref="BD24:BG24"/>
    <mergeCell ref="BH24:BK24"/>
    <mergeCell ref="X29:AA29"/>
    <mergeCell ref="AB29:AE29"/>
    <mergeCell ref="AT27:AU27"/>
    <mergeCell ref="N26:O26"/>
    <mergeCell ref="P26:S26"/>
    <mergeCell ref="T26:W26"/>
    <mergeCell ref="X26:AA26"/>
    <mergeCell ref="AB26:AE26"/>
    <mergeCell ref="AT26:AU26"/>
    <mergeCell ref="AO25:AS27"/>
    <mergeCell ref="AT25:AU25"/>
    <mergeCell ref="N25:O25"/>
    <mergeCell ref="P25:S25"/>
    <mergeCell ref="T25:W25"/>
    <mergeCell ref="X25:AA25"/>
    <mergeCell ref="AB25:AE25"/>
    <mergeCell ref="AV27:AY27"/>
    <mergeCell ref="AZ27:BC27"/>
    <mergeCell ref="BD27:BG27"/>
    <mergeCell ref="BH27:BK27"/>
    <mergeCell ref="I28:M30"/>
    <mergeCell ref="N28:O28"/>
    <mergeCell ref="P28:S28"/>
    <mergeCell ref="T28:W28"/>
    <mergeCell ref="X28:AA28"/>
    <mergeCell ref="AB28:AE28"/>
    <mergeCell ref="N27:O27"/>
    <mergeCell ref="P27:S27"/>
    <mergeCell ref="T27:W27"/>
    <mergeCell ref="X27:AA27"/>
    <mergeCell ref="AB27:AE27"/>
    <mergeCell ref="I25:M27"/>
    <mergeCell ref="N30:O30"/>
    <mergeCell ref="P30:S30"/>
    <mergeCell ref="T30:W30"/>
    <mergeCell ref="X30:AA30"/>
    <mergeCell ref="AB30:AE30"/>
    <mergeCell ref="N29:O29"/>
    <mergeCell ref="P29:S29"/>
    <mergeCell ref="T29:W29"/>
    <mergeCell ref="AT29:AU29"/>
    <mergeCell ref="AO28:AS30"/>
    <mergeCell ref="AT28:AU28"/>
    <mergeCell ref="AV28:AY28"/>
    <mergeCell ref="AV32:AY32"/>
    <mergeCell ref="AZ32:BC32"/>
    <mergeCell ref="BD32:BG32"/>
    <mergeCell ref="BH32:BK32"/>
    <mergeCell ref="AV30:AY30"/>
    <mergeCell ref="AZ30:BC30"/>
    <mergeCell ref="BD30:BG30"/>
    <mergeCell ref="BH30:BK30"/>
    <mergeCell ref="AT30:AU30"/>
    <mergeCell ref="AV31:AY31"/>
    <mergeCell ref="AZ28:BC28"/>
    <mergeCell ref="BD28:BG28"/>
    <mergeCell ref="BH28:BK28"/>
    <mergeCell ref="AV29:AY29"/>
    <mergeCell ref="AZ29:BC29"/>
    <mergeCell ref="BD29:BG29"/>
    <mergeCell ref="BH29:BK29"/>
    <mergeCell ref="AZ31:BC31"/>
    <mergeCell ref="BD31:BG31"/>
    <mergeCell ref="BH31:BK31"/>
    <mergeCell ref="A41:H41"/>
    <mergeCell ref="I41:T41"/>
    <mergeCell ref="AV33:AY33"/>
    <mergeCell ref="AZ33:BC33"/>
    <mergeCell ref="BD33:BG33"/>
    <mergeCell ref="BH33:BK33"/>
    <mergeCell ref="A39:T39"/>
    <mergeCell ref="A40:H40"/>
    <mergeCell ref="I40:T40"/>
    <mergeCell ref="N33:O33"/>
    <mergeCell ref="P33:S33"/>
    <mergeCell ref="T33:W33"/>
    <mergeCell ref="X33:AA33"/>
    <mergeCell ref="AB33:AE33"/>
    <mergeCell ref="AT33:AU33"/>
    <mergeCell ref="I31:M33"/>
    <mergeCell ref="N32:O32"/>
    <mergeCell ref="P32:S32"/>
    <mergeCell ref="T32:W32"/>
    <mergeCell ref="X32:AA32"/>
    <mergeCell ref="AB32:AE32"/>
    <mergeCell ref="AT32:AU32"/>
    <mergeCell ref="AO31:AS33"/>
    <mergeCell ref="AT31:AU31"/>
    <mergeCell ref="N31:O31"/>
    <mergeCell ref="P31:S31"/>
    <mergeCell ref="T31:W31"/>
    <mergeCell ref="X31:AA31"/>
    <mergeCell ref="AB31:AE31"/>
  </mergeCells>
  <phoneticPr fontId="2"/>
  <pageMargins left="0.39370078740157483" right="0.39370078740157483" top="0.59055118110236227" bottom="0.39370078740157483" header="0.51181102362204722" footer="0.19685039370078741"/>
  <pageSetup paperSize="9" scale="90" firstPageNumber="13" orientation="portrait" useFirstPageNumber="1" r:id="rId1"/>
  <headerFooter alignWithMargins="0">
    <oddFooter>&amp;C20260511臨時改定価格_SP_和紙包（ロール）&amp;R&amp;P/&amp;N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A0DB-421A-476D-9A9E-72D732EB8941}">
  <sheetPr>
    <tabColor indexed="10"/>
  </sheetPr>
  <dimension ref="A1:BK245"/>
  <sheetViews>
    <sheetView view="pageBreakPreview" zoomScaleSheetLayoutView="100" workbookViewId="0">
      <selection activeCell="BS8" sqref="BS8"/>
    </sheetView>
  </sheetViews>
  <sheetFormatPr defaultColWidth="8.875" defaultRowHeight="13.5"/>
  <cols>
    <col min="1" max="64" width="1.625" style="1" customWidth="1"/>
    <col min="65"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A2" s="50"/>
      <c r="E2" s="50"/>
      <c r="F2" s="27"/>
      <c r="G2" s="27"/>
      <c r="H2" s="27"/>
      <c r="I2" s="51"/>
      <c r="J2" s="51"/>
      <c r="K2" s="51"/>
      <c r="L2" s="51"/>
      <c r="M2" s="51"/>
      <c r="N2" s="22"/>
      <c r="O2" s="22"/>
      <c r="P2" s="29"/>
      <c r="Q2" s="29"/>
      <c r="R2" s="29"/>
      <c r="S2" s="29"/>
      <c r="T2" s="29"/>
      <c r="U2" s="29"/>
      <c r="V2" s="29"/>
      <c r="W2" s="29"/>
      <c r="X2" s="29"/>
      <c r="Y2" s="29"/>
      <c r="Z2" s="29"/>
      <c r="AA2" s="29"/>
      <c r="AB2" s="29"/>
      <c r="AC2" s="29"/>
      <c r="AD2" s="29"/>
      <c r="AE2" s="29"/>
      <c r="AF2" s="49"/>
      <c r="AG2" s="50"/>
      <c r="AK2" s="50"/>
      <c r="AL2" s="27"/>
      <c r="AM2" s="27"/>
      <c r="AN2" s="27"/>
      <c r="AO2" s="51"/>
      <c r="AP2" s="51"/>
      <c r="AQ2" s="51"/>
      <c r="AR2" s="51"/>
      <c r="AS2" s="51"/>
      <c r="AT2" s="22"/>
      <c r="AU2" s="22"/>
      <c r="AV2" s="29"/>
      <c r="AW2" s="29"/>
      <c r="AX2" s="29"/>
      <c r="AY2" s="29"/>
      <c r="AZ2" s="29"/>
      <c r="BA2" s="29"/>
      <c r="BB2" s="29"/>
      <c r="BC2" s="29"/>
      <c r="BD2" s="29"/>
      <c r="BE2" s="29"/>
      <c r="BF2" s="29"/>
      <c r="BG2" s="29"/>
      <c r="BH2" s="29"/>
      <c r="BI2" s="29"/>
      <c r="BJ2" s="29"/>
      <c r="BK2" s="29"/>
    </row>
    <row r="3" spans="1:63" s="46" customFormat="1" ht="16.5" customHeight="1">
      <c r="A3" s="9"/>
    </row>
    <row r="4" spans="1:63" ht="16.5" customHeight="1">
      <c r="A4" s="109" t="s">
        <v>83</v>
      </c>
      <c r="B4" s="110"/>
      <c r="C4" s="110"/>
      <c r="D4" s="110"/>
      <c r="E4" s="110"/>
      <c r="F4" s="110"/>
      <c r="G4" s="110"/>
      <c r="H4" s="110"/>
      <c r="I4" s="110"/>
      <c r="J4" s="110"/>
      <c r="K4" s="172"/>
      <c r="L4" s="123" t="s">
        <v>104</v>
      </c>
      <c r="M4" s="124"/>
      <c r="N4" s="124"/>
      <c r="O4" s="124"/>
      <c r="P4" s="124"/>
      <c r="Q4" s="124"/>
      <c r="R4" s="124"/>
      <c r="S4" s="124"/>
      <c r="T4" s="124"/>
      <c r="U4" s="124"/>
      <c r="V4" s="124"/>
      <c r="W4" s="124"/>
      <c r="X4" s="124"/>
      <c r="Y4" s="124"/>
      <c r="Z4" s="124"/>
      <c r="AA4" s="124"/>
      <c r="AB4" s="124"/>
      <c r="AC4" s="124"/>
      <c r="AD4" s="124"/>
      <c r="AE4" s="124"/>
      <c r="AG4" s="119">
        <v>817</v>
      </c>
      <c r="AH4" s="119"/>
      <c r="AI4" s="119"/>
      <c r="AJ4" s="120" t="s">
        <v>326</v>
      </c>
      <c r="AK4" s="120"/>
      <c r="AL4" s="120"/>
      <c r="AM4" s="120"/>
      <c r="AN4" s="120"/>
      <c r="AO4" s="120"/>
      <c r="AP4" s="120"/>
      <c r="AQ4" s="120"/>
      <c r="AR4" s="120"/>
      <c r="AS4" s="120"/>
    </row>
    <row r="5" spans="1:63" ht="16.5" customHeight="1">
      <c r="A5" s="111"/>
      <c r="B5" s="112"/>
      <c r="C5" s="112"/>
      <c r="D5" s="112"/>
      <c r="E5" s="112"/>
      <c r="F5" s="112"/>
      <c r="G5" s="112"/>
      <c r="H5" s="112"/>
      <c r="I5" s="112"/>
      <c r="J5" s="112"/>
      <c r="K5" s="173"/>
      <c r="L5" s="125"/>
      <c r="M5" s="126"/>
      <c r="N5" s="126"/>
      <c r="O5" s="126"/>
      <c r="P5" s="126"/>
      <c r="Q5" s="126"/>
      <c r="R5" s="126"/>
      <c r="S5" s="126"/>
      <c r="T5" s="126"/>
      <c r="U5" s="126"/>
      <c r="V5" s="126"/>
      <c r="W5" s="126"/>
      <c r="X5" s="126"/>
      <c r="Y5" s="126"/>
      <c r="Z5" s="126"/>
      <c r="AA5" s="126"/>
      <c r="AB5" s="126"/>
      <c r="AC5" s="126"/>
      <c r="AD5" s="126"/>
      <c r="AE5" s="126"/>
      <c r="AG5" s="121">
        <v>828</v>
      </c>
      <c r="AH5" s="121"/>
      <c r="AI5" s="121"/>
      <c r="AJ5" s="122" t="s">
        <v>327</v>
      </c>
      <c r="AK5" s="122"/>
      <c r="AL5" s="122"/>
      <c r="AM5" s="122"/>
      <c r="AN5" s="122"/>
      <c r="AO5" s="122"/>
      <c r="AP5" s="122"/>
      <c r="AQ5" s="122"/>
      <c r="AR5" s="122"/>
      <c r="AS5" s="122"/>
    </row>
    <row r="6" spans="1:63" ht="16.5" customHeight="1">
      <c r="A6" s="180" t="s">
        <v>2</v>
      </c>
      <c r="B6" s="181"/>
      <c r="C6" s="181"/>
      <c r="D6" s="181"/>
      <c r="E6" s="181"/>
      <c r="F6" s="181"/>
      <c r="G6" s="181"/>
      <c r="H6" s="181"/>
      <c r="I6" s="181"/>
      <c r="J6" s="181"/>
      <c r="K6" s="182"/>
      <c r="L6" s="125"/>
      <c r="M6" s="126"/>
      <c r="N6" s="126"/>
      <c r="O6" s="126"/>
      <c r="P6" s="126"/>
      <c r="Q6" s="126"/>
      <c r="R6" s="126"/>
      <c r="S6" s="126"/>
      <c r="T6" s="126"/>
      <c r="U6" s="126"/>
      <c r="V6" s="126"/>
      <c r="W6" s="126"/>
      <c r="X6" s="126"/>
      <c r="Y6" s="126"/>
      <c r="Z6" s="126"/>
      <c r="AA6" s="126"/>
      <c r="AB6" s="126"/>
      <c r="AC6" s="126"/>
      <c r="AD6" s="126"/>
      <c r="AE6" s="126"/>
      <c r="AG6" s="69"/>
      <c r="AH6" s="69"/>
      <c r="AI6" s="69"/>
      <c r="AJ6" s="69"/>
      <c r="AK6" s="69"/>
      <c r="AL6" s="69"/>
      <c r="AM6" s="69"/>
      <c r="AN6" s="69"/>
      <c r="AO6" s="69"/>
      <c r="AP6" s="69"/>
      <c r="AQ6" s="69"/>
      <c r="AR6" s="69"/>
      <c r="AS6" s="69"/>
    </row>
    <row r="7" spans="1:63" ht="16.5" customHeight="1">
      <c r="A7" s="106"/>
      <c r="B7" s="107"/>
      <c r="C7" s="107"/>
      <c r="D7" s="107"/>
      <c r="E7" s="107"/>
      <c r="F7" s="107"/>
      <c r="G7" s="107"/>
      <c r="H7" s="107"/>
      <c r="I7" s="107"/>
      <c r="J7" s="107"/>
      <c r="K7" s="108"/>
      <c r="L7" s="127"/>
      <c r="M7" s="128"/>
      <c r="N7" s="128"/>
      <c r="O7" s="128"/>
      <c r="P7" s="128"/>
      <c r="Q7" s="128"/>
      <c r="R7" s="128"/>
      <c r="S7" s="128"/>
      <c r="T7" s="128"/>
      <c r="U7" s="128"/>
      <c r="V7" s="128"/>
      <c r="W7" s="128"/>
      <c r="X7" s="128"/>
      <c r="Y7" s="128"/>
      <c r="Z7" s="128"/>
      <c r="AA7" s="128"/>
      <c r="AB7" s="128"/>
      <c r="AC7" s="128"/>
      <c r="AD7" s="128"/>
      <c r="AE7" s="128"/>
    </row>
    <row r="8" spans="1:63" ht="16.5" customHeight="1">
      <c r="A8" s="6"/>
      <c r="B8" s="6"/>
      <c r="C8" s="6"/>
      <c r="D8" s="6"/>
      <c r="E8" s="57"/>
      <c r="F8" s="57"/>
      <c r="G8" s="57"/>
      <c r="H8" s="57"/>
      <c r="I8" s="57"/>
      <c r="J8" s="57"/>
      <c r="K8" s="57"/>
      <c r="L8" s="58"/>
      <c r="M8" s="58"/>
      <c r="N8" s="58"/>
      <c r="O8" s="58"/>
      <c r="P8" s="58"/>
      <c r="Q8" s="58"/>
      <c r="R8" s="14"/>
      <c r="S8" s="59"/>
      <c r="T8" s="22"/>
      <c r="U8" s="22"/>
      <c r="V8" s="22"/>
      <c r="W8" s="22"/>
    </row>
    <row r="9" spans="1:63" ht="16.5" customHeight="1">
      <c r="A9" s="216" t="s">
        <v>3</v>
      </c>
      <c r="B9" s="216"/>
      <c r="C9" s="216"/>
      <c r="D9" s="216"/>
      <c r="E9" s="216" t="s">
        <v>4</v>
      </c>
      <c r="F9" s="216"/>
      <c r="G9" s="216"/>
      <c r="H9" s="216" t="s">
        <v>5</v>
      </c>
      <c r="I9" s="216"/>
      <c r="J9" s="216"/>
      <c r="K9" s="216"/>
      <c r="L9" s="216"/>
      <c r="M9" s="216"/>
      <c r="N9" s="216"/>
      <c r="O9" s="216"/>
      <c r="P9" s="216" t="s">
        <v>85</v>
      </c>
      <c r="Q9" s="216"/>
      <c r="R9" s="216"/>
      <c r="S9" s="216"/>
      <c r="T9" s="216" t="s">
        <v>7</v>
      </c>
      <c r="U9" s="216"/>
      <c r="V9" s="216"/>
      <c r="W9" s="216"/>
      <c r="X9" s="216" t="s">
        <v>86</v>
      </c>
      <c r="Y9" s="216"/>
      <c r="Z9" s="216"/>
      <c r="AA9" s="216"/>
      <c r="AB9" s="216" t="s">
        <v>110</v>
      </c>
      <c r="AC9" s="216"/>
      <c r="AD9" s="216"/>
      <c r="AE9" s="216"/>
      <c r="AF9" s="216"/>
      <c r="AG9" s="216"/>
      <c r="AH9" s="216"/>
      <c r="AI9" s="216" t="s">
        <v>88</v>
      </c>
      <c r="AJ9" s="216"/>
      <c r="AK9" s="216"/>
      <c r="AL9" s="216"/>
      <c r="AM9" s="216"/>
      <c r="AN9" s="216"/>
      <c r="AO9" s="216"/>
    </row>
    <row r="10" spans="1:63" ht="16.5" customHeight="1">
      <c r="A10" s="184" t="s">
        <v>111</v>
      </c>
      <c r="B10" s="184"/>
      <c r="C10" s="184"/>
      <c r="D10" s="184"/>
      <c r="E10" s="263">
        <v>5</v>
      </c>
      <c r="F10" s="263"/>
      <c r="G10" s="263"/>
      <c r="H10" s="204" t="s">
        <v>112</v>
      </c>
      <c r="I10" s="204"/>
      <c r="J10" s="204"/>
      <c r="K10" s="204"/>
      <c r="L10" s="204"/>
      <c r="M10" s="202" t="s">
        <v>58</v>
      </c>
      <c r="N10" s="202"/>
      <c r="O10" s="202"/>
      <c r="P10" s="196">
        <f>T13</f>
        <v>127.5</v>
      </c>
      <c r="Q10" s="196"/>
      <c r="R10" s="196"/>
      <c r="S10" s="196"/>
      <c r="T10" s="196">
        <f>X13+6</f>
        <v>138.5</v>
      </c>
      <c r="U10" s="196"/>
      <c r="V10" s="196"/>
      <c r="W10" s="196"/>
      <c r="X10" s="196">
        <f>X13+18</f>
        <v>150.5</v>
      </c>
      <c r="Y10" s="196"/>
      <c r="Z10" s="196"/>
      <c r="AA10" s="196"/>
      <c r="AB10" s="201" t="s">
        <v>312</v>
      </c>
      <c r="AC10" s="201"/>
      <c r="AD10" s="201"/>
      <c r="AE10" s="201"/>
      <c r="AF10" s="201"/>
      <c r="AG10" s="201"/>
      <c r="AH10" s="201"/>
      <c r="AI10" s="250">
        <v>13000</v>
      </c>
      <c r="AJ10" s="250"/>
      <c r="AK10" s="250"/>
      <c r="AL10" s="250"/>
      <c r="AM10" s="250"/>
      <c r="AN10" s="250"/>
      <c r="AO10" s="250"/>
    </row>
    <row r="11" spans="1:63" ht="16.5" customHeight="1">
      <c r="A11" s="184"/>
      <c r="B11" s="184"/>
      <c r="C11" s="184"/>
      <c r="D11" s="184"/>
      <c r="E11" s="263"/>
      <c r="F11" s="263"/>
      <c r="G11" s="263"/>
      <c r="H11" s="204"/>
      <c r="I11" s="204"/>
      <c r="J11" s="204"/>
      <c r="K11" s="204"/>
      <c r="L11" s="204"/>
      <c r="M11" s="202" t="s">
        <v>11</v>
      </c>
      <c r="N11" s="202"/>
      <c r="O11" s="202"/>
      <c r="P11" s="196">
        <f>CEILING(P10*0.95,0.5)</f>
        <v>121.5</v>
      </c>
      <c r="Q11" s="196"/>
      <c r="R11" s="196"/>
      <c r="S11" s="196"/>
      <c r="T11" s="196">
        <f>CEILING(T10*0.95,0.5)</f>
        <v>132</v>
      </c>
      <c r="U11" s="196"/>
      <c r="V11" s="196"/>
      <c r="W11" s="196"/>
      <c r="X11" s="196">
        <f>CEILING(X10*0.95,0.5)</f>
        <v>143</v>
      </c>
      <c r="Y11" s="196"/>
      <c r="Z11" s="196"/>
      <c r="AA11" s="196"/>
      <c r="AB11" s="201"/>
      <c r="AC11" s="201"/>
      <c r="AD11" s="201"/>
      <c r="AE11" s="201"/>
      <c r="AF11" s="201"/>
      <c r="AG11" s="201"/>
      <c r="AH11" s="201"/>
      <c r="AI11" s="250"/>
      <c r="AJ11" s="250"/>
      <c r="AK11" s="250"/>
      <c r="AL11" s="250"/>
      <c r="AM11" s="250"/>
      <c r="AN11" s="250"/>
      <c r="AO11" s="250"/>
    </row>
    <row r="12" spans="1:63" ht="16.5" customHeight="1">
      <c r="A12" s="184"/>
      <c r="B12" s="184"/>
      <c r="C12" s="184"/>
      <c r="D12" s="184"/>
      <c r="E12" s="263"/>
      <c r="F12" s="263"/>
      <c r="G12" s="263"/>
      <c r="H12" s="204"/>
      <c r="I12" s="204"/>
      <c r="J12" s="204"/>
      <c r="K12" s="204"/>
      <c r="L12" s="204"/>
      <c r="M12" s="202" t="s">
        <v>96</v>
      </c>
      <c r="N12" s="202"/>
      <c r="O12" s="202"/>
      <c r="P12" s="196">
        <f>T15</f>
        <v>116.5</v>
      </c>
      <c r="Q12" s="196"/>
      <c r="R12" s="196"/>
      <c r="S12" s="196"/>
      <c r="T12" s="196">
        <f>X15+6</f>
        <v>127.5</v>
      </c>
      <c r="U12" s="196"/>
      <c r="V12" s="196"/>
      <c r="W12" s="196"/>
      <c r="X12" s="196">
        <f>X15+18</f>
        <v>139.5</v>
      </c>
      <c r="Y12" s="196"/>
      <c r="Z12" s="196"/>
      <c r="AA12" s="196"/>
      <c r="AB12" s="201"/>
      <c r="AC12" s="201"/>
      <c r="AD12" s="201"/>
      <c r="AE12" s="201"/>
      <c r="AF12" s="201"/>
      <c r="AG12" s="201"/>
      <c r="AH12" s="201"/>
      <c r="AI12" s="250"/>
      <c r="AJ12" s="250"/>
      <c r="AK12" s="250"/>
      <c r="AL12" s="250"/>
      <c r="AM12" s="250"/>
      <c r="AN12" s="250"/>
      <c r="AO12" s="250"/>
    </row>
    <row r="13" spans="1:63" ht="16.5" customHeight="1">
      <c r="A13" s="184"/>
      <c r="B13" s="184"/>
      <c r="C13" s="184"/>
      <c r="D13" s="184"/>
      <c r="E13" s="263"/>
      <c r="F13" s="263"/>
      <c r="G13" s="263"/>
      <c r="H13" s="198" t="s">
        <v>97</v>
      </c>
      <c r="I13" s="198"/>
      <c r="J13" s="198"/>
      <c r="K13" s="198"/>
      <c r="L13" s="198"/>
      <c r="M13" s="199" t="s">
        <v>58</v>
      </c>
      <c r="N13" s="199"/>
      <c r="O13" s="199"/>
      <c r="P13" s="264">
        <f>CEILING(94*1.3,0.5)</f>
        <v>122.5</v>
      </c>
      <c r="Q13" s="264"/>
      <c r="R13" s="264"/>
      <c r="S13" s="264"/>
      <c r="T13" s="262">
        <f>P13+5</f>
        <v>127.5</v>
      </c>
      <c r="U13" s="262"/>
      <c r="V13" s="262"/>
      <c r="W13" s="262"/>
      <c r="X13" s="262">
        <f>T13+5</f>
        <v>132.5</v>
      </c>
      <c r="Y13" s="262"/>
      <c r="Z13" s="262"/>
      <c r="AA13" s="262"/>
      <c r="AB13" s="200" t="s">
        <v>313</v>
      </c>
      <c r="AC13" s="200"/>
      <c r="AD13" s="200"/>
      <c r="AE13" s="200"/>
      <c r="AF13" s="200"/>
      <c r="AG13" s="200"/>
      <c r="AH13" s="200"/>
      <c r="AI13" s="250"/>
      <c r="AJ13" s="250"/>
      <c r="AK13" s="250"/>
      <c r="AL13" s="250"/>
      <c r="AM13" s="250"/>
      <c r="AN13" s="250"/>
      <c r="AO13" s="250"/>
    </row>
    <row r="14" spans="1:63" ht="16.5" customHeight="1">
      <c r="A14" s="184"/>
      <c r="B14" s="184"/>
      <c r="C14" s="184"/>
      <c r="D14" s="184"/>
      <c r="E14" s="263"/>
      <c r="F14" s="263"/>
      <c r="G14" s="263"/>
      <c r="H14" s="198"/>
      <c r="I14" s="198"/>
      <c r="J14" s="198"/>
      <c r="K14" s="198"/>
      <c r="L14" s="198"/>
      <c r="M14" s="199" t="s">
        <v>11</v>
      </c>
      <c r="N14" s="199"/>
      <c r="O14" s="199"/>
      <c r="P14" s="262">
        <f>CEILING(P13*0.95,0.5)</f>
        <v>116.5</v>
      </c>
      <c r="Q14" s="262"/>
      <c r="R14" s="262"/>
      <c r="S14" s="262"/>
      <c r="T14" s="262">
        <f>CEILING(T13*0.95,0.5)</f>
        <v>121.5</v>
      </c>
      <c r="U14" s="262"/>
      <c r="V14" s="262"/>
      <c r="W14" s="262"/>
      <c r="X14" s="262">
        <f>CEILING(X13*0.95,0.5)</f>
        <v>126</v>
      </c>
      <c r="Y14" s="262"/>
      <c r="Z14" s="262"/>
      <c r="AA14" s="262"/>
      <c r="AB14" s="200"/>
      <c r="AC14" s="200"/>
      <c r="AD14" s="200"/>
      <c r="AE14" s="200"/>
      <c r="AF14" s="200"/>
      <c r="AG14" s="200"/>
      <c r="AH14" s="200"/>
      <c r="AI14" s="250"/>
      <c r="AJ14" s="250"/>
      <c r="AK14" s="250"/>
      <c r="AL14" s="250"/>
      <c r="AM14" s="250"/>
      <c r="AN14" s="250"/>
      <c r="AO14" s="250"/>
    </row>
    <row r="15" spans="1:63" ht="16.5" customHeight="1">
      <c r="A15" s="184"/>
      <c r="B15" s="184"/>
      <c r="C15" s="184"/>
      <c r="D15" s="184"/>
      <c r="E15" s="263"/>
      <c r="F15" s="263"/>
      <c r="G15" s="263"/>
      <c r="H15" s="198"/>
      <c r="I15" s="198"/>
      <c r="J15" s="198"/>
      <c r="K15" s="198"/>
      <c r="L15" s="198"/>
      <c r="M15" s="199" t="s">
        <v>12</v>
      </c>
      <c r="N15" s="199"/>
      <c r="O15" s="199"/>
      <c r="P15" s="264">
        <f>CEILING(85.5*1.3,0.5)</f>
        <v>111.5</v>
      </c>
      <c r="Q15" s="264"/>
      <c r="R15" s="264"/>
      <c r="S15" s="264"/>
      <c r="T15" s="262">
        <f>P15+5</f>
        <v>116.5</v>
      </c>
      <c r="U15" s="262"/>
      <c r="V15" s="262"/>
      <c r="W15" s="262"/>
      <c r="X15" s="262">
        <f>T15+5</f>
        <v>121.5</v>
      </c>
      <c r="Y15" s="262"/>
      <c r="Z15" s="262"/>
      <c r="AA15" s="262"/>
      <c r="AB15" s="200"/>
      <c r="AC15" s="200"/>
      <c r="AD15" s="200"/>
      <c r="AE15" s="200"/>
      <c r="AF15" s="200"/>
      <c r="AG15" s="200"/>
      <c r="AH15" s="200"/>
      <c r="AI15" s="250"/>
      <c r="AJ15" s="250"/>
      <c r="AK15" s="250"/>
      <c r="AL15" s="250"/>
      <c r="AM15" s="250"/>
      <c r="AN15" s="250"/>
      <c r="AO15" s="250"/>
    </row>
    <row r="16" spans="1:63" s="46" customFormat="1" ht="16.5" customHeight="1">
      <c r="A16" s="9" t="s">
        <v>99</v>
      </c>
      <c r="V16" s="1"/>
      <c r="W16" s="1"/>
      <c r="X16" s="1"/>
      <c r="Y16" s="1"/>
      <c r="Z16" s="1"/>
      <c r="AA16" s="1"/>
      <c r="AB16" s="1"/>
      <c r="AC16" s="1"/>
      <c r="AD16" s="1"/>
      <c r="AE16" s="1"/>
      <c r="AF16" s="1"/>
      <c r="AG16" s="1"/>
      <c r="AH16" s="1"/>
      <c r="AI16" s="1"/>
      <c r="AJ16" s="1"/>
      <c r="AK16" s="1"/>
      <c r="AL16" s="1"/>
      <c r="AM16" s="1"/>
      <c r="AN16" s="1"/>
      <c r="AO16" s="1"/>
    </row>
    <row r="17" spans="1:63" s="46" customFormat="1" ht="16.5" customHeight="1">
      <c r="A17" s="9" t="s">
        <v>26</v>
      </c>
      <c r="V17" s="1"/>
      <c r="W17" s="1"/>
      <c r="X17" s="1"/>
      <c r="Y17" s="1"/>
      <c r="Z17" s="1"/>
      <c r="AA17" s="1"/>
      <c r="AB17" s="1"/>
      <c r="AC17" s="1"/>
      <c r="AD17" s="1"/>
      <c r="AE17" s="1"/>
      <c r="AF17" s="1"/>
      <c r="AG17" s="1"/>
      <c r="AH17" s="1"/>
      <c r="AI17" s="1"/>
      <c r="AJ17" s="1"/>
      <c r="AK17" s="1"/>
      <c r="AL17" s="1"/>
      <c r="AM17" s="1"/>
      <c r="AN17" s="1"/>
      <c r="AO17" s="1"/>
    </row>
    <row r="18" spans="1:63" ht="16.5" customHeight="1">
      <c r="AO18" s="12"/>
      <c r="AP18" s="12"/>
    </row>
    <row r="19" spans="1:63" ht="16.5" customHeight="1">
      <c r="AO19" s="12"/>
      <c r="AP19" s="12"/>
      <c r="BK19" s="61"/>
    </row>
    <row r="20" spans="1:63" ht="16.5" customHeight="1">
      <c r="A20" s="60"/>
      <c r="B20" s="60"/>
      <c r="C20" s="60"/>
      <c r="G20" s="254">
        <v>817</v>
      </c>
      <c r="H20" s="255"/>
      <c r="I20" s="255"/>
      <c r="J20" s="255"/>
      <c r="K20" s="255"/>
      <c r="L20" s="255"/>
      <c r="M20" s="256"/>
      <c r="N20" s="257">
        <v>818</v>
      </c>
      <c r="O20" s="255"/>
      <c r="P20" s="255"/>
      <c r="Q20" s="255"/>
      <c r="R20" s="255"/>
      <c r="S20" s="255"/>
      <c r="T20" s="258"/>
      <c r="AQ20" s="14"/>
      <c r="AR20" s="14"/>
      <c r="AS20" s="14"/>
      <c r="AT20" s="14"/>
      <c r="AU20" s="14"/>
      <c r="AV20" s="14"/>
      <c r="AW20" s="14"/>
      <c r="AX20" s="14"/>
      <c r="AY20" s="14"/>
      <c r="AZ20" s="14"/>
      <c r="BA20" s="14"/>
      <c r="BB20" s="14"/>
      <c r="BC20" s="14"/>
      <c r="BD20" s="14"/>
      <c r="BE20" s="14"/>
      <c r="BF20" s="14"/>
      <c r="BG20" s="14"/>
      <c r="BH20" s="14"/>
      <c r="BI20" s="14"/>
      <c r="BJ20" s="14"/>
    </row>
    <row r="21" spans="1:63" ht="16.5" customHeight="1">
      <c r="A21" s="251" t="s">
        <v>113</v>
      </c>
      <c r="B21" s="252"/>
      <c r="C21" s="252"/>
      <c r="D21" s="252"/>
      <c r="E21" s="252"/>
      <c r="F21" s="253"/>
      <c r="G21" s="208" t="s">
        <v>114</v>
      </c>
      <c r="H21" s="209"/>
      <c r="I21" s="209"/>
      <c r="J21" s="209"/>
      <c r="K21" s="209"/>
      <c r="L21" s="209"/>
      <c r="M21" s="210"/>
      <c r="N21" s="208" t="s">
        <v>115</v>
      </c>
      <c r="O21" s="209"/>
      <c r="P21" s="209"/>
      <c r="Q21" s="209"/>
      <c r="R21" s="209"/>
      <c r="S21" s="209"/>
      <c r="T21" s="210"/>
    </row>
    <row r="22" spans="1:63" ht="16.5" customHeight="1">
      <c r="A22" s="251" t="s">
        <v>116</v>
      </c>
      <c r="B22" s="252"/>
      <c r="C22" s="252"/>
      <c r="D22" s="252"/>
      <c r="E22" s="252"/>
      <c r="F22" s="253"/>
      <c r="G22" s="259"/>
      <c r="H22" s="260"/>
      <c r="I22" s="260"/>
      <c r="J22" s="260"/>
      <c r="K22" s="260"/>
      <c r="L22" s="260"/>
      <c r="M22" s="261"/>
      <c r="N22" s="208" t="s">
        <v>117</v>
      </c>
      <c r="O22" s="209"/>
      <c r="P22" s="209"/>
      <c r="Q22" s="209"/>
      <c r="R22" s="209"/>
      <c r="S22" s="209"/>
      <c r="T22" s="210"/>
    </row>
    <row r="23" spans="1:63" ht="16.5" customHeight="1">
      <c r="A23" s="251" t="s">
        <v>118</v>
      </c>
      <c r="B23" s="252"/>
      <c r="C23" s="252"/>
      <c r="D23" s="252"/>
      <c r="E23" s="252"/>
      <c r="F23" s="253"/>
      <c r="G23" s="208" t="s">
        <v>119</v>
      </c>
      <c r="H23" s="209"/>
      <c r="I23" s="209"/>
      <c r="J23" s="209"/>
      <c r="K23" s="209"/>
      <c r="L23" s="209"/>
      <c r="M23" s="210"/>
      <c r="N23" s="208" t="s">
        <v>120</v>
      </c>
      <c r="O23" s="209"/>
      <c r="P23" s="209"/>
      <c r="Q23" s="209"/>
      <c r="R23" s="209"/>
      <c r="S23" s="209"/>
      <c r="T23" s="210"/>
    </row>
    <row r="24" spans="1:63" ht="16.5" customHeight="1">
      <c r="A24" s="217" t="s">
        <v>94</v>
      </c>
      <c r="B24" s="218"/>
      <c r="C24" s="218"/>
      <c r="D24" s="218"/>
      <c r="E24" s="218"/>
      <c r="F24" s="218"/>
      <c r="G24" s="209" t="s">
        <v>95</v>
      </c>
      <c r="H24" s="209"/>
      <c r="I24" s="209"/>
      <c r="J24" s="209"/>
      <c r="K24" s="209"/>
      <c r="L24" s="209"/>
      <c r="M24" s="210"/>
      <c r="N24" s="208" t="s">
        <v>95</v>
      </c>
      <c r="O24" s="209"/>
      <c r="P24" s="209"/>
      <c r="Q24" s="209"/>
      <c r="R24" s="209"/>
      <c r="S24" s="209"/>
      <c r="T24" s="210"/>
    </row>
    <row r="25" spans="1:63" ht="16.5" customHeight="1"/>
    <row r="26" spans="1:63" ht="16.5" customHeight="1"/>
    <row r="27" spans="1:63" ht="16.5" customHeight="1"/>
    <row r="28" spans="1:63" ht="16.5" customHeight="1"/>
    <row r="29" spans="1:63" ht="16.5" customHeight="1"/>
    <row r="30" spans="1:63" ht="16.5" customHeight="1"/>
    <row r="31" spans="1:63" ht="16.5" customHeight="1"/>
    <row r="32" spans="1:63"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sheetData>
  <mergeCells count="61">
    <mergeCell ref="AB13:AH15"/>
    <mergeCell ref="A24:F24"/>
    <mergeCell ref="G24:M24"/>
    <mergeCell ref="N24:T24"/>
    <mergeCell ref="M14:O14"/>
    <mergeCell ref="P14:S14"/>
    <mergeCell ref="T14:W14"/>
    <mergeCell ref="X14:AA14"/>
    <mergeCell ref="A23:F23"/>
    <mergeCell ref="G23:M23"/>
    <mergeCell ref="N23:T23"/>
    <mergeCell ref="H13:L15"/>
    <mergeCell ref="M13:O13"/>
    <mergeCell ref="P13:S13"/>
    <mergeCell ref="M15:O15"/>
    <mergeCell ref="P15:S15"/>
    <mergeCell ref="T9:W9"/>
    <mergeCell ref="X11:AA11"/>
    <mergeCell ref="A22:F22"/>
    <mergeCell ref="G22:M22"/>
    <mergeCell ref="N22:T22"/>
    <mergeCell ref="M12:O12"/>
    <mergeCell ref="P12:S12"/>
    <mergeCell ref="T12:W12"/>
    <mergeCell ref="X12:AA12"/>
    <mergeCell ref="T10:W10"/>
    <mergeCell ref="X10:AA10"/>
    <mergeCell ref="T15:W15"/>
    <mergeCell ref="X15:AA15"/>
    <mergeCell ref="T13:W13"/>
    <mergeCell ref="X13:AA13"/>
    <mergeCell ref="E10:G15"/>
    <mergeCell ref="H10:L12"/>
    <mergeCell ref="M10:O10"/>
    <mergeCell ref="P10:S10"/>
    <mergeCell ref="A9:D9"/>
    <mergeCell ref="E9:G9"/>
    <mergeCell ref="H9:L9"/>
    <mergeCell ref="M9:O9"/>
    <mergeCell ref="P9:S9"/>
    <mergeCell ref="A4:K5"/>
    <mergeCell ref="A6:K7"/>
    <mergeCell ref="AB10:AH12"/>
    <mergeCell ref="AI10:AO15"/>
    <mergeCell ref="A21:F21"/>
    <mergeCell ref="G21:M21"/>
    <mergeCell ref="N21:T21"/>
    <mergeCell ref="M11:O11"/>
    <mergeCell ref="P11:S11"/>
    <mergeCell ref="T11:W11"/>
    <mergeCell ref="X9:AA9"/>
    <mergeCell ref="AB9:AH9"/>
    <mergeCell ref="AI9:AO9"/>
    <mergeCell ref="G20:M20"/>
    <mergeCell ref="N20:T20"/>
    <mergeCell ref="A10:D15"/>
    <mergeCell ref="L4:AE7"/>
    <mergeCell ref="AG4:AI4"/>
    <mergeCell ref="AJ4:AS4"/>
    <mergeCell ref="AG5:AI5"/>
    <mergeCell ref="AJ5:AS5"/>
  </mergeCells>
  <phoneticPr fontId="2"/>
  <pageMargins left="0.39370078740157483" right="0.39370078740157483" top="0.59055118110236227" bottom="0.39370078740157483" header="0.51181102362204722" footer="0.19685039370078741"/>
  <pageSetup paperSize="9" scale="90" firstPageNumber="14" orientation="portrait" useFirstPageNumber="1" r:id="rId1"/>
  <headerFooter alignWithMargins="0">
    <oddFooter>&amp;C20260511臨時改定価格_SP_和紙包（単袋）&amp;R&amp;P/&amp;N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23762-3649-4925-83B5-8A1765D918BD}">
  <sheetPr>
    <tabColor indexed="10"/>
  </sheetPr>
  <dimension ref="A1:BK269"/>
  <sheetViews>
    <sheetView view="pageBreakPreview" zoomScaleNormal="100" zoomScaleSheetLayoutView="100" workbookViewId="0">
      <selection activeCell="BS8" sqref="BS8"/>
    </sheetView>
  </sheetViews>
  <sheetFormatPr defaultColWidth="8.875" defaultRowHeight="13.5"/>
  <cols>
    <col min="1" max="80" width="1.625" style="1" customWidth="1"/>
    <col min="81"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A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row>
    <row r="3" spans="1:63" s="46" customFormat="1" ht="16.5" customHeight="1"/>
    <row r="4" spans="1:63" ht="16.5" customHeight="1">
      <c r="A4" s="109" t="s">
        <v>83</v>
      </c>
      <c r="B4" s="110"/>
      <c r="C4" s="110"/>
      <c r="D4" s="110"/>
      <c r="E4" s="110"/>
      <c r="F4" s="110"/>
      <c r="G4" s="110"/>
      <c r="H4" s="110"/>
      <c r="I4" s="110"/>
      <c r="J4" s="110"/>
      <c r="K4" s="172"/>
      <c r="L4" s="174" t="s">
        <v>330</v>
      </c>
      <c r="M4" s="175"/>
      <c r="N4" s="175"/>
      <c r="O4" s="175"/>
      <c r="P4" s="175"/>
      <c r="Q4" s="175"/>
      <c r="R4" s="175"/>
      <c r="S4" s="175"/>
      <c r="T4" s="175"/>
      <c r="U4" s="175"/>
      <c r="V4" s="175"/>
      <c r="W4" s="175"/>
      <c r="X4" s="175"/>
      <c r="Y4" s="175"/>
      <c r="Z4" s="175"/>
      <c r="AA4" s="175"/>
      <c r="AB4" s="175"/>
      <c r="AC4" s="175"/>
      <c r="AD4" s="175"/>
      <c r="AE4" s="175"/>
      <c r="AF4" s="19"/>
      <c r="AK4" s="266">
        <v>807</v>
      </c>
      <c r="AL4" s="266"/>
      <c r="AM4" s="266"/>
      <c r="AN4" s="267" t="s">
        <v>126</v>
      </c>
      <c r="AO4" s="268"/>
      <c r="AP4" s="268"/>
      <c r="AQ4" s="268"/>
      <c r="AR4" s="268"/>
      <c r="AS4" s="268"/>
      <c r="AT4" s="268"/>
      <c r="AU4" s="268"/>
      <c r="AV4" s="268"/>
      <c r="AW4" s="269"/>
      <c r="AX4" s="202">
        <v>816</v>
      </c>
      <c r="AY4" s="202"/>
      <c r="AZ4" s="202"/>
      <c r="BA4" s="280" t="s">
        <v>131</v>
      </c>
      <c r="BB4" s="281"/>
      <c r="BC4" s="281"/>
      <c r="BD4" s="281"/>
      <c r="BE4" s="281"/>
      <c r="BF4" s="281"/>
      <c r="BG4" s="281"/>
      <c r="BH4" s="281"/>
      <c r="BI4" s="281"/>
      <c r="BJ4" s="282"/>
    </row>
    <row r="5" spans="1:63" ht="16.5" customHeight="1">
      <c r="A5" s="111"/>
      <c r="B5" s="112"/>
      <c r="C5" s="112"/>
      <c r="D5" s="112"/>
      <c r="E5" s="112"/>
      <c r="F5" s="112"/>
      <c r="G5" s="112"/>
      <c r="H5" s="112"/>
      <c r="I5" s="112"/>
      <c r="J5" s="112"/>
      <c r="K5" s="173"/>
      <c r="L5" s="176"/>
      <c r="M5" s="177"/>
      <c r="N5" s="177"/>
      <c r="O5" s="177"/>
      <c r="P5" s="177"/>
      <c r="Q5" s="177"/>
      <c r="R5" s="177"/>
      <c r="S5" s="177"/>
      <c r="T5" s="177"/>
      <c r="U5" s="177"/>
      <c r="V5" s="177"/>
      <c r="W5" s="177"/>
      <c r="X5" s="177"/>
      <c r="Y5" s="177"/>
      <c r="Z5" s="177"/>
      <c r="AA5" s="177"/>
      <c r="AB5" s="177"/>
      <c r="AC5" s="177"/>
      <c r="AD5" s="177"/>
      <c r="AE5" s="177"/>
      <c r="AF5" s="19"/>
      <c r="AK5" s="270">
        <v>810</v>
      </c>
      <c r="AL5" s="270"/>
      <c r="AM5" s="270"/>
      <c r="AN5" s="271" t="s">
        <v>127</v>
      </c>
      <c r="AO5" s="272"/>
      <c r="AP5" s="272"/>
      <c r="AQ5" s="272"/>
      <c r="AR5" s="272"/>
      <c r="AS5" s="272"/>
      <c r="AT5" s="272"/>
      <c r="AU5" s="272"/>
      <c r="AV5" s="272"/>
      <c r="AW5" s="273"/>
    </row>
    <row r="6" spans="1:63" ht="16.5" customHeight="1">
      <c r="A6" s="180" t="s">
        <v>2</v>
      </c>
      <c r="B6" s="181"/>
      <c r="C6" s="181"/>
      <c r="D6" s="181"/>
      <c r="E6" s="181"/>
      <c r="F6" s="181"/>
      <c r="G6" s="181"/>
      <c r="H6" s="181"/>
      <c r="I6" s="181"/>
      <c r="J6" s="181"/>
      <c r="K6" s="182"/>
      <c r="L6" s="176"/>
      <c r="M6" s="177"/>
      <c r="N6" s="177"/>
      <c r="O6" s="177"/>
      <c r="P6" s="177"/>
      <c r="Q6" s="177"/>
      <c r="R6" s="177"/>
      <c r="S6" s="177"/>
      <c r="T6" s="177"/>
      <c r="U6" s="177"/>
      <c r="V6" s="177"/>
      <c r="W6" s="177"/>
      <c r="X6" s="177"/>
      <c r="Y6" s="177"/>
      <c r="Z6" s="177"/>
      <c r="AA6" s="177"/>
      <c r="AB6" s="177"/>
      <c r="AC6" s="177"/>
      <c r="AD6" s="177"/>
      <c r="AE6" s="177"/>
      <c r="AF6" s="19"/>
      <c r="AK6" s="270">
        <v>811</v>
      </c>
      <c r="AL6" s="270"/>
      <c r="AM6" s="270"/>
      <c r="AN6" s="271" t="s">
        <v>130</v>
      </c>
      <c r="AO6" s="272"/>
      <c r="AP6" s="272"/>
      <c r="AQ6" s="272"/>
      <c r="AR6" s="272"/>
      <c r="AS6" s="272"/>
      <c r="AT6" s="272"/>
      <c r="AU6" s="272"/>
      <c r="AV6" s="272"/>
      <c r="AW6" s="273"/>
    </row>
    <row r="7" spans="1:63" ht="16.5" customHeight="1">
      <c r="A7" s="106"/>
      <c r="B7" s="107"/>
      <c r="C7" s="107"/>
      <c r="D7" s="107"/>
      <c r="E7" s="107"/>
      <c r="F7" s="107"/>
      <c r="G7" s="107"/>
      <c r="H7" s="107"/>
      <c r="I7" s="107"/>
      <c r="J7" s="107"/>
      <c r="K7" s="108"/>
      <c r="L7" s="178"/>
      <c r="M7" s="179"/>
      <c r="N7" s="179"/>
      <c r="O7" s="179"/>
      <c r="P7" s="179"/>
      <c r="Q7" s="179"/>
      <c r="R7" s="179"/>
      <c r="S7" s="179"/>
      <c r="T7" s="179"/>
      <c r="U7" s="179"/>
      <c r="V7" s="179"/>
      <c r="W7" s="179"/>
      <c r="X7" s="179"/>
      <c r="Y7" s="179"/>
      <c r="Z7" s="179"/>
      <c r="AA7" s="179"/>
      <c r="AB7" s="179"/>
      <c r="AC7" s="179"/>
      <c r="AD7" s="179"/>
      <c r="AE7" s="179"/>
      <c r="AF7" s="19"/>
      <c r="AK7" s="274">
        <v>815</v>
      </c>
      <c r="AL7" s="275"/>
      <c r="AM7" s="276"/>
      <c r="AN7" s="277" t="s">
        <v>127</v>
      </c>
      <c r="AO7" s="278"/>
      <c r="AP7" s="278"/>
      <c r="AQ7" s="278"/>
      <c r="AR7" s="278"/>
      <c r="AS7" s="278"/>
      <c r="AT7" s="278"/>
      <c r="AU7" s="278"/>
      <c r="AV7" s="278"/>
      <c r="AW7" s="279"/>
    </row>
    <row r="8" spans="1:63" ht="16.5" customHeight="1"/>
    <row r="9" spans="1:63" ht="16.5" customHeight="1">
      <c r="AG9" s="44"/>
      <c r="AH9" s="44"/>
      <c r="AI9" s="44"/>
      <c r="AJ9" s="9"/>
      <c r="AK9" s="9"/>
      <c r="AL9" s="9"/>
      <c r="AM9" s="9"/>
      <c r="AN9" s="9"/>
      <c r="AO9" s="9"/>
      <c r="AP9" s="9"/>
      <c r="AQ9" s="9"/>
      <c r="AR9" s="9"/>
      <c r="AS9" s="9"/>
    </row>
    <row r="10" spans="1:63" ht="16.5" customHeight="1">
      <c r="H10" s="214">
        <v>816</v>
      </c>
      <c r="I10" s="214"/>
      <c r="J10" s="214"/>
      <c r="K10" s="214"/>
      <c r="L10" s="214"/>
      <c r="M10" s="215"/>
      <c r="N10" s="62"/>
      <c r="O10" s="216" t="s">
        <v>3</v>
      </c>
      <c r="P10" s="216"/>
      <c r="Q10" s="216"/>
      <c r="R10" s="216"/>
      <c r="S10" s="216" t="s">
        <v>4</v>
      </c>
      <c r="T10" s="216"/>
      <c r="U10" s="216" t="s">
        <v>5</v>
      </c>
      <c r="V10" s="216"/>
      <c r="W10" s="216"/>
      <c r="X10" s="216"/>
      <c r="Y10" s="216"/>
      <c r="Z10" s="265"/>
      <c r="AA10" s="265"/>
      <c r="AB10" s="265"/>
      <c r="AC10" s="216" t="s">
        <v>85</v>
      </c>
      <c r="AD10" s="216"/>
      <c r="AE10" s="216"/>
      <c r="AF10" s="216"/>
      <c r="AG10" s="216" t="s">
        <v>7</v>
      </c>
      <c r="AH10" s="216"/>
      <c r="AI10" s="216"/>
      <c r="AJ10" s="216"/>
      <c r="AK10" s="216" t="s">
        <v>86</v>
      </c>
      <c r="AL10" s="216"/>
      <c r="AM10" s="216"/>
      <c r="AN10" s="216"/>
      <c r="AO10" s="216" t="s">
        <v>87</v>
      </c>
      <c r="AP10" s="216"/>
      <c r="AQ10" s="216"/>
      <c r="AR10" s="216"/>
      <c r="AS10" s="216"/>
      <c r="AT10" s="216"/>
      <c r="AU10" s="216"/>
      <c r="AV10" s="226" t="s">
        <v>88</v>
      </c>
      <c r="AW10" s="226"/>
      <c r="AX10" s="226"/>
      <c r="AY10" s="226"/>
      <c r="AZ10" s="226"/>
      <c r="BA10" s="226"/>
      <c r="BB10" s="226"/>
      <c r="BC10" s="226"/>
      <c r="BD10" s="226" t="s">
        <v>121</v>
      </c>
      <c r="BE10" s="226"/>
      <c r="BF10" s="226"/>
      <c r="BG10" s="226"/>
      <c r="BH10" s="226"/>
      <c r="BI10" s="226"/>
      <c r="BJ10" s="226"/>
      <c r="BK10" s="226"/>
    </row>
    <row r="11" spans="1:63" ht="16.5" customHeight="1">
      <c r="A11" s="283" t="s">
        <v>122</v>
      </c>
      <c r="B11" s="283"/>
      <c r="C11" s="283"/>
      <c r="D11" s="283"/>
      <c r="E11" s="283"/>
      <c r="F11" s="283"/>
      <c r="G11" s="284"/>
      <c r="H11" s="285" t="s">
        <v>123</v>
      </c>
      <c r="I11" s="286"/>
      <c r="J11" s="286"/>
      <c r="K11" s="286"/>
      <c r="L11" s="286"/>
      <c r="M11" s="287"/>
      <c r="N11" s="3"/>
      <c r="O11" s="202">
        <v>811</v>
      </c>
      <c r="P11" s="202"/>
      <c r="Q11" s="202"/>
      <c r="R11" s="202"/>
      <c r="S11" s="288">
        <v>3</v>
      </c>
      <c r="T11" s="288"/>
      <c r="U11" s="204" t="s">
        <v>112</v>
      </c>
      <c r="V11" s="289"/>
      <c r="W11" s="289"/>
      <c r="X11" s="289"/>
      <c r="Y11" s="289"/>
      <c r="Z11" s="202" t="s">
        <v>58</v>
      </c>
      <c r="AA11" s="202"/>
      <c r="AB11" s="202"/>
      <c r="AC11" s="295">
        <f>AG14</f>
        <v>129</v>
      </c>
      <c r="AD11" s="295"/>
      <c r="AE11" s="295"/>
      <c r="AF11" s="295"/>
      <c r="AG11" s="295">
        <f>AK14+6</f>
        <v>139</v>
      </c>
      <c r="AH11" s="295"/>
      <c r="AI11" s="295"/>
      <c r="AJ11" s="295"/>
      <c r="AK11" s="295">
        <f>AK14+18</f>
        <v>151</v>
      </c>
      <c r="AL11" s="295"/>
      <c r="AM11" s="295"/>
      <c r="AN11" s="295"/>
      <c r="AO11" s="296" t="s">
        <v>314</v>
      </c>
      <c r="AP11" s="296"/>
      <c r="AQ11" s="296"/>
      <c r="AR11" s="296"/>
      <c r="AS11" s="296"/>
      <c r="AT11" s="296"/>
      <c r="AU11" s="296"/>
      <c r="AV11" s="297">
        <v>13000</v>
      </c>
      <c r="AW11" s="297"/>
      <c r="AX11" s="297"/>
      <c r="AY11" s="297"/>
      <c r="AZ11" s="297"/>
      <c r="BA11" s="297"/>
      <c r="BB11" s="297"/>
      <c r="BC11" s="297"/>
      <c r="BD11" s="297">
        <v>18000</v>
      </c>
      <c r="BE11" s="297"/>
      <c r="BF11" s="297"/>
      <c r="BG11" s="297"/>
      <c r="BH11" s="297"/>
      <c r="BI11" s="297"/>
      <c r="BJ11" s="297"/>
      <c r="BK11" s="297"/>
    </row>
    <row r="12" spans="1:63" ht="16.5" customHeight="1">
      <c r="A12" s="207" t="s">
        <v>124</v>
      </c>
      <c r="B12" s="207"/>
      <c r="C12" s="207"/>
      <c r="D12" s="207"/>
      <c r="E12" s="207"/>
      <c r="F12" s="207"/>
      <c r="G12" s="299"/>
      <c r="H12" s="208" t="s">
        <v>125</v>
      </c>
      <c r="I12" s="209"/>
      <c r="J12" s="209"/>
      <c r="K12" s="209"/>
      <c r="L12" s="209"/>
      <c r="M12" s="210"/>
      <c r="N12" s="3"/>
      <c r="O12" s="202"/>
      <c r="P12" s="202"/>
      <c r="Q12" s="202"/>
      <c r="R12" s="202"/>
      <c r="S12" s="203"/>
      <c r="T12" s="203"/>
      <c r="U12" s="289"/>
      <c r="V12" s="289"/>
      <c r="W12" s="289"/>
      <c r="X12" s="289"/>
      <c r="Y12" s="289"/>
      <c r="Z12" s="202" t="s">
        <v>11</v>
      </c>
      <c r="AA12" s="202"/>
      <c r="AB12" s="202"/>
      <c r="AC12" s="295">
        <f>CEILING(AC11*0.95,0.5)</f>
        <v>123</v>
      </c>
      <c r="AD12" s="295"/>
      <c r="AE12" s="295"/>
      <c r="AF12" s="295"/>
      <c r="AG12" s="295">
        <f>CEILING(AG11*0.95,0.5)</f>
        <v>132.5</v>
      </c>
      <c r="AH12" s="295"/>
      <c r="AI12" s="295"/>
      <c r="AJ12" s="295"/>
      <c r="AK12" s="295">
        <f>CEILING(AK11*0.95,0.5)</f>
        <v>143.5</v>
      </c>
      <c r="AL12" s="295"/>
      <c r="AM12" s="295"/>
      <c r="AN12" s="295"/>
      <c r="AO12" s="296"/>
      <c r="AP12" s="296"/>
      <c r="AQ12" s="296"/>
      <c r="AR12" s="296"/>
      <c r="AS12" s="296"/>
      <c r="AT12" s="296"/>
      <c r="AU12" s="296"/>
      <c r="AV12" s="297"/>
      <c r="AW12" s="297"/>
      <c r="AX12" s="297"/>
      <c r="AY12" s="297"/>
      <c r="AZ12" s="297"/>
      <c r="BA12" s="297"/>
      <c r="BB12" s="297"/>
      <c r="BC12" s="297"/>
      <c r="BD12" s="297"/>
      <c r="BE12" s="297"/>
      <c r="BF12" s="297"/>
      <c r="BG12" s="297"/>
      <c r="BH12" s="297"/>
      <c r="BI12" s="297"/>
      <c r="BJ12" s="297"/>
      <c r="BK12" s="297"/>
    </row>
    <row r="13" spans="1:63" ht="16.5" customHeight="1">
      <c r="A13" s="300" t="s">
        <v>94</v>
      </c>
      <c r="B13" s="300"/>
      <c r="C13" s="300"/>
      <c r="D13" s="300"/>
      <c r="E13" s="300"/>
      <c r="F13" s="300"/>
      <c r="G13" s="301"/>
      <c r="H13" s="208" t="s">
        <v>95</v>
      </c>
      <c r="I13" s="209"/>
      <c r="J13" s="209"/>
      <c r="K13" s="209"/>
      <c r="L13" s="209"/>
      <c r="M13" s="210"/>
      <c r="N13" s="3"/>
      <c r="O13" s="202"/>
      <c r="P13" s="202"/>
      <c r="Q13" s="202"/>
      <c r="R13" s="202"/>
      <c r="S13" s="203"/>
      <c r="T13" s="203"/>
      <c r="U13" s="289"/>
      <c r="V13" s="289"/>
      <c r="W13" s="289"/>
      <c r="X13" s="289"/>
      <c r="Y13" s="289"/>
      <c r="Z13" s="202" t="s">
        <v>12</v>
      </c>
      <c r="AA13" s="202"/>
      <c r="AB13" s="202"/>
      <c r="AC13" s="295">
        <f>AG16</f>
        <v>117.5</v>
      </c>
      <c r="AD13" s="295"/>
      <c r="AE13" s="295"/>
      <c r="AF13" s="295"/>
      <c r="AG13" s="295">
        <f>AK16+6</f>
        <v>127.5</v>
      </c>
      <c r="AH13" s="295"/>
      <c r="AI13" s="295"/>
      <c r="AJ13" s="295"/>
      <c r="AK13" s="295">
        <f>AK16+18</f>
        <v>139.5</v>
      </c>
      <c r="AL13" s="295"/>
      <c r="AM13" s="295"/>
      <c r="AN13" s="295"/>
      <c r="AO13" s="296"/>
      <c r="AP13" s="296"/>
      <c r="AQ13" s="296"/>
      <c r="AR13" s="296"/>
      <c r="AS13" s="296"/>
      <c r="AT13" s="296"/>
      <c r="AU13" s="296"/>
      <c r="AV13" s="297"/>
      <c r="AW13" s="297"/>
      <c r="AX13" s="297"/>
      <c r="AY13" s="297"/>
      <c r="AZ13" s="297"/>
      <c r="BA13" s="297"/>
      <c r="BB13" s="297"/>
      <c r="BC13" s="297"/>
      <c r="BD13" s="297"/>
      <c r="BE13" s="297"/>
      <c r="BF13" s="297"/>
      <c r="BG13" s="297"/>
      <c r="BH13" s="297"/>
      <c r="BI13" s="297"/>
      <c r="BJ13" s="297"/>
      <c r="BK13" s="297"/>
    </row>
    <row r="14" spans="1:63" ht="16.5" customHeight="1">
      <c r="A14" s="47"/>
      <c r="B14" s="47"/>
      <c r="C14" s="47"/>
      <c r="D14" s="47"/>
      <c r="E14" s="47"/>
      <c r="F14" s="47"/>
      <c r="G14" s="3"/>
      <c r="H14" s="3"/>
      <c r="I14" s="3"/>
      <c r="J14" s="3"/>
      <c r="K14" s="3"/>
      <c r="L14" s="3"/>
      <c r="M14" s="3"/>
      <c r="N14" s="3"/>
      <c r="O14" s="202"/>
      <c r="P14" s="202"/>
      <c r="Q14" s="202"/>
      <c r="R14" s="202"/>
      <c r="S14" s="203"/>
      <c r="T14" s="203"/>
      <c r="U14" s="198" t="s">
        <v>97</v>
      </c>
      <c r="V14" s="198"/>
      <c r="W14" s="198"/>
      <c r="X14" s="198"/>
      <c r="Y14" s="198"/>
      <c r="Z14" s="199" t="s">
        <v>10</v>
      </c>
      <c r="AA14" s="199"/>
      <c r="AB14" s="199"/>
      <c r="AC14" s="292">
        <f>CEILING(96*1.3,0.5)</f>
        <v>125</v>
      </c>
      <c r="AD14" s="292"/>
      <c r="AE14" s="292"/>
      <c r="AF14" s="292"/>
      <c r="AG14" s="293">
        <f>AC14+4</f>
        <v>129</v>
      </c>
      <c r="AH14" s="293"/>
      <c r="AI14" s="293"/>
      <c r="AJ14" s="293"/>
      <c r="AK14" s="293">
        <f>AG14+4</f>
        <v>133</v>
      </c>
      <c r="AL14" s="293"/>
      <c r="AM14" s="293"/>
      <c r="AN14" s="293"/>
      <c r="AO14" s="290" t="s">
        <v>315</v>
      </c>
      <c r="AP14" s="290"/>
      <c r="AQ14" s="290"/>
      <c r="AR14" s="290"/>
      <c r="AS14" s="290"/>
      <c r="AT14" s="290"/>
      <c r="AU14" s="290"/>
      <c r="AV14" s="297"/>
      <c r="AW14" s="297"/>
      <c r="AX14" s="297"/>
      <c r="AY14" s="297"/>
      <c r="AZ14" s="297"/>
      <c r="BA14" s="297"/>
      <c r="BB14" s="297"/>
      <c r="BC14" s="297"/>
      <c r="BD14" s="297"/>
      <c r="BE14" s="297"/>
      <c r="BF14" s="297"/>
      <c r="BG14" s="297"/>
      <c r="BH14" s="297"/>
      <c r="BI14" s="297"/>
      <c r="BJ14" s="297"/>
      <c r="BK14" s="297"/>
    </row>
    <row r="15" spans="1:63" ht="16.5" customHeight="1">
      <c r="A15" s="294" t="s">
        <v>133</v>
      </c>
      <c r="B15" s="294"/>
      <c r="C15" s="294"/>
      <c r="D15" s="294"/>
      <c r="E15" s="294"/>
      <c r="F15" s="294"/>
      <c r="G15" s="294"/>
      <c r="H15" s="294"/>
      <c r="I15" s="294"/>
      <c r="J15" s="294"/>
      <c r="K15" s="294"/>
      <c r="L15" s="294"/>
      <c r="M15" s="294"/>
      <c r="N15" s="3"/>
      <c r="O15" s="202"/>
      <c r="P15" s="202"/>
      <c r="Q15" s="202"/>
      <c r="R15" s="202"/>
      <c r="S15" s="203"/>
      <c r="T15" s="203"/>
      <c r="U15" s="198"/>
      <c r="V15" s="198"/>
      <c r="W15" s="198"/>
      <c r="X15" s="198"/>
      <c r="Y15" s="198"/>
      <c r="Z15" s="199" t="s">
        <v>11</v>
      </c>
      <c r="AA15" s="199"/>
      <c r="AB15" s="199"/>
      <c r="AC15" s="291">
        <f>CEILING(AC14*0.95,0.5)</f>
        <v>119</v>
      </c>
      <c r="AD15" s="291"/>
      <c r="AE15" s="291"/>
      <c r="AF15" s="291"/>
      <c r="AG15" s="291">
        <f>CEILING(AG14*0.95,0.5)</f>
        <v>123</v>
      </c>
      <c r="AH15" s="291"/>
      <c r="AI15" s="291"/>
      <c r="AJ15" s="291"/>
      <c r="AK15" s="291">
        <f>CEILING(AK14*0.95,0.5)</f>
        <v>126.5</v>
      </c>
      <c r="AL15" s="291"/>
      <c r="AM15" s="291"/>
      <c r="AN15" s="291"/>
      <c r="AO15" s="290"/>
      <c r="AP15" s="290"/>
      <c r="AQ15" s="290"/>
      <c r="AR15" s="290"/>
      <c r="AS15" s="290"/>
      <c r="AT15" s="290"/>
      <c r="AU15" s="290"/>
      <c r="AV15" s="297"/>
      <c r="AW15" s="297"/>
      <c r="AX15" s="297"/>
      <c r="AY15" s="297"/>
      <c r="AZ15" s="297"/>
      <c r="BA15" s="297"/>
      <c r="BB15" s="297"/>
      <c r="BC15" s="297"/>
      <c r="BD15" s="297"/>
      <c r="BE15" s="297"/>
      <c r="BF15" s="297"/>
      <c r="BG15" s="297"/>
      <c r="BH15" s="297"/>
      <c r="BI15" s="297"/>
      <c r="BJ15" s="297"/>
      <c r="BK15" s="297"/>
    </row>
    <row r="16" spans="1:63" ht="16.5" customHeight="1">
      <c r="A16" s="294"/>
      <c r="B16" s="294"/>
      <c r="C16" s="294"/>
      <c r="D16" s="294"/>
      <c r="E16" s="294"/>
      <c r="F16" s="294"/>
      <c r="G16" s="294"/>
      <c r="H16" s="294"/>
      <c r="I16" s="294"/>
      <c r="J16" s="294"/>
      <c r="K16" s="294"/>
      <c r="L16" s="294"/>
      <c r="M16" s="294"/>
      <c r="N16" s="3"/>
      <c r="O16" s="202"/>
      <c r="P16" s="202"/>
      <c r="Q16" s="202"/>
      <c r="R16" s="202"/>
      <c r="S16" s="203"/>
      <c r="T16" s="203"/>
      <c r="U16" s="198"/>
      <c r="V16" s="198"/>
      <c r="W16" s="198"/>
      <c r="X16" s="198"/>
      <c r="Y16" s="198"/>
      <c r="Z16" s="199" t="s">
        <v>12</v>
      </c>
      <c r="AA16" s="199"/>
      <c r="AB16" s="199"/>
      <c r="AC16" s="292">
        <f>CEILING(87*1.3,0.5)</f>
        <v>113.5</v>
      </c>
      <c r="AD16" s="292"/>
      <c r="AE16" s="292"/>
      <c r="AF16" s="292"/>
      <c r="AG16" s="293">
        <f>AC16+4</f>
        <v>117.5</v>
      </c>
      <c r="AH16" s="293"/>
      <c r="AI16" s="293"/>
      <c r="AJ16" s="293"/>
      <c r="AK16" s="293">
        <f>AG16+4</f>
        <v>121.5</v>
      </c>
      <c r="AL16" s="293"/>
      <c r="AM16" s="293"/>
      <c r="AN16" s="293"/>
      <c r="AO16" s="290"/>
      <c r="AP16" s="290"/>
      <c r="AQ16" s="290"/>
      <c r="AR16" s="290"/>
      <c r="AS16" s="290"/>
      <c r="AT16" s="290"/>
      <c r="AU16" s="290"/>
      <c r="AV16" s="297"/>
      <c r="AW16" s="297"/>
      <c r="AX16" s="297"/>
      <c r="AY16" s="297"/>
      <c r="AZ16" s="297"/>
      <c r="BA16" s="297"/>
      <c r="BB16" s="297"/>
      <c r="BC16" s="297"/>
      <c r="BD16" s="297"/>
      <c r="BE16" s="297"/>
      <c r="BF16" s="297"/>
      <c r="BG16" s="297"/>
      <c r="BH16" s="297"/>
      <c r="BI16" s="297"/>
      <c r="BJ16" s="297"/>
      <c r="BK16" s="297"/>
    </row>
    <row r="17" spans="1:63" ht="16.5" customHeight="1">
      <c r="A17" s="294"/>
      <c r="B17" s="294"/>
      <c r="C17" s="294"/>
      <c r="D17" s="294"/>
      <c r="E17" s="294"/>
      <c r="F17" s="294"/>
      <c r="G17" s="294"/>
      <c r="H17" s="294"/>
      <c r="I17" s="294"/>
      <c r="J17" s="294"/>
      <c r="K17" s="294"/>
      <c r="L17" s="294"/>
      <c r="M17" s="294"/>
      <c r="N17" s="3"/>
      <c r="O17" s="93" t="s">
        <v>128</v>
      </c>
      <c r="P17" s="93"/>
      <c r="Q17" s="93"/>
      <c r="R17" s="93"/>
      <c r="S17" s="203">
        <v>5</v>
      </c>
      <c r="T17" s="203"/>
      <c r="U17" s="204" t="s">
        <v>129</v>
      </c>
      <c r="V17" s="289"/>
      <c r="W17" s="289"/>
      <c r="X17" s="289"/>
      <c r="Y17" s="289"/>
      <c r="Z17" s="202" t="s">
        <v>58</v>
      </c>
      <c r="AA17" s="202"/>
      <c r="AB17" s="202"/>
      <c r="AC17" s="295">
        <f>AG20</f>
        <v>153.5</v>
      </c>
      <c r="AD17" s="295"/>
      <c r="AE17" s="295"/>
      <c r="AF17" s="295"/>
      <c r="AG17" s="295">
        <f>AK20+6</f>
        <v>164.5</v>
      </c>
      <c r="AH17" s="295"/>
      <c r="AI17" s="295"/>
      <c r="AJ17" s="295"/>
      <c r="AK17" s="295">
        <f>AK20+18</f>
        <v>176.5</v>
      </c>
      <c r="AL17" s="295"/>
      <c r="AM17" s="295"/>
      <c r="AN17" s="295"/>
      <c r="AO17" s="296" t="s">
        <v>314</v>
      </c>
      <c r="AP17" s="296"/>
      <c r="AQ17" s="296"/>
      <c r="AR17" s="296"/>
      <c r="AS17" s="296"/>
      <c r="AT17" s="296"/>
      <c r="AU17" s="296"/>
      <c r="AV17" s="297"/>
      <c r="AW17" s="297"/>
      <c r="AX17" s="297"/>
      <c r="AY17" s="297"/>
      <c r="AZ17" s="297"/>
      <c r="BA17" s="297"/>
      <c r="BB17" s="297"/>
      <c r="BC17" s="297"/>
      <c r="BD17" s="297"/>
      <c r="BE17" s="297"/>
      <c r="BF17" s="297"/>
      <c r="BG17" s="297"/>
      <c r="BH17" s="297"/>
      <c r="BI17" s="297"/>
      <c r="BJ17" s="297"/>
      <c r="BK17" s="297"/>
    </row>
    <row r="18" spans="1:63" ht="16.5" customHeight="1">
      <c r="A18" s="294"/>
      <c r="B18" s="294"/>
      <c r="C18" s="294"/>
      <c r="D18" s="294"/>
      <c r="E18" s="294"/>
      <c r="F18" s="294"/>
      <c r="G18" s="294"/>
      <c r="H18" s="294"/>
      <c r="I18" s="294"/>
      <c r="J18" s="294"/>
      <c r="K18" s="294"/>
      <c r="L18" s="294"/>
      <c r="M18" s="294"/>
      <c r="N18" s="3"/>
      <c r="O18" s="93"/>
      <c r="P18" s="93"/>
      <c r="Q18" s="93"/>
      <c r="R18" s="93"/>
      <c r="S18" s="203"/>
      <c r="T18" s="203"/>
      <c r="U18" s="289"/>
      <c r="V18" s="289"/>
      <c r="W18" s="289"/>
      <c r="X18" s="289"/>
      <c r="Y18" s="289"/>
      <c r="Z18" s="202" t="s">
        <v>11</v>
      </c>
      <c r="AA18" s="202"/>
      <c r="AB18" s="202"/>
      <c r="AC18" s="295">
        <f>CEILING(AC17*0.95,0.5)</f>
        <v>146</v>
      </c>
      <c r="AD18" s="295"/>
      <c r="AE18" s="295"/>
      <c r="AF18" s="295"/>
      <c r="AG18" s="295">
        <f>CEILING(AG17*0.95,0.5)</f>
        <v>156.5</v>
      </c>
      <c r="AH18" s="295"/>
      <c r="AI18" s="295"/>
      <c r="AJ18" s="295"/>
      <c r="AK18" s="295">
        <f>CEILING(AK17*0.95,0.5)</f>
        <v>168</v>
      </c>
      <c r="AL18" s="295"/>
      <c r="AM18" s="295"/>
      <c r="AN18" s="295"/>
      <c r="AO18" s="296"/>
      <c r="AP18" s="296"/>
      <c r="AQ18" s="296"/>
      <c r="AR18" s="296"/>
      <c r="AS18" s="296"/>
      <c r="AT18" s="296"/>
      <c r="AU18" s="296"/>
      <c r="AV18" s="297"/>
      <c r="AW18" s="297"/>
      <c r="AX18" s="297"/>
      <c r="AY18" s="297"/>
      <c r="AZ18" s="297"/>
      <c r="BA18" s="297"/>
      <c r="BB18" s="297"/>
      <c r="BC18" s="297"/>
      <c r="BD18" s="297"/>
      <c r="BE18" s="297"/>
      <c r="BF18" s="297"/>
      <c r="BG18" s="297"/>
      <c r="BH18" s="297"/>
      <c r="BI18" s="297"/>
      <c r="BJ18" s="297"/>
      <c r="BK18" s="297"/>
    </row>
    <row r="19" spans="1:63" ht="16.5" customHeight="1">
      <c r="A19" s="294" t="s">
        <v>26</v>
      </c>
      <c r="B19" s="294"/>
      <c r="C19" s="294"/>
      <c r="D19" s="294"/>
      <c r="E19" s="294"/>
      <c r="F19" s="294"/>
      <c r="G19" s="294"/>
      <c r="H19" s="294"/>
      <c r="I19" s="294"/>
      <c r="J19" s="294"/>
      <c r="K19" s="294"/>
      <c r="L19" s="294"/>
      <c r="M19" s="294"/>
      <c r="O19" s="93"/>
      <c r="P19" s="93"/>
      <c r="Q19" s="93"/>
      <c r="R19" s="93"/>
      <c r="S19" s="203"/>
      <c r="T19" s="203"/>
      <c r="U19" s="289"/>
      <c r="V19" s="289"/>
      <c r="W19" s="289"/>
      <c r="X19" s="289"/>
      <c r="Y19" s="289"/>
      <c r="Z19" s="202" t="s">
        <v>12</v>
      </c>
      <c r="AA19" s="202"/>
      <c r="AB19" s="202"/>
      <c r="AC19" s="295">
        <f>AG22</f>
        <v>138</v>
      </c>
      <c r="AD19" s="295"/>
      <c r="AE19" s="295"/>
      <c r="AF19" s="295"/>
      <c r="AG19" s="295">
        <f>AK22+6</f>
        <v>149</v>
      </c>
      <c r="AH19" s="295"/>
      <c r="AI19" s="295"/>
      <c r="AJ19" s="295"/>
      <c r="AK19" s="295">
        <f>AK22+18</f>
        <v>161</v>
      </c>
      <c r="AL19" s="295"/>
      <c r="AM19" s="295"/>
      <c r="AN19" s="295"/>
      <c r="AO19" s="296"/>
      <c r="AP19" s="296"/>
      <c r="AQ19" s="296"/>
      <c r="AR19" s="296"/>
      <c r="AS19" s="296"/>
      <c r="AT19" s="296"/>
      <c r="AU19" s="296"/>
      <c r="AV19" s="297"/>
      <c r="AW19" s="297"/>
      <c r="AX19" s="297"/>
      <c r="AY19" s="297"/>
      <c r="AZ19" s="297"/>
      <c r="BA19" s="297"/>
      <c r="BB19" s="297"/>
      <c r="BC19" s="297"/>
      <c r="BD19" s="297"/>
      <c r="BE19" s="297"/>
      <c r="BF19" s="297"/>
      <c r="BG19" s="297"/>
      <c r="BH19" s="297"/>
      <c r="BI19" s="297"/>
      <c r="BJ19" s="297"/>
      <c r="BK19" s="297"/>
    </row>
    <row r="20" spans="1:63" ht="16.5" customHeight="1">
      <c r="A20" s="294"/>
      <c r="B20" s="294"/>
      <c r="C20" s="294"/>
      <c r="D20" s="294"/>
      <c r="E20" s="294"/>
      <c r="F20" s="294"/>
      <c r="G20" s="294"/>
      <c r="H20" s="294"/>
      <c r="I20" s="294"/>
      <c r="J20" s="294"/>
      <c r="K20" s="294"/>
      <c r="L20" s="294"/>
      <c r="M20" s="294"/>
      <c r="N20" s="9"/>
      <c r="O20" s="93"/>
      <c r="P20" s="93"/>
      <c r="Q20" s="93"/>
      <c r="R20" s="93"/>
      <c r="S20" s="203"/>
      <c r="T20" s="203"/>
      <c r="U20" s="198" t="s">
        <v>132</v>
      </c>
      <c r="V20" s="198"/>
      <c r="W20" s="198"/>
      <c r="X20" s="198"/>
      <c r="Y20" s="198"/>
      <c r="Z20" s="199" t="s">
        <v>10</v>
      </c>
      <c r="AA20" s="199"/>
      <c r="AB20" s="199"/>
      <c r="AC20" s="292">
        <f>CEILING(114*1.3,0.5)</f>
        <v>148.5</v>
      </c>
      <c r="AD20" s="292"/>
      <c r="AE20" s="292"/>
      <c r="AF20" s="292"/>
      <c r="AG20" s="293">
        <f>AC20+5</f>
        <v>153.5</v>
      </c>
      <c r="AH20" s="293"/>
      <c r="AI20" s="293"/>
      <c r="AJ20" s="293"/>
      <c r="AK20" s="293">
        <f>AG20+5</f>
        <v>158.5</v>
      </c>
      <c r="AL20" s="293"/>
      <c r="AM20" s="293"/>
      <c r="AN20" s="293"/>
      <c r="AO20" s="290" t="s">
        <v>315</v>
      </c>
      <c r="AP20" s="290"/>
      <c r="AQ20" s="290"/>
      <c r="AR20" s="290"/>
      <c r="AS20" s="290"/>
      <c r="AT20" s="290"/>
      <c r="AU20" s="290"/>
      <c r="AV20" s="297"/>
      <c r="AW20" s="297"/>
      <c r="AX20" s="297"/>
      <c r="AY20" s="297"/>
      <c r="AZ20" s="297"/>
      <c r="BA20" s="297"/>
      <c r="BB20" s="297"/>
      <c r="BC20" s="297"/>
      <c r="BD20" s="297"/>
      <c r="BE20" s="297"/>
      <c r="BF20" s="297"/>
      <c r="BG20" s="297"/>
      <c r="BH20" s="297"/>
      <c r="BI20" s="297"/>
      <c r="BJ20" s="297"/>
      <c r="BK20" s="297"/>
    </row>
    <row r="21" spans="1:63" ht="16.5" customHeight="1">
      <c r="A21" s="294"/>
      <c r="B21" s="294"/>
      <c r="C21" s="294"/>
      <c r="D21" s="294"/>
      <c r="E21" s="294"/>
      <c r="F21" s="294"/>
      <c r="G21" s="294"/>
      <c r="H21" s="294"/>
      <c r="I21" s="294"/>
      <c r="J21" s="294"/>
      <c r="K21" s="294"/>
      <c r="L21" s="294"/>
      <c r="M21" s="294"/>
      <c r="N21" s="9"/>
      <c r="O21" s="93"/>
      <c r="P21" s="93"/>
      <c r="Q21" s="93"/>
      <c r="R21" s="93"/>
      <c r="S21" s="203"/>
      <c r="T21" s="203"/>
      <c r="U21" s="198"/>
      <c r="V21" s="198"/>
      <c r="W21" s="198"/>
      <c r="X21" s="198"/>
      <c r="Y21" s="198"/>
      <c r="Z21" s="199" t="s">
        <v>11</v>
      </c>
      <c r="AA21" s="199"/>
      <c r="AB21" s="199"/>
      <c r="AC21" s="291">
        <f>CEILING(AC20*0.95,0.5)</f>
        <v>141.5</v>
      </c>
      <c r="AD21" s="291"/>
      <c r="AE21" s="291"/>
      <c r="AF21" s="291"/>
      <c r="AG21" s="291">
        <f>CEILING(AG20*0.95,0.5)</f>
        <v>146</v>
      </c>
      <c r="AH21" s="291"/>
      <c r="AI21" s="291"/>
      <c r="AJ21" s="291"/>
      <c r="AK21" s="291">
        <f>CEILING(AK20*0.95,0.5)</f>
        <v>151</v>
      </c>
      <c r="AL21" s="291"/>
      <c r="AM21" s="291"/>
      <c r="AN21" s="291"/>
      <c r="AO21" s="290"/>
      <c r="AP21" s="290"/>
      <c r="AQ21" s="290"/>
      <c r="AR21" s="290"/>
      <c r="AS21" s="290"/>
      <c r="AT21" s="290"/>
      <c r="AU21" s="290"/>
      <c r="AV21" s="297"/>
      <c r="AW21" s="297"/>
      <c r="AX21" s="297"/>
      <c r="AY21" s="297"/>
      <c r="AZ21" s="297"/>
      <c r="BA21" s="297"/>
      <c r="BB21" s="297"/>
      <c r="BC21" s="297"/>
      <c r="BD21" s="297"/>
      <c r="BE21" s="297"/>
      <c r="BF21" s="297"/>
      <c r="BG21" s="297"/>
      <c r="BH21" s="297"/>
      <c r="BI21" s="297"/>
      <c r="BJ21" s="297"/>
      <c r="BK21" s="297"/>
    </row>
    <row r="22" spans="1:63" ht="16.5" customHeight="1">
      <c r="N22" s="9"/>
      <c r="O22" s="93"/>
      <c r="P22" s="93"/>
      <c r="Q22" s="93"/>
      <c r="R22" s="93"/>
      <c r="S22" s="203"/>
      <c r="T22" s="203"/>
      <c r="U22" s="198"/>
      <c r="V22" s="198"/>
      <c r="W22" s="198"/>
      <c r="X22" s="198"/>
      <c r="Y22" s="198"/>
      <c r="Z22" s="199" t="s">
        <v>12</v>
      </c>
      <c r="AA22" s="199"/>
      <c r="AB22" s="199"/>
      <c r="AC22" s="292">
        <f>CEILING(102*1.3,0.5)</f>
        <v>133</v>
      </c>
      <c r="AD22" s="292"/>
      <c r="AE22" s="292"/>
      <c r="AF22" s="292"/>
      <c r="AG22" s="293">
        <f>AC22+5</f>
        <v>138</v>
      </c>
      <c r="AH22" s="293"/>
      <c r="AI22" s="293"/>
      <c r="AJ22" s="293"/>
      <c r="AK22" s="293">
        <f>AG22+5</f>
        <v>143</v>
      </c>
      <c r="AL22" s="293"/>
      <c r="AM22" s="293"/>
      <c r="AN22" s="293"/>
      <c r="AO22" s="290"/>
      <c r="AP22" s="290"/>
      <c r="AQ22" s="290"/>
      <c r="AR22" s="290"/>
      <c r="AS22" s="290"/>
      <c r="AT22" s="290"/>
      <c r="AU22" s="290"/>
      <c r="AV22" s="297"/>
      <c r="AW22" s="297"/>
      <c r="AX22" s="297"/>
      <c r="AY22" s="297"/>
      <c r="AZ22" s="297"/>
      <c r="BA22" s="297"/>
      <c r="BB22" s="297"/>
      <c r="BC22" s="297"/>
      <c r="BD22" s="297"/>
      <c r="BE22" s="297"/>
      <c r="BF22" s="297"/>
      <c r="BG22" s="297"/>
      <c r="BH22" s="297"/>
      <c r="BI22" s="297"/>
      <c r="BJ22" s="297"/>
      <c r="BK22" s="297"/>
    </row>
    <row r="23" spans="1:63" ht="16.5" customHeight="1">
      <c r="N23" s="9"/>
      <c r="O23" s="202">
        <v>811</v>
      </c>
      <c r="P23" s="202"/>
      <c r="Q23" s="202"/>
      <c r="R23" s="202"/>
      <c r="S23" s="212">
        <v>10</v>
      </c>
      <c r="T23" s="212"/>
      <c r="U23" s="204" t="s">
        <v>129</v>
      </c>
      <c r="V23" s="289"/>
      <c r="W23" s="289"/>
      <c r="X23" s="289"/>
      <c r="Y23" s="289"/>
      <c r="Z23" s="202" t="s">
        <v>58</v>
      </c>
      <c r="AA23" s="202"/>
      <c r="AB23" s="202"/>
      <c r="AC23" s="295">
        <f>AG26</f>
        <v>197.5</v>
      </c>
      <c r="AD23" s="295"/>
      <c r="AE23" s="295"/>
      <c r="AF23" s="295"/>
      <c r="AG23" s="295">
        <f>AK26+6</f>
        <v>208.5</v>
      </c>
      <c r="AH23" s="295"/>
      <c r="AI23" s="295"/>
      <c r="AJ23" s="295"/>
      <c r="AK23" s="295">
        <f>AK26+18</f>
        <v>220.5</v>
      </c>
      <c r="AL23" s="295"/>
      <c r="AM23" s="295"/>
      <c r="AN23" s="295"/>
      <c r="AO23" s="296" t="s">
        <v>314</v>
      </c>
      <c r="AP23" s="296"/>
      <c r="AQ23" s="296"/>
      <c r="AR23" s="296"/>
      <c r="AS23" s="296"/>
      <c r="AT23" s="296"/>
      <c r="AU23" s="296"/>
      <c r="AV23" s="297"/>
      <c r="AW23" s="297"/>
      <c r="AX23" s="297"/>
      <c r="AY23" s="297"/>
      <c r="AZ23" s="297"/>
      <c r="BA23" s="297"/>
      <c r="BB23" s="297"/>
      <c r="BC23" s="297"/>
      <c r="BD23" s="297"/>
      <c r="BE23" s="297"/>
      <c r="BF23" s="297"/>
      <c r="BG23" s="297"/>
      <c r="BH23" s="297"/>
      <c r="BI23" s="297"/>
      <c r="BJ23" s="297"/>
      <c r="BK23" s="297"/>
    </row>
    <row r="24" spans="1:63" ht="16.5" customHeight="1">
      <c r="N24" s="9"/>
      <c r="O24" s="202"/>
      <c r="P24" s="202"/>
      <c r="Q24" s="202"/>
      <c r="R24" s="202"/>
      <c r="S24" s="212"/>
      <c r="T24" s="212"/>
      <c r="U24" s="289"/>
      <c r="V24" s="289"/>
      <c r="W24" s="289"/>
      <c r="X24" s="289"/>
      <c r="Y24" s="289"/>
      <c r="Z24" s="202" t="s">
        <v>11</v>
      </c>
      <c r="AA24" s="202"/>
      <c r="AB24" s="202"/>
      <c r="AC24" s="295">
        <f>CEILING(AC23*0.95,0.5)</f>
        <v>188</v>
      </c>
      <c r="AD24" s="295"/>
      <c r="AE24" s="295"/>
      <c r="AF24" s="295"/>
      <c r="AG24" s="295">
        <f>CEILING(AG23*0.95,0.5)</f>
        <v>198.5</v>
      </c>
      <c r="AH24" s="295"/>
      <c r="AI24" s="295"/>
      <c r="AJ24" s="295"/>
      <c r="AK24" s="295">
        <f>CEILING(AK23*0.95,0.5)</f>
        <v>209.5</v>
      </c>
      <c r="AL24" s="295"/>
      <c r="AM24" s="295"/>
      <c r="AN24" s="295"/>
      <c r="AO24" s="296"/>
      <c r="AP24" s="296"/>
      <c r="AQ24" s="296"/>
      <c r="AR24" s="296"/>
      <c r="AS24" s="296"/>
      <c r="AT24" s="296"/>
      <c r="AU24" s="296"/>
      <c r="AV24" s="297"/>
      <c r="AW24" s="297"/>
      <c r="AX24" s="297"/>
      <c r="AY24" s="297"/>
      <c r="AZ24" s="297"/>
      <c r="BA24" s="297"/>
      <c r="BB24" s="297"/>
      <c r="BC24" s="297"/>
      <c r="BD24" s="297"/>
      <c r="BE24" s="297"/>
      <c r="BF24" s="297"/>
      <c r="BG24" s="297"/>
      <c r="BH24" s="297"/>
      <c r="BI24" s="297"/>
      <c r="BJ24" s="297"/>
      <c r="BK24" s="297"/>
    </row>
    <row r="25" spans="1:63" ht="16.5" customHeight="1">
      <c r="N25" s="9"/>
      <c r="O25" s="202"/>
      <c r="P25" s="202"/>
      <c r="Q25" s="202"/>
      <c r="R25" s="202"/>
      <c r="S25" s="212"/>
      <c r="T25" s="212"/>
      <c r="U25" s="289"/>
      <c r="V25" s="289"/>
      <c r="W25" s="289"/>
      <c r="X25" s="289"/>
      <c r="Y25" s="289"/>
      <c r="Z25" s="202" t="s">
        <v>12</v>
      </c>
      <c r="AA25" s="202"/>
      <c r="AB25" s="202"/>
      <c r="AC25" s="295">
        <f>AG28</f>
        <v>177.5</v>
      </c>
      <c r="AD25" s="295"/>
      <c r="AE25" s="295"/>
      <c r="AF25" s="295"/>
      <c r="AG25" s="295">
        <f>AK28+6</f>
        <v>188.5</v>
      </c>
      <c r="AH25" s="295"/>
      <c r="AI25" s="295"/>
      <c r="AJ25" s="295"/>
      <c r="AK25" s="295">
        <f>AK28+18</f>
        <v>200.5</v>
      </c>
      <c r="AL25" s="295"/>
      <c r="AM25" s="295"/>
      <c r="AN25" s="295"/>
      <c r="AO25" s="296"/>
      <c r="AP25" s="296"/>
      <c r="AQ25" s="296"/>
      <c r="AR25" s="296"/>
      <c r="AS25" s="296"/>
      <c r="AT25" s="296"/>
      <c r="AU25" s="296"/>
      <c r="AV25" s="297"/>
      <c r="AW25" s="297"/>
      <c r="AX25" s="297"/>
      <c r="AY25" s="297"/>
      <c r="AZ25" s="297"/>
      <c r="BA25" s="297"/>
      <c r="BB25" s="297"/>
      <c r="BC25" s="297"/>
      <c r="BD25" s="297"/>
      <c r="BE25" s="297"/>
      <c r="BF25" s="297"/>
      <c r="BG25" s="297"/>
      <c r="BH25" s="297"/>
      <c r="BI25" s="297"/>
      <c r="BJ25" s="297"/>
      <c r="BK25" s="297"/>
    </row>
    <row r="26" spans="1:63" ht="16.5" customHeight="1">
      <c r="N26" s="63"/>
      <c r="O26" s="202"/>
      <c r="P26" s="202"/>
      <c r="Q26" s="202"/>
      <c r="R26" s="202"/>
      <c r="S26" s="212"/>
      <c r="T26" s="212"/>
      <c r="U26" s="198" t="s">
        <v>132</v>
      </c>
      <c r="V26" s="198"/>
      <c r="W26" s="198"/>
      <c r="X26" s="198"/>
      <c r="Y26" s="198"/>
      <c r="Z26" s="199" t="s">
        <v>10</v>
      </c>
      <c r="AA26" s="199"/>
      <c r="AB26" s="199"/>
      <c r="AC26" s="292">
        <f>CEILING(148*1.3,0.5)</f>
        <v>192.5</v>
      </c>
      <c r="AD26" s="292"/>
      <c r="AE26" s="292"/>
      <c r="AF26" s="292"/>
      <c r="AG26" s="293">
        <f>AC26+5</f>
        <v>197.5</v>
      </c>
      <c r="AH26" s="293"/>
      <c r="AI26" s="293"/>
      <c r="AJ26" s="293"/>
      <c r="AK26" s="293">
        <f>AG26+5</f>
        <v>202.5</v>
      </c>
      <c r="AL26" s="293"/>
      <c r="AM26" s="293"/>
      <c r="AN26" s="293"/>
      <c r="AO26" s="290" t="s">
        <v>315</v>
      </c>
      <c r="AP26" s="290"/>
      <c r="AQ26" s="290"/>
      <c r="AR26" s="290"/>
      <c r="AS26" s="290"/>
      <c r="AT26" s="290"/>
      <c r="AU26" s="290"/>
      <c r="AV26" s="297"/>
      <c r="AW26" s="297"/>
      <c r="AX26" s="297"/>
      <c r="AY26" s="297"/>
      <c r="AZ26" s="297"/>
      <c r="BA26" s="297"/>
      <c r="BB26" s="297"/>
      <c r="BC26" s="297"/>
      <c r="BD26" s="297"/>
      <c r="BE26" s="297"/>
      <c r="BF26" s="297"/>
      <c r="BG26" s="297"/>
      <c r="BH26" s="297"/>
      <c r="BI26" s="297"/>
      <c r="BJ26" s="297"/>
      <c r="BK26" s="297"/>
    </row>
    <row r="27" spans="1:63" ht="16.5" customHeight="1">
      <c r="N27" s="63"/>
      <c r="O27" s="202"/>
      <c r="P27" s="202"/>
      <c r="Q27" s="202"/>
      <c r="R27" s="202"/>
      <c r="S27" s="212"/>
      <c r="T27" s="212"/>
      <c r="U27" s="198"/>
      <c r="V27" s="198"/>
      <c r="W27" s="198"/>
      <c r="X27" s="198"/>
      <c r="Y27" s="198"/>
      <c r="Z27" s="199" t="s">
        <v>11</v>
      </c>
      <c r="AA27" s="199"/>
      <c r="AB27" s="199"/>
      <c r="AC27" s="291">
        <f>CEILING(AC26*0.95,0.5)</f>
        <v>183</v>
      </c>
      <c r="AD27" s="291"/>
      <c r="AE27" s="291"/>
      <c r="AF27" s="291"/>
      <c r="AG27" s="291">
        <f>CEILING(AG26*0.95,0.5)</f>
        <v>188</v>
      </c>
      <c r="AH27" s="291"/>
      <c r="AI27" s="291"/>
      <c r="AJ27" s="291"/>
      <c r="AK27" s="291">
        <f>CEILING(AK26*0.95,0.5)</f>
        <v>192.5</v>
      </c>
      <c r="AL27" s="291"/>
      <c r="AM27" s="291"/>
      <c r="AN27" s="291"/>
      <c r="AO27" s="290"/>
      <c r="AP27" s="290"/>
      <c r="AQ27" s="290"/>
      <c r="AR27" s="290"/>
      <c r="AS27" s="290"/>
      <c r="AT27" s="290"/>
      <c r="AU27" s="290"/>
      <c r="AV27" s="297"/>
      <c r="AW27" s="297"/>
      <c r="AX27" s="297"/>
      <c r="AY27" s="297"/>
      <c r="AZ27" s="297"/>
      <c r="BA27" s="297"/>
      <c r="BB27" s="297"/>
      <c r="BC27" s="297"/>
      <c r="BD27" s="297"/>
      <c r="BE27" s="297"/>
      <c r="BF27" s="297"/>
      <c r="BG27" s="297"/>
      <c r="BH27" s="297"/>
      <c r="BI27" s="297"/>
      <c r="BJ27" s="297"/>
      <c r="BK27" s="297"/>
    </row>
    <row r="28" spans="1:63" ht="16.5" customHeight="1">
      <c r="N28" s="63"/>
      <c r="O28" s="202"/>
      <c r="P28" s="202"/>
      <c r="Q28" s="202"/>
      <c r="R28" s="202"/>
      <c r="S28" s="212"/>
      <c r="T28" s="212"/>
      <c r="U28" s="198"/>
      <c r="V28" s="198"/>
      <c r="W28" s="198"/>
      <c r="X28" s="198"/>
      <c r="Y28" s="198"/>
      <c r="Z28" s="199" t="s">
        <v>12</v>
      </c>
      <c r="AA28" s="199"/>
      <c r="AB28" s="199"/>
      <c r="AC28" s="292">
        <f>CEILING(132.5*1.3,0.5)</f>
        <v>172.5</v>
      </c>
      <c r="AD28" s="292"/>
      <c r="AE28" s="292"/>
      <c r="AF28" s="292"/>
      <c r="AG28" s="293">
        <f>AC28+5</f>
        <v>177.5</v>
      </c>
      <c r="AH28" s="293"/>
      <c r="AI28" s="293"/>
      <c r="AJ28" s="293"/>
      <c r="AK28" s="293">
        <f>AG28+5</f>
        <v>182.5</v>
      </c>
      <c r="AL28" s="293"/>
      <c r="AM28" s="293"/>
      <c r="AN28" s="293"/>
      <c r="AO28" s="290"/>
      <c r="AP28" s="290"/>
      <c r="AQ28" s="290"/>
      <c r="AR28" s="290"/>
      <c r="AS28" s="290"/>
      <c r="AT28" s="290"/>
      <c r="AU28" s="290"/>
      <c r="AV28" s="297"/>
      <c r="AW28" s="297"/>
      <c r="AX28" s="297"/>
      <c r="AY28" s="297"/>
      <c r="AZ28" s="297"/>
      <c r="BA28" s="297"/>
      <c r="BB28" s="297"/>
      <c r="BC28" s="297"/>
      <c r="BD28" s="297"/>
      <c r="BE28" s="297"/>
      <c r="BF28" s="297"/>
      <c r="BG28" s="297"/>
      <c r="BH28" s="297"/>
      <c r="BI28" s="297"/>
      <c r="BJ28" s="297"/>
      <c r="BK28" s="297"/>
    </row>
    <row r="29" spans="1:63" ht="16.5" customHeight="1">
      <c r="N29" s="63"/>
      <c r="O29" s="184">
        <v>810</v>
      </c>
      <c r="P29" s="184"/>
      <c r="Q29" s="184"/>
      <c r="R29" s="184"/>
      <c r="S29" s="212">
        <v>1</v>
      </c>
      <c r="T29" s="212"/>
      <c r="U29" s="204" t="s">
        <v>112</v>
      </c>
      <c r="V29" s="289"/>
      <c r="W29" s="289"/>
      <c r="X29" s="289"/>
      <c r="Y29" s="289"/>
      <c r="Z29" s="202" t="s">
        <v>58</v>
      </c>
      <c r="AA29" s="202"/>
      <c r="AB29" s="202"/>
      <c r="AC29" s="302">
        <f>AG32</f>
        <v>82</v>
      </c>
      <c r="AD29" s="302"/>
      <c r="AE29" s="302"/>
      <c r="AF29" s="302"/>
      <c r="AG29" s="302">
        <f>AK32+6</f>
        <v>91</v>
      </c>
      <c r="AH29" s="302"/>
      <c r="AI29" s="302"/>
      <c r="AJ29" s="302"/>
      <c r="AK29" s="302">
        <f>AK32+18</f>
        <v>103</v>
      </c>
      <c r="AL29" s="302"/>
      <c r="AM29" s="302"/>
      <c r="AN29" s="302"/>
      <c r="AO29" s="296" t="s">
        <v>314</v>
      </c>
      <c r="AP29" s="296"/>
      <c r="AQ29" s="296"/>
      <c r="AR29" s="296"/>
      <c r="AS29" s="296"/>
      <c r="AT29" s="296"/>
      <c r="AU29" s="296"/>
      <c r="AV29" s="297"/>
      <c r="AW29" s="297"/>
      <c r="AX29" s="297"/>
      <c r="AY29" s="297"/>
      <c r="AZ29" s="297"/>
      <c r="BA29" s="297"/>
      <c r="BB29" s="297"/>
      <c r="BC29" s="297"/>
      <c r="BD29" s="297"/>
      <c r="BE29" s="297"/>
      <c r="BF29" s="297"/>
      <c r="BG29" s="297"/>
      <c r="BH29" s="297"/>
      <c r="BI29" s="297"/>
      <c r="BJ29" s="297"/>
      <c r="BK29" s="297"/>
    </row>
    <row r="30" spans="1:63" ht="16.5" customHeight="1">
      <c r="N30" s="63"/>
      <c r="O30" s="184"/>
      <c r="P30" s="184"/>
      <c r="Q30" s="184"/>
      <c r="R30" s="184"/>
      <c r="S30" s="212"/>
      <c r="T30" s="212"/>
      <c r="U30" s="289"/>
      <c r="V30" s="289"/>
      <c r="W30" s="289"/>
      <c r="X30" s="289"/>
      <c r="Y30" s="289"/>
      <c r="Z30" s="202" t="s">
        <v>11</v>
      </c>
      <c r="AA30" s="202"/>
      <c r="AB30" s="202"/>
      <c r="AC30" s="295">
        <f>CEILING(AC29*0.95,0.5)</f>
        <v>78</v>
      </c>
      <c r="AD30" s="295"/>
      <c r="AE30" s="295"/>
      <c r="AF30" s="295"/>
      <c r="AG30" s="295">
        <f>CEILING(AG29*0.95,0.5)</f>
        <v>86.5</v>
      </c>
      <c r="AH30" s="295"/>
      <c r="AI30" s="295"/>
      <c r="AJ30" s="295"/>
      <c r="AK30" s="295">
        <f>CEILING(AK29*0.95,0.5)</f>
        <v>98</v>
      </c>
      <c r="AL30" s="295"/>
      <c r="AM30" s="295"/>
      <c r="AN30" s="295"/>
      <c r="AO30" s="296"/>
      <c r="AP30" s="296"/>
      <c r="AQ30" s="296"/>
      <c r="AR30" s="296"/>
      <c r="AS30" s="296"/>
      <c r="AT30" s="296"/>
      <c r="AU30" s="296"/>
      <c r="AV30" s="297"/>
      <c r="AW30" s="297"/>
      <c r="AX30" s="297"/>
      <c r="AY30" s="297"/>
      <c r="AZ30" s="297"/>
      <c r="BA30" s="297"/>
      <c r="BB30" s="297"/>
      <c r="BC30" s="297"/>
      <c r="BD30" s="297"/>
      <c r="BE30" s="297"/>
      <c r="BF30" s="297"/>
      <c r="BG30" s="297"/>
      <c r="BH30" s="297"/>
      <c r="BI30" s="297"/>
      <c r="BJ30" s="297"/>
      <c r="BK30" s="297"/>
    </row>
    <row r="31" spans="1:63" ht="16.5" customHeight="1">
      <c r="N31" s="63"/>
      <c r="O31" s="184"/>
      <c r="P31" s="184"/>
      <c r="Q31" s="184"/>
      <c r="R31" s="184"/>
      <c r="S31" s="212"/>
      <c r="T31" s="212"/>
      <c r="U31" s="289"/>
      <c r="V31" s="289"/>
      <c r="W31" s="289"/>
      <c r="X31" s="289"/>
      <c r="Y31" s="289"/>
      <c r="Z31" s="202" t="s">
        <v>12</v>
      </c>
      <c r="AA31" s="202"/>
      <c r="AB31" s="202"/>
      <c r="AC31" s="302">
        <f>AG34</f>
        <v>76</v>
      </c>
      <c r="AD31" s="302"/>
      <c r="AE31" s="302"/>
      <c r="AF31" s="302"/>
      <c r="AG31" s="302">
        <f>AK34+6</f>
        <v>85</v>
      </c>
      <c r="AH31" s="302"/>
      <c r="AI31" s="302"/>
      <c r="AJ31" s="302"/>
      <c r="AK31" s="302">
        <f>AK34+18</f>
        <v>97</v>
      </c>
      <c r="AL31" s="302"/>
      <c r="AM31" s="302"/>
      <c r="AN31" s="302"/>
      <c r="AO31" s="296"/>
      <c r="AP31" s="296"/>
      <c r="AQ31" s="296"/>
      <c r="AR31" s="296"/>
      <c r="AS31" s="296"/>
      <c r="AT31" s="296"/>
      <c r="AU31" s="296"/>
      <c r="AV31" s="297"/>
      <c r="AW31" s="297"/>
      <c r="AX31" s="297"/>
      <c r="AY31" s="297"/>
      <c r="AZ31" s="297"/>
      <c r="BA31" s="297"/>
      <c r="BB31" s="297"/>
      <c r="BC31" s="297"/>
      <c r="BD31" s="297"/>
      <c r="BE31" s="297"/>
      <c r="BF31" s="297"/>
      <c r="BG31" s="297"/>
      <c r="BH31" s="297"/>
      <c r="BI31" s="297"/>
      <c r="BJ31" s="297"/>
      <c r="BK31" s="297"/>
    </row>
    <row r="32" spans="1:63" ht="16.5" customHeight="1">
      <c r="N32" s="63"/>
      <c r="O32" s="184"/>
      <c r="P32" s="184"/>
      <c r="Q32" s="184"/>
      <c r="R32" s="184"/>
      <c r="S32" s="212"/>
      <c r="T32" s="212"/>
      <c r="U32" s="198" t="s">
        <v>97</v>
      </c>
      <c r="V32" s="198"/>
      <c r="W32" s="198"/>
      <c r="X32" s="198"/>
      <c r="Y32" s="198"/>
      <c r="Z32" s="199" t="s">
        <v>10</v>
      </c>
      <c r="AA32" s="199"/>
      <c r="AB32" s="199"/>
      <c r="AC32" s="292">
        <f>CEILING(60.5*1.3,0.5)</f>
        <v>79</v>
      </c>
      <c r="AD32" s="292"/>
      <c r="AE32" s="292"/>
      <c r="AF32" s="292"/>
      <c r="AG32" s="293">
        <f>AC32+3</f>
        <v>82</v>
      </c>
      <c r="AH32" s="293"/>
      <c r="AI32" s="293"/>
      <c r="AJ32" s="293"/>
      <c r="AK32" s="293">
        <f>AG32+3</f>
        <v>85</v>
      </c>
      <c r="AL32" s="293"/>
      <c r="AM32" s="293"/>
      <c r="AN32" s="293"/>
      <c r="AO32" s="290" t="s">
        <v>315</v>
      </c>
      <c r="AP32" s="290"/>
      <c r="AQ32" s="290"/>
      <c r="AR32" s="290"/>
      <c r="AS32" s="290"/>
      <c r="AT32" s="290"/>
      <c r="AU32" s="290"/>
      <c r="AV32" s="297"/>
      <c r="AW32" s="297"/>
      <c r="AX32" s="297"/>
      <c r="AY32" s="297"/>
      <c r="AZ32" s="297"/>
      <c r="BA32" s="297"/>
      <c r="BB32" s="297"/>
      <c r="BC32" s="297"/>
      <c r="BD32" s="297"/>
      <c r="BE32" s="297"/>
      <c r="BF32" s="297"/>
      <c r="BG32" s="297"/>
      <c r="BH32" s="297"/>
      <c r="BI32" s="297"/>
      <c r="BJ32" s="297"/>
      <c r="BK32" s="297"/>
    </row>
    <row r="33" spans="1:63" ht="16.5" customHeight="1">
      <c r="A33" s="63"/>
      <c r="B33" s="63"/>
      <c r="C33" s="63"/>
      <c r="D33" s="63"/>
      <c r="E33" s="63"/>
      <c r="F33" s="63"/>
      <c r="G33" s="63"/>
      <c r="H33" s="63"/>
      <c r="I33" s="63"/>
      <c r="J33" s="63"/>
      <c r="K33" s="63"/>
      <c r="L33" s="63"/>
      <c r="M33" s="63"/>
      <c r="N33" s="63"/>
      <c r="O33" s="184"/>
      <c r="P33" s="184"/>
      <c r="Q33" s="184"/>
      <c r="R33" s="184"/>
      <c r="S33" s="212"/>
      <c r="T33" s="212"/>
      <c r="U33" s="198"/>
      <c r="V33" s="198"/>
      <c r="W33" s="198"/>
      <c r="X33" s="198"/>
      <c r="Y33" s="198"/>
      <c r="Z33" s="199" t="s">
        <v>11</v>
      </c>
      <c r="AA33" s="199"/>
      <c r="AB33" s="199"/>
      <c r="AC33" s="291">
        <f>CEILING(AC32*0.95,0.5)</f>
        <v>75.5</v>
      </c>
      <c r="AD33" s="291"/>
      <c r="AE33" s="291"/>
      <c r="AF33" s="291"/>
      <c r="AG33" s="291">
        <f>CEILING(AG32*0.95,0.5)</f>
        <v>78</v>
      </c>
      <c r="AH33" s="291"/>
      <c r="AI33" s="291"/>
      <c r="AJ33" s="291"/>
      <c r="AK33" s="291">
        <f>CEILING(AK32*0.95,0.5)</f>
        <v>81</v>
      </c>
      <c r="AL33" s="291"/>
      <c r="AM33" s="291"/>
      <c r="AN33" s="291"/>
      <c r="AO33" s="290"/>
      <c r="AP33" s="290"/>
      <c r="AQ33" s="290"/>
      <c r="AR33" s="290"/>
      <c r="AS33" s="290"/>
      <c r="AT33" s="290"/>
      <c r="AU33" s="290"/>
      <c r="AV33" s="297"/>
      <c r="AW33" s="297"/>
      <c r="AX33" s="297"/>
      <c r="AY33" s="297"/>
      <c r="AZ33" s="297"/>
      <c r="BA33" s="297"/>
      <c r="BB33" s="297"/>
      <c r="BC33" s="297"/>
      <c r="BD33" s="297"/>
      <c r="BE33" s="297"/>
      <c r="BF33" s="297"/>
      <c r="BG33" s="297"/>
      <c r="BH33" s="297"/>
      <c r="BI33" s="297"/>
      <c r="BJ33" s="297"/>
      <c r="BK33" s="297"/>
    </row>
    <row r="34" spans="1:63" ht="16.5" customHeight="1">
      <c r="O34" s="184"/>
      <c r="P34" s="184"/>
      <c r="Q34" s="184"/>
      <c r="R34" s="184"/>
      <c r="S34" s="212"/>
      <c r="T34" s="212"/>
      <c r="U34" s="198"/>
      <c r="V34" s="198"/>
      <c r="W34" s="198"/>
      <c r="X34" s="198"/>
      <c r="Y34" s="198"/>
      <c r="Z34" s="199" t="s">
        <v>12</v>
      </c>
      <c r="AA34" s="199"/>
      <c r="AB34" s="199"/>
      <c r="AC34" s="292">
        <f>CEILING(56*1.3,0.5)</f>
        <v>73</v>
      </c>
      <c r="AD34" s="292"/>
      <c r="AE34" s="292"/>
      <c r="AF34" s="292"/>
      <c r="AG34" s="293">
        <f>AC34+3</f>
        <v>76</v>
      </c>
      <c r="AH34" s="293"/>
      <c r="AI34" s="293"/>
      <c r="AJ34" s="293"/>
      <c r="AK34" s="293">
        <f>AG34+3</f>
        <v>79</v>
      </c>
      <c r="AL34" s="293"/>
      <c r="AM34" s="293"/>
      <c r="AN34" s="293"/>
      <c r="AO34" s="290"/>
      <c r="AP34" s="290"/>
      <c r="AQ34" s="290"/>
      <c r="AR34" s="290"/>
      <c r="AS34" s="290"/>
      <c r="AT34" s="290"/>
      <c r="AU34" s="290"/>
      <c r="AV34" s="297"/>
      <c r="AW34" s="297"/>
      <c r="AX34" s="297"/>
      <c r="AY34" s="297"/>
      <c r="AZ34" s="297"/>
      <c r="BA34" s="297"/>
      <c r="BB34" s="297"/>
      <c r="BC34" s="297"/>
      <c r="BD34" s="297"/>
      <c r="BE34" s="297"/>
      <c r="BF34" s="297"/>
      <c r="BG34" s="297"/>
      <c r="BH34" s="297"/>
      <c r="BI34" s="297"/>
      <c r="BJ34" s="297"/>
      <c r="BK34" s="297"/>
    </row>
    <row r="35" spans="1:63" ht="16.5" customHeight="1">
      <c r="G35" s="42"/>
      <c r="H35" s="42"/>
      <c r="I35" s="42"/>
      <c r="J35" s="9"/>
      <c r="O35" s="184">
        <v>810</v>
      </c>
      <c r="P35" s="184"/>
      <c r="Q35" s="184"/>
      <c r="R35" s="184"/>
      <c r="S35" s="212">
        <v>2</v>
      </c>
      <c r="T35" s="212"/>
      <c r="U35" s="204" t="s">
        <v>112</v>
      </c>
      <c r="V35" s="289"/>
      <c r="W35" s="289"/>
      <c r="X35" s="289"/>
      <c r="Y35" s="289"/>
      <c r="Z35" s="202" t="s">
        <v>58</v>
      </c>
      <c r="AA35" s="202"/>
      <c r="AB35" s="202"/>
      <c r="AC35" s="302">
        <f>AG38</f>
        <v>101</v>
      </c>
      <c r="AD35" s="302"/>
      <c r="AE35" s="302"/>
      <c r="AF35" s="302"/>
      <c r="AG35" s="302">
        <f>AK38+6</f>
        <v>110.5</v>
      </c>
      <c r="AH35" s="302"/>
      <c r="AI35" s="302"/>
      <c r="AJ35" s="302"/>
      <c r="AK35" s="302">
        <f>AK38+18</f>
        <v>122.5</v>
      </c>
      <c r="AL35" s="302"/>
      <c r="AM35" s="302"/>
      <c r="AN35" s="302"/>
      <c r="AO35" s="296" t="s">
        <v>314</v>
      </c>
      <c r="AP35" s="296"/>
      <c r="AQ35" s="296"/>
      <c r="AR35" s="296"/>
      <c r="AS35" s="296"/>
      <c r="AT35" s="296"/>
      <c r="AU35" s="296"/>
      <c r="AV35" s="297"/>
      <c r="AW35" s="297"/>
      <c r="AX35" s="297"/>
      <c r="AY35" s="297"/>
      <c r="AZ35" s="297"/>
      <c r="BA35" s="297"/>
      <c r="BB35" s="297"/>
      <c r="BC35" s="297"/>
      <c r="BD35" s="297"/>
      <c r="BE35" s="297"/>
      <c r="BF35" s="297"/>
      <c r="BG35" s="297"/>
      <c r="BH35" s="297"/>
      <c r="BI35" s="297"/>
      <c r="BJ35" s="297"/>
      <c r="BK35" s="297"/>
    </row>
    <row r="36" spans="1:63" ht="16.5" customHeight="1">
      <c r="O36" s="184"/>
      <c r="P36" s="184"/>
      <c r="Q36" s="184"/>
      <c r="R36" s="184"/>
      <c r="S36" s="212"/>
      <c r="T36" s="212"/>
      <c r="U36" s="289"/>
      <c r="V36" s="289"/>
      <c r="W36" s="289"/>
      <c r="X36" s="289"/>
      <c r="Y36" s="289"/>
      <c r="Z36" s="202" t="s">
        <v>11</v>
      </c>
      <c r="AA36" s="202"/>
      <c r="AB36" s="202"/>
      <c r="AC36" s="295">
        <f>CEILING(AC35*0.95,0.5)</f>
        <v>96</v>
      </c>
      <c r="AD36" s="295"/>
      <c r="AE36" s="295"/>
      <c r="AF36" s="295"/>
      <c r="AG36" s="295">
        <f>CEILING(AG35*0.95,0.5)</f>
        <v>105</v>
      </c>
      <c r="AH36" s="295"/>
      <c r="AI36" s="295"/>
      <c r="AJ36" s="295"/>
      <c r="AK36" s="295">
        <f>CEILING(AK35*0.95,0.5)</f>
        <v>116.5</v>
      </c>
      <c r="AL36" s="295"/>
      <c r="AM36" s="295"/>
      <c r="AN36" s="295"/>
      <c r="AO36" s="296"/>
      <c r="AP36" s="296"/>
      <c r="AQ36" s="296"/>
      <c r="AR36" s="296"/>
      <c r="AS36" s="296"/>
      <c r="AT36" s="296"/>
      <c r="AU36" s="296"/>
      <c r="AV36" s="297"/>
      <c r="AW36" s="297"/>
      <c r="AX36" s="297"/>
      <c r="AY36" s="297"/>
      <c r="AZ36" s="297"/>
      <c r="BA36" s="297"/>
      <c r="BB36" s="297"/>
      <c r="BC36" s="297"/>
      <c r="BD36" s="297"/>
      <c r="BE36" s="297"/>
      <c r="BF36" s="297"/>
      <c r="BG36" s="297"/>
      <c r="BH36" s="297"/>
      <c r="BI36" s="297"/>
      <c r="BJ36" s="297"/>
      <c r="BK36" s="297"/>
    </row>
    <row r="37" spans="1:63" ht="16.5" customHeight="1">
      <c r="O37" s="184"/>
      <c r="P37" s="184"/>
      <c r="Q37" s="184"/>
      <c r="R37" s="184"/>
      <c r="S37" s="212"/>
      <c r="T37" s="212"/>
      <c r="U37" s="289"/>
      <c r="V37" s="289"/>
      <c r="W37" s="289"/>
      <c r="X37" s="289"/>
      <c r="Y37" s="289"/>
      <c r="Z37" s="202" t="s">
        <v>12</v>
      </c>
      <c r="AA37" s="202"/>
      <c r="AB37" s="202"/>
      <c r="AC37" s="302">
        <f>AG40</f>
        <v>93</v>
      </c>
      <c r="AD37" s="302"/>
      <c r="AE37" s="302"/>
      <c r="AF37" s="302"/>
      <c r="AG37" s="302">
        <f>AK40+6</f>
        <v>102.5</v>
      </c>
      <c r="AH37" s="302"/>
      <c r="AI37" s="302"/>
      <c r="AJ37" s="302"/>
      <c r="AK37" s="302">
        <f>AK40+18</f>
        <v>114.5</v>
      </c>
      <c r="AL37" s="302"/>
      <c r="AM37" s="302"/>
      <c r="AN37" s="302"/>
      <c r="AO37" s="296"/>
      <c r="AP37" s="296"/>
      <c r="AQ37" s="296"/>
      <c r="AR37" s="296"/>
      <c r="AS37" s="296"/>
      <c r="AT37" s="296"/>
      <c r="AU37" s="296"/>
      <c r="AV37" s="297"/>
      <c r="AW37" s="297"/>
      <c r="AX37" s="297"/>
      <c r="AY37" s="297"/>
      <c r="AZ37" s="297"/>
      <c r="BA37" s="297"/>
      <c r="BB37" s="297"/>
      <c r="BC37" s="297"/>
      <c r="BD37" s="297"/>
      <c r="BE37" s="297"/>
      <c r="BF37" s="297"/>
      <c r="BG37" s="297"/>
      <c r="BH37" s="297"/>
      <c r="BI37" s="297"/>
      <c r="BJ37" s="297"/>
      <c r="BK37" s="297"/>
    </row>
    <row r="38" spans="1:63" ht="16.5" customHeight="1">
      <c r="O38" s="184"/>
      <c r="P38" s="184"/>
      <c r="Q38" s="184"/>
      <c r="R38" s="184"/>
      <c r="S38" s="212"/>
      <c r="T38" s="212"/>
      <c r="U38" s="198" t="s">
        <v>97</v>
      </c>
      <c r="V38" s="198"/>
      <c r="W38" s="198"/>
      <c r="X38" s="198"/>
      <c r="Y38" s="198"/>
      <c r="Z38" s="199" t="s">
        <v>10</v>
      </c>
      <c r="AA38" s="199"/>
      <c r="AB38" s="199"/>
      <c r="AC38" s="292">
        <f>CEILING(75*1.3,0.5)</f>
        <v>97.5</v>
      </c>
      <c r="AD38" s="292"/>
      <c r="AE38" s="292"/>
      <c r="AF38" s="292"/>
      <c r="AG38" s="293">
        <f>AC38+3.5</f>
        <v>101</v>
      </c>
      <c r="AH38" s="293"/>
      <c r="AI38" s="293"/>
      <c r="AJ38" s="293"/>
      <c r="AK38" s="293">
        <f>AG38+3.5</f>
        <v>104.5</v>
      </c>
      <c r="AL38" s="293"/>
      <c r="AM38" s="293"/>
      <c r="AN38" s="293"/>
      <c r="AO38" s="290" t="s">
        <v>315</v>
      </c>
      <c r="AP38" s="290"/>
      <c r="AQ38" s="290"/>
      <c r="AR38" s="290"/>
      <c r="AS38" s="290"/>
      <c r="AT38" s="290"/>
      <c r="AU38" s="290"/>
      <c r="AV38" s="297"/>
      <c r="AW38" s="297"/>
      <c r="AX38" s="297"/>
      <c r="AY38" s="297"/>
      <c r="AZ38" s="297"/>
      <c r="BA38" s="297"/>
      <c r="BB38" s="297"/>
      <c r="BC38" s="297"/>
      <c r="BD38" s="297"/>
      <c r="BE38" s="297"/>
      <c r="BF38" s="297"/>
      <c r="BG38" s="297"/>
      <c r="BH38" s="297"/>
      <c r="BI38" s="297"/>
      <c r="BJ38" s="297"/>
      <c r="BK38" s="297"/>
    </row>
    <row r="39" spans="1:63" ht="16.5" customHeight="1">
      <c r="O39" s="184"/>
      <c r="P39" s="184"/>
      <c r="Q39" s="184"/>
      <c r="R39" s="184"/>
      <c r="S39" s="212"/>
      <c r="T39" s="212"/>
      <c r="U39" s="198"/>
      <c r="V39" s="198"/>
      <c r="W39" s="198"/>
      <c r="X39" s="198"/>
      <c r="Y39" s="198"/>
      <c r="Z39" s="199" t="s">
        <v>11</v>
      </c>
      <c r="AA39" s="199"/>
      <c r="AB39" s="199"/>
      <c r="AC39" s="291">
        <f>CEILING(AC38*0.95,0.5)</f>
        <v>93</v>
      </c>
      <c r="AD39" s="291"/>
      <c r="AE39" s="291"/>
      <c r="AF39" s="291"/>
      <c r="AG39" s="291">
        <f>CEILING(AG38*0.95,0.5)</f>
        <v>96</v>
      </c>
      <c r="AH39" s="291"/>
      <c r="AI39" s="291"/>
      <c r="AJ39" s="291"/>
      <c r="AK39" s="291">
        <f>CEILING(AK38*0.95,0.5)</f>
        <v>99.5</v>
      </c>
      <c r="AL39" s="291"/>
      <c r="AM39" s="291"/>
      <c r="AN39" s="291"/>
      <c r="AO39" s="290"/>
      <c r="AP39" s="290"/>
      <c r="AQ39" s="290"/>
      <c r="AR39" s="290"/>
      <c r="AS39" s="290"/>
      <c r="AT39" s="290"/>
      <c r="AU39" s="290"/>
      <c r="AV39" s="297"/>
      <c r="AW39" s="297"/>
      <c r="AX39" s="297"/>
      <c r="AY39" s="297"/>
      <c r="AZ39" s="297"/>
      <c r="BA39" s="297"/>
      <c r="BB39" s="297"/>
      <c r="BC39" s="297"/>
      <c r="BD39" s="297"/>
      <c r="BE39" s="297"/>
      <c r="BF39" s="297"/>
      <c r="BG39" s="297"/>
      <c r="BH39" s="297"/>
      <c r="BI39" s="297"/>
      <c r="BJ39" s="297"/>
      <c r="BK39" s="297"/>
    </row>
    <row r="40" spans="1:63" ht="16.5" customHeight="1">
      <c r="O40" s="184"/>
      <c r="P40" s="184"/>
      <c r="Q40" s="184"/>
      <c r="R40" s="184"/>
      <c r="S40" s="212"/>
      <c r="T40" s="212"/>
      <c r="U40" s="198"/>
      <c r="V40" s="198"/>
      <c r="W40" s="198"/>
      <c r="X40" s="198"/>
      <c r="Y40" s="198"/>
      <c r="Z40" s="199" t="s">
        <v>12</v>
      </c>
      <c r="AA40" s="199"/>
      <c r="AB40" s="199"/>
      <c r="AC40" s="292">
        <f>CEILING(68.5*1.3,0.5)</f>
        <v>89.5</v>
      </c>
      <c r="AD40" s="292"/>
      <c r="AE40" s="292"/>
      <c r="AF40" s="292"/>
      <c r="AG40" s="293">
        <f>AC40+3.5</f>
        <v>93</v>
      </c>
      <c r="AH40" s="293"/>
      <c r="AI40" s="293"/>
      <c r="AJ40" s="293"/>
      <c r="AK40" s="293">
        <f>AG40+3.5</f>
        <v>96.5</v>
      </c>
      <c r="AL40" s="293"/>
      <c r="AM40" s="293"/>
      <c r="AN40" s="293"/>
      <c r="AO40" s="290"/>
      <c r="AP40" s="290"/>
      <c r="AQ40" s="290"/>
      <c r="AR40" s="290"/>
      <c r="AS40" s="290"/>
      <c r="AT40" s="290"/>
      <c r="AU40" s="290"/>
      <c r="AV40" s="297"/>
      <c r="AW40" s="297"/>
      <c r="AX40" s="297"/>
      <c r="AY40" s="297"/>
      <c r="AZ40" s="297"/>
      <c r="BA40" s="297"/>
      <c r="BB40" s="297"/>
      <c r="BC40" s="297"/>
      <c r="BD40" s="297"/>
      <c r="BE40" s="297"/>
      <c r="BF40" s="297"/>
      <c r="BG40" s="297"/>
      <c r="BH40" s="297"/>
      <c r="BI40" s="297"/>
      <c r="BJ40" s="297"/>
      <c r="BK40" s="297"/>
    </row>
    <row r="41" spans="1:63" ht="16.5" customHeight="1">
      <c r="O41" s="184">
        <v>810</v>
      </c>
      <c r="P41" s="184"/>
      <c r="Q41" s="184"/>
      <c r="R41" s="184"/>
      <c r="S41" s="212">
        <v>3</v>
      </c>
      <c r="T41" s="212"/>
      <c r="U41" s="204" t="s">
        <v>112</v>
      </c>
      <c r="V41" s="289"/>
      <c r="W41" s="289"/>
      <c r="X41" s="289"/>
      <c r="Y41" s="289"/>
      <c r="Z41" s="202" t="s">
        <v>58</v>
      </c>
      <c r="AA41" s="202"/>
      <c r="AB41" s="202"/>
      <c r="AC41" s="302">
        <f>AG44</f>
        <v>119.5</v>
      </c>
      <c r="AD41" s="302"/>
      <c r="AE41" s="302"/>
      <c r="AF41" s="302"/>
      <c r="AG41" s="302">
        <f>AK44+6</f>
        <v>129.5</v>
      </c>
      <c r="AH41" s="302"/>
      <c r="AI41" s="302"/>
      <c r="AJ41" s="302"/>
      <c r="AK41" s="302">
        <f>AK44+18</f>
        <v>141.5</v>
      </c>
      <c r="AL41" s="302"/>
      <c r="AM41" s="302"/>
      <c r="AN41" s="302"/>
      <c r="AO41" s="296" t="s">
        <v>314</v>
      </c>
      <c r="AP41" s="296"/>
      <c r="AQ41" s="296"/>
      <c r="AR41" s="296"/>
      <c r="AS41" s="296"/>
      <c r="AT41" s="296"/>
      <c r="AU41" s="296"/>
      <c r="AV41" s="297"/>
      <c r="AW41" s="297"/>
      <c r="AX41" s="297"/>
      <c r="AY41" s="297"/>
      <c r="AZ41" s="297"/>
      <c r="BA41" s="297"/>
      <c r="BB41" s="297"/>
      <c r="BC41" s="297"/>
      <c r="BD41" s="297"/>
      <c r="BE41" s="297"/>
      <c r="BF41" s="297"/>
      <c r="BG41" s="297"/>
      <c r="BH41" s="297"/>
      <c r="BI41" s="297"/>
      <c r="BJ41" s="297"/>
      <c r="BK41" s="297"/>
    </row>
    <row r="42" spans="1:63" ht="16.5" customHeight="1">
      <c r="O42" s="184"/>
      <c r="P42" s="184"/>
      <c r="Q42" s="184"/>
      <c r="R42" s="184"/>
      <c r="S42" s="212"/>
      <c r="T42" s="212"/>
      <c r="U42" s="289"/>
      <c r="V42" s="289"/>
      <c r="W42" s="289"/>
      <c r="X42" s="289"/>
      <c r="Y42" s="289"/>
      <c r="Z42" s="202" t="s">
        <v>11</v>
      </c>
      <c r="AA42" s="202"/>
      <c r="AB42" s="202"/>
      <c r="AC42" s="295">
        <f>CEILING(AC41*0.95,0.5)</f>
        <v>114</v>
      </c>
      <c r="AD42" s="295"/>
      <c r="AE42" s="295"/>
      <c r="AF42" s="295"/>
      <c r="AG42" s="295">
        <f>CEILING(AG41*0.95,0.5)</f>
        <v>123.5</v>
      </c>
      <c r="AH42" s="295"/>
      <c r="AI42" s="295"/>
      <c r="AJ42" s="295"/>
      <c r="AK42" s="295">
        <f>CEILING(AK41*0.95,0.5)</f>
        <v>134.5</v>
      </c>
      <c r="AL42" s="295"/>
      <c r="AM42" s="295"/>
      <c r="AN42" s="295"/>
      <c r="AO42" s="296"/>
      <c r="AP42" s="296"/>
      <c r="AQ42" s="296"/>
      <c r="AR42" s="296"/>
      <c r="AS42" s="296"/>
      <c r="AT42" s="296"/>
      <c r="AU42" s="296"/>
      <c r="AV42" s="297"/>
      <c r="AW42" s="297"/>
      <c r="AX42" s="297"/>
      <c r="AY42" s="297"/>
      <c r="AZ42" s="297"/>
      <c r="BA42" s="297"/>
      <c r="BB42" s="297"/>
      <c r="BC42" s="297"/>
      <c r="BD42" s="297"/>
      <c r="BE42" s="297"/>
      <c r="BF42" s="297"/>
      <c r="BG42" s="297"/>
      <c r="BH42" s="297"/>
      <c r="BI42" s="297"/>
      <c r="BJ42" s="297"/>
      <c r="BK42" s="297"/>
    </row>
    <row r="43" spans="1:63" ht="16.5" customHeight="1">
      <c r="O43" s="184"/>
      <c r="P43" s="184"/>
      <c r="Q43" s="184"/>
      <c r="R43" s="184"/>
      <c r="S43" s="212"/>
      <c r="T43" s="212"/>
      <c r="U43" s="289"/>
      <c r="V43" s="289"/>
      <c r="W43" s="289"/>
      <c r="X43" s="289"/>
      <c r="Y43" s="289"/>
      <c r="Z43" s="202" t="s">
        <v>12</v>
      </c>
      <c r="AA43" s="202"/>
      <c r="AB43" s="202"/>
      <c r="AC43" s="302">
        <f>AG46</f>
        <v>107.5</v>
      </c>
      <c r="AD43" s="302"/>
      <c r="AE43" s="302"/>
      <c r="AF43" s="302"/>
      <c r="AG43" s="302">
        <f>AK46+6</f>
        <v>117.5</v>
      </c>
      <c r="AH43" s="302"/>
      <c r="AI43" s="302"/>
      <c r="AJ43" s="302"/>
      <c r="AK43" s="302">
        <f>AK46+18</f>
        <v>129.5</v>
      </c>
      <c r="AL43" s="302"/>
      <c r="AM43" s="302"/>
      <c r="AN43" s="302"/>
      <c r="AO43" s="296"/>
      <c r="AP43" s="296"/>
      <c r="AQ43" s="296"/>
      <c r="AR43" s="296"/>
      <c r="AS43" s="296"/>
      <c r="AT43" s="296"/>
      <c r="AU43" s="296"/>
      <c r="AV43" s="297"/>
      <c r="AW43" s="297"/>
      <c r="AX43" s="297"/>
      <c r="AY43" s="297"/>
      <c r="AZ43" s="297"/>
      <c r="BA43" s="297"/>
      <c r="BB43" s="297"/>
      <c r="BC43" s="297"/>
      <c r="BD43" s="297"/>
      <c r="BE43" s="297"/>
      <c r="BF43" s="297"/>
      <c r="BG43" s="297"/>
      <c r="BH43" s="297"/>
      <c r="BI43" s="297"/>
      <c r="BJ43" s="297"/>
      <c r="BK43" s="297"/>
    </row>
    <row r="44" spans="1:63" ht="16.5" customHeight="1">
      <c r="O44" s="184"/>
      <c r="P44" s="184"/>
      <c r="Q44" s="184"/>
      <c r="R44" s="184"/>
      <c r="S44" s="212"/>
      <c r="T44" s="212"/>
      <c r="U44" s="198" t="s">
        <v>97</v>
      </c>
      <c r="V44" s="198"/>
      <c r="W44" s="198"/>
      <c r="X44" s="198"/>
      <c r="Y44" s="198"/>
      <c r="Z44" s="199" t="s">
        <v>10</v>
      </c>
      <c r="AA44" s="199"/>
      <c r="AB44" s="199"/>
      <c r="AC44" s="292">
        <f>CEILING(88.5*1.3,0.5)</f>
        <v>115.5</v>
      </c>
      <c r="AD44" s="292"/>
      <c r="AE44" s="292"/>
      <c r="AF44" s="292"/>
      <c r="AG44" s="293">
        <f>AC44+4</f>
        <v>119.5</v>
      </c>
      <c r="AH44" s="293"/>
      <c r="AI44" s="293"/>
      <c r="AJ44" s="293"/>
      <c r="AK44" s="293">
        <f>AG44+4</f>
        <v>123.5</v>
      </c>
      <c r="AL44" s="293"/>
      <c r="AM44" s="293"/>
      <c r="AN44" s="293"/>
      <c r="AO44" s="290" t="s">
        <v>315</v>
      </c>
      <c r="AP44" s="290"/>
      <c r="AQ44" s="290"/>
      <c r="AR44" s="290"/>
      <c r="AS44" s="290"/>
      <c r="AT44" s="290"/>
      <c r="AU44" s="290"/>
      <c r="AV44" s="297"/>
      <c r="AW44" s="297"/>
      <c r="AX44" s="297"/>
      <c r="AY44" s="297"/>
      <c r="AZ44" s="297"/>
      <c r="BA44" s="297"/>
      <c r="BB44" s="297"/>
      <c r="BC44" s="297"/>
      <c r="BD44" s="297"/>
      <c r="BE44" s="297"/>
      <c r="BF44" s="297"/>
      <c r="BG44" s="297"/>
      <c r="BH44" s="297"/>
      <c r="BI44" s="297"/>
      <c r="BJ44" s="297"/>
      <c r="BK44" s="297"/>
    </row>
    <row r="45" spans="1:63" ht="16.5" customHeight="1">
      <c r="O45" s="184"/>
      <c r="P45" s="184"/>
      <c r="Q45" s="184"/>
      <c r="R45" s="184"/>
      <c r="S45" s="212"/>
      <c r="T45" s="212"/>
      <c r="U45" s="198"/>
      <c r="V45" s="198"/>
      <c r="W45" s="198"/>
      <c r="X45" s="198"/>
      <c r="Y45" s="198"/>
      <c r="Z45" s="199" t="s">
        <v>11</v>
      </c>
      <c r="AA45" s="199"/>
      <c r="AB45" s="199"/>
      <c r="AC45" s="291">
        <f>CEILING(AC44*0.95,0.5)</f>
        <v>110</v>
      </c>
      <c r="AD45" s="291"/>
      <c r="AE45" s="291"/>
      <c r="AF45" s="291"/>
      <c r="AG45" s="291">
        <f>CEILING(AG44*0.95,0.5)</f>
        <v>114</v>
      </c>
      <c r="AH45" s="291"/>
      <c r="AI45" s="291"/>
      <c r="AJ45" s="291"/>
      <c r="AK45" s="291">
        <f>CEILING(AK44*0.95,0.5)</f>
        <v>117.5</v>
      </c>
      <c r="AL45" s="291"/>
      <c r="AM45" s="291"/>
      <c r="AN45" s="291"/>
      <c r="AO45" s="290"/>
      <c r="AP45" s="290"/>
      <c r="AQ45" s="290"/>
      <c r="AR45" s="290"/>
      <c r="AS45" s="290"/>
      <c r="AT45" s="290"/>
      <c r="AU45" s="290"/>
      <c r="AV45" s="297"/>
      <c r="AW45" s="297"/>
      <c r="AX45" s="297"/>
      <c r="AY45" s="297"/>
      <c r="AZ45" s="297"/>
      <c r="BA45" s="297"/>
      <c r="BB45" s="297"/>
      <c r="BC45" s="297"/>
      <c r="BD45" s="297"/>
      <c r="BE45" s="297"/>
      <c r="BF45" s="297"/>
      <c r="BG45" s="297"/>
      <c r="BH45" s="297"/>
      <c r="BI45" s="297"/>
      <c r="BJ45" s="297"/>
      <c r="BK45" s="297"/>
    </row>
    <row r="46" spans="1:63" ht="16.5" customHeight="1">
      <c r="O46" s="184"/>
      <c r="P46" s="184"/>
      <c r="Q46" s="184"/>
      <c r="R46" s="184"/>
      <c r="S46" s="212"/>
      <c r="T46" s="212"/>
      <c r="U46" s="198"/>
      <c r="V46" s="198"/>
      <c r="W46" s="198"/>
      <c r="X46" s="198"/>
      <c r="Y46" s="198"/>
      <c r="Z46" s="199" t="s">
        <v>12</v>
      </c>
      <c r="AA46" s="199"/>
      <c r="AB46" s="199"/>
      <c r="AC46" s="292">
        <f>CEILING(79.5*1.3,0.5)</f>
        <v>103.5</v>
      </c>
      <c r="AD46" s="292"/>
      <c r="AE46" s="292"/>
      <c r="AF46" s="292"/>
      <c r="AG46" s="293">
        <f>AC46+4</f>
        <v>107.5</v>
      </c>
      <c r="AH46" s="293"/>
      <c r="AI46" s="293"/>
      <c r="AJ46" s="293"/>
      <c r="AK46" s="293">
        <f>AG46+4</f>
        <v>111.5</v>
      </c>
      <c r="AL46" s="293"/>
      <c r="AM46" s="293"/>
      <c r="AN46" s="293"/>
      <c r="AO46" s="290"/>
      <c r="AP46" s="290"/>
      <c r="AQ46" s="290"/>
      <c r="AR46" s="290"/>
      <c r="AS46" s="290"/>
      <c r="AT46" s="290"/>
      <c r="AU46" s="290"/>
      <c r="AV46" s="297"/>
      <c r="AW46" s="297"/>
      <c r="AX46" s="297"/>
      <c r="AY46" s="297"/>
      <c r="AZ46" s="297"/>
      <c r="BA46" s="297"/>
      <c r="BB46" s="297"/>
      <c r="BC46" s="297"/>
      <c r="BD46" s="297"/>
      <c r="BE46" s="297"/>
      <c r="BF46" s="297"/>
      <c r="BG46" s="297"/>
      <c r="BH46" s="297"/>
      <c r="BI46" s="297"/>
      <c r="BJ46" s="297"/>
      <c r="BK46" s="297"/>
    </row>
    <row r="47" spans="1:63" ht="16.5" customHeight="1">
      <c r="O47" s="184" t="s">
        <v>134</v>
      </c>
      <c r="P47" s="184"/>
      <c r="Q47" s="184"/>
      <c r="R47" s="184"/>
      <c r="S47" s="203">
        <v>5</v>
      </c>
      <c r="T47" s="203"/>
      <c r="U47" s="204" t="s">
        <v>112</v>
      </c>
      <c r="V47" s="289"/>
      <c r="W47" s="289"/>
      <c r="X47" s="289"/>
      <c r="Y47" s="289"/>
      <c r="Z47" s="202" t="s">
        <v>58</v>
      </c>
      <c r="AA47" s="202"/>
      <c r="AB47" s="202"/>
      <c r="AC47" s="302">
        <f>AG50</f>
        <v>143</v>
      </c>
      <c r="AD47" s="302"/>
      <c r="AE47" s="302"/>
      <c r="AF47" s="302"/>
      <c r="AG47" s="302">
        <f>AK50+6</f>
        <v>154</v>
      </c>
      <c r="AH47" s="302"/>
      <c r="AI47" s="302"/>
      <c r="AJ47" s="302"/>
      <c r="AK47" s="302">
        <f>AK50+18</f>
        <v>166</v>
      </c>
      <c r="AL47" s="302"/>
      <c r="AM47" s="302"/>
      <c r="AN47" s="302"/>
      <c r="AO47" s="296" t="s">
        <v>314</v>
      </c>
      <c r="AP47" s="296"/>
      <c r="AQ47" s="296"/>
      <c r="AR47" s="296"/>
      <c r="AS47" s="296"/>
      <c r="AT47" s="296"/>
      <c r="AU47" s="296"/>
      <c r="AV47" s="297"/>
      <c r="AW47" s="297"/>
      <c r="AX47" s="297"/>
      <c r="AY47" s="297"/>
      <c r="AZ47" s="297"/>
      <c r="BA47" s="297"/>
      <c r="BB47" s="297"/>
      <c r="BC47" s="297"/>
      <c r="BD47" s="297"/>
      <c r="BE47" s="297"/>
      <c r="BF47" s="297"/>
      <c r="BG47" s="297"/>
      <c r="BH47" s="297"/>
      <c r="BI47" s="297"/>
      <c r="BJ47" s="297"/>
      <c r="BK47" s="297"/>
    </row>
    <row r="48" spans="1:63" ht="16.5" customHeight="1">
      <c r="O48" s="184"/>
      <c r="P48" s="184"/>
      <c r="Q48" s="184"/>
      <c r="R48" s="184"/>
      <c r="S48" s="203"/>
      <c r="T48" s="203"/>
      <c r="U48" s="289"/>
      <c r="V48" s="289"/>
      <c r="W48" s="289"/>
      <c r="X48" s="289"/>
      <c r="Y48" s="289"/>
      <c r="Z48" s="202" t="s">
        <v>11</v>
      </c>
      <c r="AA48" s="202"/>
      <c r="AB48" s="202"/>
      <c r="AC48" s="295">
        <f>CEILING(AC47*0.95,0.5)</f>
        <v>136</v>
      </c>
      <c r="AD48" s="295"/>
      <c r="AE48" s="295"/>
      <c r="AF48" s="295"/>
      <c r="AG48" s="295">
        <f>CEILING(AG47*0.95,0.5)</f>
        <v>146.5</v>
      </c>
      <c r="AH48" s="295"/>
      <c r="AI48" s="295"/>
      <c r="AJ48" s="295"/>
      <c r="AK48" s="295">
        <f>CEILING(AK47*0.95,0.5)</f>
        <v>158</v>
      </c>
      <c r="AL48" s="295"/>
      <c r="AM48" s="295"/>
      <c r="AN48" s="295"/>
      <c r="AO48" s="296"/>
      <c r="AP48" s="296"/>
      <c r="AQ48" s="296"/>
      <c r="AR48" s="296"/>
      <c r="AS48" s="296"/>
      <c r="AT48" s="296"/>
      <c r="AU48" s="296"/>
      <c r="AV48" s="297"/>
      <c r="AW48" s="297"/>
      <c r="AX48" s="297"/>
      <c r="AY48" s="297"/>
      <c r="AZ48" s="297"/>
      <c r="BA48" s="297"/>
      <c r="BB48" s="297"/>
      <c r="BC48" s="297"/>
      <c r="BD48" s="297"/>
      <c r="BE48" s="297"/>
      <c r="BF48" s="297"/>
      <c r="BG48" s="297"/>
      <c r="BH48" s="297"/>
      <c r="BI48" s="297"/>
      <c r="BJ48" s="297"/>
      <c r="BK48" s="297"/>
    </row>
    <row r="49" spans="15:63" ht="16.5" customHeight="1">
      <c r="O49" s="184"/>
      <c r="P49" s="184"/>
      <c r="Q49" s="184"/>
      <c r="R49" s="184"/>
      <c r="S49" s="203"/>
      <c r="T49" s="203"/>
      <c r="U49" s="289"/>
      <c r="V49" s="289"/>
      <c r="W49" s="289"/>
      <c r="X49" s="289"/>
      <c r="Y49" s="289"/>
      <c r="Z49" s="202" t="s">
        <v>12</v>
      </c>
      <c r="AA49" s="202"/>
      <c r="AB49" s="202"/>
      <c r="AC49" s="302">
        <f>AG52</f>
        <v>130</v>
      </c>
      <c r="AD49" s="302"/>
      <c r="AE49" s="302"/>
      <c r="AF49" s="302"/>
      <c r="AG49" s="302">
        <f>AK52+6</f>
        <v>141</v>
      </c>
      <c r="AH49" s="302"/>
      <c r="AI49" s="302"/>
      <c r="AJ49" s="302"/>
      <c r="AK49" s="302">
        <f>AK52+18</f>
        <v>153</v>
      </c>
      <c r="AL49" s="302"/>
      <c r="AM49" s="302"/>
      <c r="AN49" s="302"/>
      <c r="AO49" s="296"/>
      <c r="AP49" s="296"/>
      <c r="AQ49" s="296"/>
      <c r="AR49" s="296"/>
      <c r="AS49" s="296"/>
      <c r="AT49" s="296"/>
      <c r="AU49" s="296"/>
      <c r="AV49" s="297"/>
      <c r="AW49" s="297"/>
      <c r="AX49" s="297"/>
      <c r="AY49" s="297"/>
      <c r="AZ49" s="297"/>
      <c r="BA49" s="297"/>
      <c r="BB49" s="297"/>
      <c r="BC49" s="297"/>
      <c r="BD49" s="297"/>
      <c r="BE49" s="297"/>
      <c r="BF49" s="297"/>
      <c r="BG49" s="297"/>
      <c r="BH49" s="297"/>
      <c r="BI49" s="297"/>
      <c r="BJ49" s="297"/>
      <c r="BK49" s="297"/>
    </row>
    <row r="50" spans="15:63" ht="16.5" customHeight="1">
      <c r="O50" s="184"/>
      <c r="P50" s="184"/>
      <c r="Q50" s="184"/>
      <c r="R50" s="184"/>
      <c r="S50" s="203"/>
      <c r="T50" s="203"/>
      <c r="U50" s="198" t="s">
        <v>97</v>
      </c>
      <c r="V50" s="198"/>
      <c r="W50" s="198"/>
      <c r="X50" s="198"/>
      <c r="Y50" s="198"/>
      <c r="Z50" s="199" t="s">
        <v>10</v>
      </c>
      <c r="AA50" s="199"/>
      <c r="AB50" s="199"/>
      <c r="AC50" s="292">
        <f>CEILING(106*1.3,0.5)</f>
        <v>138</v>
      </c>
      <c r="AD50" s="292"/>
      <c r="AE50" s="292"/>
      <c r="AF50" s="292"/>
      <c r="AG50" s="293">
        <f>AC50+5</f>
        <v>143</v>
      </c>
      <c r="AH50" s="293"/>
      <c r="AI50" s="293"/>
      <c r="AJ50" s="293"/>
      <c r="AK50" s="293">
        <f>AG50+5</f>
        <v>148</v>
      </c>
      <c r="AL50" s="293"/>
      <c r="AM50" s="293"/>
      <c r="AN50" s="293"/>
      <c r="AO50" s="290" t="s">
        <v>315</v>
      </c>
      <c r="AP50" s="290"/>
      <c r="AQ50" s="290"/>
      <c r="AR50" s="290"/>
      <c r="AS50" s="290"/>
      <c r="AT50" s="290"/>
      <c r="AU50" s="290"/>
      <c r="AV50" s="297"/>
      <c r="AW50" s="297"/>
      <c r="AX50" s="297"/>
      <c r="AY50" s="297"/>
      <c r="AZ50" s="297"/>
      <c r="BA50" s="297"/>
      <c r="BB50" s="297"/>
      <c r="BC50" s="297"/>
      <c r="BD50" s="297"/>
      <c r="BE50" s="297"/>
      <c r="BF50" s="297"/>
      <c r="BG50" s="297"/>
      <c r="BH50" s="297"/>
      <c r="BI50" s="297"/>
      <c r="BJ50" s="297"/>
      <c r="BK50" s="297"/>
    </row>
    <row r="51" spans="15:63" ht="16.5" customHeight="1">
      <c r="O51" s="184"/>
      <c r="P51" s="184"/>
      <c r="Q51" s="184"/>
      <c r="R51" s="184"/>
      <c r="S51" s="203"/>
      <c r="T51" s="203"/>
      <c r="U51" s="198"/>
      <c r="V51" s="198"/>
      <c r="W51" s="198"/>
      <c r="X51" s="198"/>
      <c r="Y51" s="198"/>
      <c r="Z51" s="199" t="s">
        <v>11</v>
      </c>
      <c r="AA51" s="199"/>
      <c r="AB51" s="199"/>
      <c r="AC51" s="291">
        <f>CEILING(AC50*0.95,0.5)</f>
        <v>131.5</v>
      </c>
      <c r="AD51" s="291"/>
      <c r="AE51" s="291"/>
      <c r="AF51" s="291"/>
      <c r="AG51" s="291">
        <f>CEILING(AG50*0.95,0.5)</f>
        <v>136</v>
      </c>
      <c r="AH51" s="291"/>
      <c r="AI51" s="291"/>
      <c r="AJ51" s="291"/>
      <c r="AK51" s="291">
        <f>CEILING(AK50*0.95,0.5)</f>
        <v>141</v>
      </c>
      <c r="AL51" s="291"/>
      <c r="AM51" s="291"/>
      <c r="AN51" s="291"/>
      <c r="AO51" s="290"/>
      <c r="AP51" s="290"/>
      <c r="AQ51" s="290"/>
      <c r="AR51" s="290"/>
      <c r="AS51" s="290"/>
      <c r="AT51" s="290"/>
      <c r="AU51" s="290"/>
      <c r="AV51" s="297"/>
      <c r="AW51" s="297"/>
      <c r="AX51" s="297"/>
      <c r="AY51" s="297"/>
      <c r="AZ51" s="297"/>
      <c r="BA51" s="297"/>
      <c r="BB51" s="297"/>
      <c r="BC51" s="297"/>
      <c r="BD51" s="297"/>
      <c r="BE51" s="297"/>
      <c r="BF51" s="297"/>
      <c r="BG51" s="297"/>
      <c r="BH51" s="297"/>
      <c r="BI51" s="297"/>
      <c r="BJ51" s="297"/>
      <c r="BK51" s="297"/>
    </row>
    <row r="52" spans="15:63" ht="16.5" customHeight="1">
      <c r="O52" s="184"/>
      <c r="P52" s="184"/>
      <c r="Q52" s="184"/>
      <c r="R52" s="184"/>
      <c r="S52" s="203"/>
      <c r="T52" s="203"/>
      <c r="U52" s="198"/>
      <c r="V52" s="198"/>
      <c r="W52" s="198"/>
      <c r="X52" s="198"/>
      <c r="Y52" s="198"/>
      <c r="Z52" s="199" t="s">
        <v>12</v>
      </c>
      <c r="AA52" s="199"/>
      <c r="AB52" s="199"/>
      <c r="AC52" s="292">
        <f>CEILING(96*1.3,0.5)</f>
        <v>125</v>
      </c>
      <c r="AD52" s="292"/>
      <c r="AE52" s="292"/>
      <c r="AF52" s="292"/>
      <c r="AG52" s="293">
        <f>AC52+5</f>
        <v>130</v>
      </c>
      <c r="AH52" s="293"/>
      <c r="AI52" s="293"/>
      <c r="AJ52" s="293"/>
      <c r="AK52" s="293">
        <f>AG52+5</f>
        <v>135</v>
      </c>
      <c r="AL52" s="293"/>
      <c r="AM52" s="293"/>
      <c r="AN52" s="293"/>
      <c r="AO52" s="290"/>
      <c r="AP52" s="290"/>
      <c r="AQ52" s="290"/>
      <c r="AR52" s="290"/>
      <c r="AS52" s="290"/>
      <c r="AT52" s="290"/>
      <c r="AU52" s="290"/>
      <c r="AV52" s="297"/>
      <c r="AW52" s="297"/>
      <c r="AX52" s="297"/>
      <c r="AY52" s="297"/>
      <c r="AZ52" s="297"/>
      <c r="BA52" s="297"/>
      <c r="BB52" s="297"/>
      <c r="BC52" s="297"/>
      <c r="BD52" s="297"/>
      <c r="BE52" s="297"/>
      <c r="BF52" s="297"/>
      <c r="BG52" s="297"/>
      <c r="BH52" s="297"/>
      <c r="BI52" s="297"/>
      <c r="BJ52" s="297"/>
      <c r="BK52" s="297"/>
    </row>
    <row r="53" spans="15:63" ht="16.5" customHeight="1">
      <c r="O53" s="184">
        <v>810</v>
      </c>
      <c r="P53" s="184"/>
      <c r="Q53" s="184"/>
      <c r="R53" s="184"/>
      <c r="S53" s="212">
        <v>10</v>
      </c>
      <c r="T53" s="212"/>
      <c r="U53" s="204" t="s">
        <v>112</v>
      </c>
      <c r="V53" s="289"/>
      <c r="W53" s="289"/>
      <c r="X53" s="289"/>
      <c r="Y53" s="289"/>
      <c r="Z53" s="202" t="s">
        <v>58</v>
      </c>
      <c r="AA53" s="202"/>
      <c r="AB53" s="202"/>
      <c r="AC53" s="302">
        <f>AG56</f>
        <v>179.5</v>
      </c>
      <c r="AD53" s="302"/>
      <c r="AE53" s="302"/>
      <c r="AF53" s="302"/>
      <c r="AG53" s="302">
        <f>AK56+6</f>
        <v>190.5</v>
      </c>
      <c r="AH53" s="302"/>
      <c r="AI53" s="302"/>
      <c r="AJ53" s="302"/>
      <c r="AK53" s="302">
        <f>AK56+18</f>
        <v>202.5</v>
      </c>
      <c r="AL53" s="302"/>
      <c r="AM53" s="302"/>
      <c r="AN53" s="302"/>
      <c r="AO53" s="296" t="s">
        <v>314</v>
      </c>
      <c r="AP53" s="296"/>
      <c r="AQ53" s="296"/>
      <c r="AR53" s="296"/>
      <c r="AS53" s="296"/>
      <c r="AT53" s="296"/>
      <c r="AU53" s="296"/>
      <c r="AV53" s="297"/>
      <c r="AW53" s="297"/>
      <c r="AX53" s="297"/>
      <c r="AY53" s="297"/>
      <c r="AZ53" s="297"/>
      <c r="BA53" s="297"/>
      <c r="BB53" s="297"/>
      <c r="BC53" s="297"/>
      <c r="BD53" s="297"/>
      <c r="BE53" s="297"/>
      <c r="BF53" s="297"/>
      <c r="BG53" s="297"/>
      <c r="BH53" s="297"/>
      <c r="BI53" s="297"/>
      <c r="BJ53" s="297"/>
      <c r="BK53" s="297"/>
    </row>
    <row r="54" spans="15:63" ht="16.5" customHeight="1">
      <c r="O54" s="184"/>
      <c r="P54" s="184"/>
      <c r="Q54" s="184"/>
      <c r="R54" s="184"/>
      <c r="S54" s="212"/>
      <c r="T54" s="212"/>
      <c r="U54" s="289"/>
      <c r="V54" s="289"/>
      <c r="W54" s="289"/>
      <c r="X54" s="289"/>
      <c r="Y54" s="289"/>
      <c r="Z54" s="202" t="s">
        <v>11</v>
      </c>
      <c r="AA54" s="202"/>
      <c r="AB54" s="202"/>
      <c r="AC54" s="295">
        <f>CEILING(AC53*0.95,0.5)</f>
        <v>171</v>
      </c>
      <c r="AD54" s="295"/>
      <c r="AE54" s="295"/>
      <c r="AF54" s="295"/>
      <c r="AG54" s="295">
        <f>CEILING(AG53*0.95,0.5)</f>
        <v>181</v>
      </c>
      <c r="AH54" s="295"/>
      <c r="AI54" s="295"/>
      <c r="AJ54" s="295"/>
      <c r="AK54" s="295">
        <f>CEILING(AK53*0.95,0.5)</f>
        <v>192.5</v>
      </c>
      <c r="AL54" s="295"/>
      <c r="AM54" s="295"/>
      <c r="AN54" s="295"/>
      <c r="AO54" s="296"/>
      <c r="AP54" s="296"/>
      <c r="AQ54" s="296"/>
      <c r="AR54" s="296"/>
      <c r="AS54" s="296"/>
      <c r="AT54" s="296"/>
      <c r="AU54" s="296"/>
      <c r="AV54" s="297"/>
      <c r="AW54" s="297"/>
      <c r="AX54" s="297"/>
      <c r="AY54" s="297"/>
      <c r="AZ54" s="297"/>
      <c r="BA54" s="297"/>
      <c r="BB54" s="297"/>
      <c r="BC54" s="297"/>
      <c r="BD54" s="297"/>
      <c r="BE54" s="297"/>
      <c r="BF54" s="297"/>
      <c r="BG54" s="297"/>
      <c r="BH54" s="297"/>
      <c r="BI54" s="297"/>
      <c r="BJ54" s="297"/>
      <c r="BK54" s="297"/>
    </row>
    <row r="55" spans="15:63" ht="16.5" customHeight="1">
      <c r="O55" s="184"/>
      <c r="P55" s="184"/>
      <c r="Q55" s="184"/>
      <c r="R55" s="184"/>
      <c r="S55" s="212"/>
      <c r="T55" s="212"/>
      <c r="U55" s="289"/>
      <c r="V55" s="289"/>
      <c r="W55" s="289"/>
      <c r="X55" s="289"/>
      <c r="Y55" s="289"/>
      <c r="Z55" s="202" t="s">
        <v>12</v>
      </c>
      <c r="AA55" s="202"/>
      <c r="AB55" s="202"/>
      <c r="AC55" s="302">
        <f>AG58</f>
        <v>164</v>
      </c>
      <c r="AD55" s="302"/>
      <c r="AE55" s="302"/>
      <c r="AF55" s="302"/>
      <c r="AG55" s="302">
        <f>AK58+6</f>
        <v>175</v>
      </c>
      <c r="AH55" s="302"/>
      <c r="AI55" s="302"/>
      <c r="AJ55" s="302"/>
      <c r="AK55" s="302">
        <f>AK58+18</f>
        <v>187</v>
      </c>
      <c r="AL55" s="302"/>
      <c r="AM55" s="302"/>
      <c r="AN55" s="302"/>
      <c r="AO55" s="296"/>
      <c r="AP55" s="296"/>
      <c r="AQ55" s="296"/>
      <c r="AR55" s="296"/>
      <c r="AS55" s="296"/>
      <c r="AT55" s="296"/>
      <c r="AU55" s="296"/>
      <c r="AV55" s="297"/>
      <c r="AW55" s="297"/>
      <c r="AX55" s="297"/>
      <c r="AY55" s="297"/>
      <c r="AZ55" s="297"/>
      <c r="BA55" s="297"/>
      <c r="BB55" s="297"/>
      <c r="BC55" s="297"/>
      <c r="BD55" s="297"/>
      <c r="BE55" s="297"/>
      <c r="BF55" s="297"/>
      <c r="BG55" s="297"/>
      <c r="BH55" s="297"/>
      <c r="BI55" s="297"/>
      <c r="BJ55" s="297"/>
      <c r="BK55" s="297"/>
    </row>
    <row r="56" spans="15:63" ht="16.5" customHeight="1">
      <c r="O56" s="184"/>
      <c r="P56" s="184"/>
      <c r="Q56" s="184"/>
      <c r="R56" s="184"/>
      <c r="S56" s="212"/>
      <c r="T56" s="212"/>
      <c r="U56" s="198" t="s">
        <v>97</v>
      </c>
      <c r="V56" s="303"/>
      <c r="W56" s="303"/>
      <c r="X56" s="303"/>
      <c r="Y56" s="303"/>
      <c r="Z56" s="199" t="s">
        <v>10</v>
      </c>
      <c r="AA56" s="199"/>
      <c r="AB56" s="199"/>
      <c r="AC56" s="292">
        <f>CEILING(134*1.3,0.5)</f>
        <v>174.5</v>
      </c>
      <c r="AD56" s="292"/>
      <c r="AE56" s="292"/>
      <c r="AF56" s="292"/>
      <c r="AG56" s="293">
        <f>AC56+5</f>
        <v>179.5</v>
      </c>
      <c r="AH56" s="293"/>
      <c r="AI56" s="293"/>
      <c r="AJ56" s="293"/>
      <c r="AK56" s="293">
        <f>AG56+5</f>
        <v>184.5</v>
      </c>
      <c r="AL56" s="293"/>
      <c r="AM56" s="293"/>
      <c r="AN56" s="293"/>
      <c r="AO56" s="290" t="s">
        <v>315</v>
      </c>
      <c r="AP56" s="290"/>
      <c r="AQ56" s="290"/>
      <c r="AR56" s="290"/>
      <c r="AS56" s="290"/>
      <c r="AT56" s="290"/>
      <c r="AU56" s="290"/>
      <c r="AV56" s="297"/>
      <c r="AW56" s="297"/>
      <c r="AX56" s="297"/>
      <c r="AY56" s="297"/>
      <c r="AZ56" s="297"/>
      <c r="BA56" s="297"/>
      <c r="BB56" s="297"/>
      <c r="BC56" s="297"/>
      <c r="BD56" s="297"/>
      <c r="BE56" s="297"/>
      <c r="BF56" s="297"/>
      <c r="BG56" s="297"/>
      <c r="BH56" s="297"/>
      <c r="BI56" s="297"/>
      <c r="BJ56" s="297"/>
      <c r="BK56" s="297"/>
    </row>
    <row r="57" spans="15:63" ht="16.5" customHeight="1">
      <c r="O57" s="184"/>
      <c r="P57" s="184"/>
      <c r="Q57" s="184"/>
      <c r="R57" s="184"/>
      <c r="S57" s="212"/>
      <c r="T57" s="212"/>
      <c r="U57" s="303"/>
      <c r="V57" s="303"/>
      <c r="W57" s="303"/>
      <c r="X57" s="303"/>
      <c r="Y57" s="303"/>
      <c r="Z57" s="199" t="s">
        <v>11</v>
      </c>
      <c r="AA57" s="199"/>
      <c r="AB57" s="199"/>
      <c r="AC57" s="291">
        <f>CEILING(AC56*0.95,0.5)</f>
        <v>166</v>
      </c>
      <c r="AD57" s="291"/>
      <c r="AE57" s="291"/>
      <c r="AF57" s="291"/>
      <c r="AG57" s="291">
        <f>CEILING(AG56*0.95,0.5)</f>
        <v>171</v>
      </c>
      <c r="AH57" s="291"/>
      <c r="AI57" s="291"/>
      <c r="AJ57" s="291"/>
      <c r="AK57" s="291">
        <f>CEILING(AK56*0.95,0.5)</f>
        <v>175.5</v>
      </c>
      <c r="AL57" s="291"/>
      <c r="AM57" s="291"/>
      <c r="AN57" s="291"/>
      <c r="AO57" s="290"/>
      <c r="AP57" s="290"/>
      <c r="AQ57" s="290"/>
      <c r="AR57" s="290"/>
      <c r="AS57" s="290"/>
      <c r="AT57" s="290"/>
      <c r="AU57" s="290"/>
      <c r="AV57" s="297"/>
      <c r="AW57" s="297"/>
      <c r="AX57" s="297"/>
      <c r="AY57" s="297"/>
      <c r="AZ57" s="297"/>
      <c r="BA57" s="297"/>
      <c r="BB57" s="297"/>
      <c r="BC57" s="297"/>
      <c r="BD57" s="297"/>
      <c r="BE57" s="297"/>
      <c r="BF57" s="297"/>
      <c r="BG57" s="297"/>
      <c r="BH57" s="297"/>
      <c r="BI57" s="297"/>
      <c r="BJ57" s="297"/>
      <c r="BK57" s="297"/>
    </row>
    <row r="58" spans="15:63" ht="16.5" customHeight="1">
      <c r="O58" s="184"/>
      <c r="P58" s="184"/>
      <c r="Q58" s="184"/>
      <c r="R58" s="184"/>
      <c r="S58" s="212"/>
      <c r="T58" s="212"/>
      <c r="U58" s="303"/>
      <c r="V58" s="303"/>
      <c r="W58" s="303"/>
      <c r="X58" s="303"/>
      <c r="Y58" s="303"/>
      <c r="Z58" s="199" t="s">
        <v>12</v>
      </c>
      <c r="AA58" s="199"/>
      <c r="AB58" s="199"/>
      <c r="AC58" s="292">
        <f>CEILING(122*1.3,0.5)</f>
        <v>159</v>
      </c>
      <c r="AD58" s="292"/>
      <c r="AE58" s="292"/>
      <c r="AF58" s="292"/>
      <c r="AG58" s="293">
        <f>AC58+5</f>
        <v>164</v>
      </c>
      <c r="AH58" s="293"/>
      <c r="AI58" s="293"/>
      <c r="AJ58" s="293"/>
      <c r="AK58" s="293">
        <f>AG58+5</f>
        <v>169</v>
      </c>
      <c r="AL58" s="293"/>
      <c r="AM58" s="293"/>
      <c r="AN58" s="293"/>
      <c r="AO58" s="290"/>
      <c r="AP58" s="290"/>
      <c r="AQ58" s="290"/>
      <c r="AR58" s="290"/>
      <c r="AS58" s="290"/>
      <c r="AT58" s="290"/>
      <c r="AU58" s="290"/>
      <c r="AV58" s="297"/>
      <c r="AW58" s="297"/>
      <c r="AX58" s="297"/>
      <c r="AY58" s="297"/>
      <c r="AZ58" s="297"/>
      <c r="BA58" s="297"/>
      <c r="BB58" s="297"/>
      <c r="BC58" s="297"/>
      <c r="BD58" s="297"/>
      <c r="BE58" s="297"/>
      <c r="BF58" s="297"/>
      <c r="BG58" s="297"/>
      <c r="BH58" s="297"/>
      <c r="BI58" s="297"/>
      <c r="BJ58" s="297"/>
      <c r="BK58" s="297"/>
    </row>
    <row r="59" spans="15:63" ht="16.5" customHeight="1">
      <c r="O59" s="184">
        <v>807</v>
      </c>
      <c r="P59" s="184"/>
      <c r="Q59" s="184"/>
      <c r="R59" s="184"/>
      <c r="S59" s="203">
        <v>5</v>
      </c>
      <c r="T59" s="203"/>
      <c r="U59" s="204" t="s">
        <v>112</v>
      </c>
      <c r="V59" s="204"/>
      <c r="W59" s="204"/>
      <c r="X59" s="204"/>
      <c r="Y59" s="204"/>
      <c r="Z59" s="202" t="s">
        <v>58</v>
      </c>
      <c r="AA59" s="202"/>
      <c r="AB59" s="202"/>
      <c r="AC59" s="295">
        <f>AG62</f>
        <v>160</v>
      </c>
      <c r="AD59" s="295"/>
      <c r="AE59" s="295"/>
      <c r="AF59" s="295"/>
      <c r="AG59" s="295">
        <f>AK62+6</f>
        <v>171</v>
      </c>
      <c r="AH59" s="295"/>
      <c r="AI59" s="295"/>
      <c r="AJ59" s="295"/>
      <c r="AK59" s="295">
        <f>AK62+18</f>
        <v>183</v>
      </c>
      <c r="AL59" s="295"/>
      <c r="AM59" s="295"/>
      <c r="AN59" s="295"/>
      <c r="AO59" s="296" t="s">
        <v>314</v>
      </c>
      <c r="AP59" s="296"/>
      <c r="AQ59" s="296"/>
      <c r="AR59" s="296"/>
      <c r="AS59" s="296"/>
      <c r="AT59" s="296"/>
      <c r="AU59" s="296"/>
      <c r="AV59" s="297"/>
      <c r="AW59" s="297"/>
      <c r="AX59" s="297"/>
      <c r="AY59" s="297"/>
      <c r="AZ59" s="297"/>
      <c r="BA59" s="297"/>
      <c r="BB59" s="297"/>
      <c r="BC59" s="297"/>
      <c r="BD59" s="297"/>
      <c r="BE59" s="297"/>
      <c r="BF59" s="297"/>
      <c r="BG59" s="297"/>
      <c r="BH59" s="297"/>
      <c r="BI59" s="297"/>
      <c r="BJ59" s="297"/>
      <c r="BK59" s="297"/>
    </row>
    <row r="60" spans="15:63" ht="16.5" customHeight="1">
      <c r="O60" s="184"/>
      <c r="P60" s="184"/>
      <c r="Q60" s="184"/>
      <c r="R60" s="184"/>
      <c r="S60" s="203"/>
      <c r="T60" s="203"/>
      <c r="U60" s="204"/>
      <c r="V60" s="204"/>
      <c r="W60" s="204"/>
      <c r="X60" s="204"/>
      <c r="Y60" s="204"/>
      <c r="Z60" s="202" t="s">
        <v>11</v>
      </c>
      <c r="AA60" s="202"/>
      <c r="AB60" s="202"/>
      <c r="AC60" s="295">
        <f>CEILING(AC59*0.95,0.5)</f>
        <v>152</v>
      </c>
      <c r="AD60" s="295"/>
      <c r="AE60" s="295"/>
      <c r="AF60" s="295"/>
      <c r="AG60" s="295">
        <f>CEILING(AG59*0.95,0.5)</f>
        <v>162.5</v>
      </c>
      <c r="AH60" s="295"/>
      <c r="AI60" s="295"/>
      <c r="AJ60" s="295"/>
      <c r="AK60" s="295">
        <f>CEILING(AK59*0.95,0.5)</f>
        <v>174</v>
      </c>
      <c r="AL60" s="295"/>
      <c r="AM60" s="295"/>
      <c r="AN60" s="295"/>
      <c r="AO60" s="296"/>
      <c r="AP60" s="296"/>
      <c r="AQ60" s="296"/>
      <c r="AR60" s="296"/>
      <c r="AS60" s="296"/>
      <c r="AT60" s="296"/>
      <c r="AU60" s="296"/>
      <c r="AV60" s="297"/>
      <c r="AW60" s="297"/>
      <c r="AX60" s="297"/>
      <c r="AY60" s="297"/>
      <c r="AZ60" s="297"/>
      <c r="BA60" s="297"/>
      <c r="BB60" s="297"/>
      <c r="BC60" s="297"/>
      <c r="BD60" s="297"/>
      <c r="BE60" s="297"/>
      <c r="BF60" s="297"/>
      <c r="BG60" s="297"/>
      <c r="BH60" s="297"/>
      <c r="BI60" s="297"/>
      <c r="BJ60" s="297"/>
      <c r="BK60" s="297"/>
    </row>
    <row r="61" spans="15:63" ht="16.5" customHeight="1">
      <c r="O61" s="184"/>
      <c r="P61" s="184"/>
      <c r="Q61" s="184"/>
      <c r="R61" s="184"/>
      <c r="S61" s="203"/>
      <c r="T61" s="203"/>
      <c r="U61" s="204"/>
      <c r="V61" s="204"/>
      <c r="W61" s="204"/>
      <c r="X61" s="204"/>
      <c r="Y61" s="204"/>
      <c r="Z61" s="202" t="s">
        <v>12</v>
      </c>
      <c r="AA61" s="202"/>
      <c r="AB61" s="202"/>
      <c r="AC61" s="295">
        <f>AG64</f>
        <v>144.5</v>
      </c>
      <c r="AD61" s="295"/>
      <c r="AE61" s="295"/>
      <c r="AF61" s="295"/>
      <c r="AG61" s="295">
        <f>AK64+6</f>
        <v>155.5</v>
      </c>
      <c r="AH61" s="295"/>
      <c r="AI61" s="295"/>
      <c r="AJ61" s="295"/>
      <c r="AK61" s="295">
        <f>AK64+18</f>
        <v>167.5</v>
      </c>
      <c r="AL61" s="295"/>
      <c r="AM61" s="295"/>
      <c r="AN61" s="295"/>
      <c r="AO61" s="296"/>
      <c r="AP61" s="296"/>
      <c r="AQ61" s="296"/>
      <c r="AR61" s="296"/>
      <c r="AS61" s="296"/>
      <c r="AT61" s="296"/>
      <c r="AU61" s="296"/>
      <c r="AV61" s="297"/>
      <c r="AW61" s="297"/>
      <c r="AX61" s="297"/>
      <c r="AY61" s="297"/>
      <c r="AZ61" s="297"/>
      <c r="BA61" s="297"/>
      <c r="BB61" s="297"/>
      <c r="BC61" s="297"/>
      <c r="BD61" s="297"/>
      <c r="BE61" s="297"/>
      <c r="BF61" s="297"/>
      <c r="BG61" s="297"/>
      <c r="BH61" s="297"/>
      <c r="BI61" s="297"/>
      <c r="BJ61" s="297"/>
      <c r="BK61" s="297"/>
    </row>
    <row r="62" spans="15:63" ht="16.5" customHeight="1">
      <c r="O62" s="184"/>
      <c r="P62" s="184"/>
      <c r="Q62" s="184"/>
      <c r="R62" s="184"/>
      <c r="S62" s="203"/>
      <c r="T62" s="203"/>
      <c r="U62" s="198" t="s">
        <v>97</v>
      </c>
      <c r="V62" s="198"/>
      <c r="W62" s="198"/>
      <c r="X62" s="198"/>
      <c r="Y62" s="198"/>
      <c r="Z62" s="199" t="s">
        <v>10</v>
      </c>
      <c r="AA62" s="199"/>
      <c r="AB62" s="199"/>
      <c r="AC62" s="292">
        <f>CEILING(119*1.3,0.5)</f>
        <v>155</v>
      </c>
      <c r="AD62" s="292"/>
      <c r="AE62" s="292"/>
      <c r="AF62" s="292"/>
      <c r="AG62" s="293">
        <f>AC62+5</f>
        <v>160</v>
      </c>
      <c r="AH62" s="293"/>
      <c r="AI62" s="293"/>
      <c r="AJ62" s="293"/>
      <c r="AK62" s="293">
        <f>AG62+5</f>
        <v>165</v>
      </c>
      <c r="AL62" s="293"/>
      <c r="AM62" s="293"/>
      <c r="AN62" s="293"/>
      <c r="AO62" s="290" t="s">
        <v>315</v>
      </c>
      <c r="AP62" s="290"/>
      <c r="AQ62" s="290"/>
      <c r="AR62" s="290"/>
      <c r="AS62" s="290"/>
      <c r="AT62" s="290"/>
      <c r="AU62" s="290"/>
      <c r="AV62" s="297"/>
      <c r="AW62" s="297"/>
      <c r="AX62" s="297"/>
      <c r="AY62" s="297"/>
      <c r="AZ62" s="297"/>
      <c r="BA62" s="297"/>
      <c r="BB62" s="297"/>
      <c r="BC62" s="297"/>
      <c r="BD62" s="297"/>
      <c r="BE62" s="297"/>
      <c r="BF62" s="297"/>
      <c r="BG62" s="297"/>
      <c r="BH62" s="297"/>
      <c r="BI62" s="297"/>
      <c r="BJ62" s="297"/>
      <c r="BK62" s="297"/>
    </row>
    <row r="63" spans="15:63" ht="16.5" customHeight="1">
      <c r="O63" s="184"/>
      <c r="P63" s="184"/>
      <c r="Q63" s="184"/>
      <c r="R63" s="184"/>
      <c r="S63" s="203"/>
      <c r="T63" s="203"/>
      <c r="U63" s="198"/>
      <c r="V63" s="198"/>
      <c r="W63" s="198"/>
      <c r="X63" s="198"/>
      <c r="Y63" s="198"/>
      <c r="Z63" s="199" t="s">
        <v>11</v>
      </c>
      <c r="AA63" s="199"/>
      <c r="AB63" s="199"/>
      <c r="AC63" s="291">
        <f>CEILING(AC62*0.95,0.5)</f>
        <v>147.5</v>
      </c>
      <c r="AD63" s="291"/>
      <c r="AE63" s="291"/>
      <c r="AF63" s="291"/>
      <c r="AG63" s="291">
        <f>CEILING(AG62*0.95,0.5)</f>
        <v>152</v>
      </c>
      <c r="AH63" s="291"/>
      <c r="AI63" s="291"/>
      <c r="AJ63" s="291"/>
      <c r="AK63" s="291">
        <f>CEILING(AK62*0.95,0.5)</f>
        <v>157</v>
      </c>
      <c r="AL63" s="291"/>
      <c r="AM63" s="291"/>
      <c r="AN63" s="291"/>
      <c r="AO63" s="290"/>
      <c r="AP63" s="290"/>
      <c r="AQ63" s="290"/>
      <c r="AR63" s="290"/>
      <c r="AS63" s="290"/>
      <c r="AT63" s="290"/>
      <c r="AU63" s="290"/>
      <c r="AV63" s="297"/>
      <c r="AW63" s="297"/>
      <c r="AX63" s="297"/>
      <c r="AY63" s="297"/>
      <c r="AZ63" s="297"/>
      <c r="BA63" s="297"/>
      <c r="BB63" s="297"/>
      <c r="BC63" s="297"/>
      <c r="BD63" s="297"/>
      <c r="BE63" s="297"/>
      <c r="BF63" s="297"/>
      <c r="BG63" s="297"/>
      <c r="BH63" s="297"/>
      <c r="BI63" s="297"/>
      <c r="BJ63" s="297"/>
      <c r="BK63" s="297"/>
    </row>
    <row r="64" spans="15:63" ht="16.5" customHeight="1">
      <c r="O64" s="184"/>
      <c r="P64" s="184"/>
      <c r="Q64" s="184"/>
      <c r="R64" s="184"/>
      <c r="S64" s="304"/>
      <c r="T64" s="304"/>
      <c r="U64" s="198"/>
      <c r="V64" s="198"/>
      <c r="W64" s="198"/>
      <c r="X64" s="198"/>
      <c r="Y64" s="198"/>
      <c r="Z64" s="199" t="s">
        <v>12</v>
      </c>
      <c r="AA64" s="199"/>
      <c r="AB64" s="199"/>
      <c r="AC64" s="292">
        <f>CEILING(107*1.3,0.5)</f>
        <v>139.5</v>
      </c>
      <c r="AD64" s="292"/>
      <c r="AE64" s="292"/>
      <c r="AF64" s="292"/>
      <c r="AG64" s="293">
        <f>AC64+5</f>
        <v>144.5</v>
      </c>
      <c r="AH64" s="293"/>
      <c r="AI64" s="293"/>
      <c r="AJ64" s="293"/>
      <c r="AK64" s="293">
        <f>AG64+5</f>
        <v>149.5</v>
      </c>
      <c r="AL64" s="293"/>
      <c r="AM64" s="293"/>
      <c r="AN64" s="293"/>
      <c r="AO64" s="290"/>
      <c r="AP64" s="290"/>
      <c r="AQ64" s="290"/>
      <c r="AR64" s="290"/>
      <c r="AS64" s="290"/>
      <c r="AT64" s="290"/>
      <c r="AU64" s="290"/>
      <c r="AV64" s="298"/>
      <c r="AW64" s="298"/>
      <c r="AX64" s="298"/>
      <c r="AY64" s="298"/>
      <c r="AZ64" s="298"/>
      <c r="BA64" s="298"/>
      <c r="BB64" s="298"/>
      <c r="BC64" s="298"/>
      <c r="BD64" s="298"/>
      <c r="BE64" s="298"/>
      <c r="BF64" s="298"/>
      <c r="BG64" s="298"/>
      <c r="BH64" s="298"/>
      <c r="BI64" s="298"/>
      <c r="BJ64" s="298"/>
      <c r="BK64" s="298"/>
    </row>
    <row r="65" ht="16.5" customHeight="1"/>
    <row r="66" ht="13.9" customHeight="1"/>
    <row r="67" ht="13.9" customHeight="1"/>
    <row r="68" ht="13.9" customHeight="1"/>
    <row r="69" ht="13.9" customHeight="1"/>
    <row r="70" ht="13.9" customHeight="1"/>
    <row r="71" ht="13.9"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sheetData>
  <mergeCells count="304">
    <mergeCell ref="AK62:AN62"/>
    <mergeCell ref="AO62:AU64"/>
    <mergeCell ref="Z63:AB63"/>
    <mergeCell ref="AC63:AF63"/>
    <mergeCell ref="AG63:AJ63"/>
    <mergeCell ref="AK63:AN63"/>
    <mergeCell ref="Z64:AB64"/>
    <mergeCell ref="AC64:AF64"/>
    <mergeCell ref="AG64:AJ64"/>
    <mergeCell ref="AK64:AN64"/>
    <mergeCell ref="AK59:AN59"/>
    <mergeCell ref="AO59:AU61"/>
    <mergeCell ref="Z60:AB60"/>
    <mergeCell ref="AC60:AF60"/>
    <mergeCell ref="AG60:AJ60"/>
    <mergeCell ref="AK60:AN60"/>
    <mergeCell ref="Z61:AB61"/>
    <mergeCell ref="AC61:AF61"/>
    <mergeCell ref="AG61:AJ61"/>
    <mergeCell ref="AK61:AN61"/>
    <mergeCell ref="O59:R64"/>
    <mergeCell ref="S59:T64"/>
    <mergeCell ref="U59:Y61"/>
    <mergeCell ref="Z59:AB59"/>
    <mergeCell ref="AC59:AF59"/>
    <mergeCell ref="AG59:AJ59"/>
    <mergeCell ref="U62:Y64"/>
    <mergeCell ref="Z62:AB62"/>
    <mergeCell ref="AC62:AF62"/>
    <mergeCell ref="AG62:AJ62"/>
    <mergeCell ref="AK56:AN56"/>
    <mergeCell ref="AO56:AU58"/>
    <mergeCell ref="Z57:AB57"/>
    <mergeCell ref="AC57:AF57"/>
    <mergeCell ref="AG57:AJ57"/>
    <mergeCell ref="AK57:AN57"/>
    <mergeCell ref="Z58:AB58"/>
    <mergeCell ref="AC58:AF58"/>
    <mergeCell ref="AG58:AJ58"/>
    <mergeCell ref="AK58:AN58"/>
    <mergeCell ref="AK53:AN53"/>
    <mergeCell ref="AO53:AU55"/>
    <mergeCell ref="Z54:AB54"/>
    <mergeCell ref="AC54:AF54"/>
    <mergeCell ref="AG54:AJ54"/>
    <mergeCell ref="AK54:AN54"/>
    <mergeCell ref="Z55:AB55"/>
    <mergeCell ref="AC55:AF55"/>
    <mergeCell ref="AG55:AJ55"/>
    <mergeCell ref="AK55:AN55"/>
    <mergeCell ref="O53:R58"/>
    <mergeCell ref="S53:T58"/>
    <mergeCell ref="U53:Y55"/>
    <mergeCell ref="Z53:AB53"/>
    <mergeCell ref="AC53:AF53"/>
    <mergeCell ref="AG53:AJ53"/>
    <mergeCell ref="U56:Y58"/>
    <mergeCell ref="Z56:AB56"/>
    <mergeCell ref="AC56:AF56"/>
    <mergeCell ref="AG56:AJ56"/>
    <mergeCell ref="AK50:AN50"/>
    <mergeCell ref="AO50:AU52"/>
    <mergeCell ref="Z51:AB51"/>
    <mergeCell ref="AC51:AF51"/>
    <mergeCell ref="AG51:AJ51"/>
    <mergeCell ref="AK51:AN51"/>
    <mergeCell ref="Z52:AB52"/>
    <mergeCell ref="AC52:AF52"/>
    <mergeCell ref="AG52:AJ52"/>
    <mergeCell ref="AK52:AN52"/>
    <mergeCell ref="AK47:AN47"/>
    <mergeCell ref="AO47:AU49"/>
    <mergeCell ref="Z48:AB48"/>
    <mergeCell ref="AC48:AF48"/>
    <mergeCell ref="AG48:AJ48"/>
    <mergeCell ref="AK48:AN48"/>
    <mergeCell ref="Z49:AB49"/>
    <mergeCell ref="AC49:AF49"/>
    <mergeCell ref="AG49:AJ49"/>
    <mergeCell ref="AK49:AN49"/>
    <mergeCell ref="O47:R52"/>
    <mergeCell ref="S47:T52"/>
    <mergeCell ref="U47:Y49"/>
    <mergeCell ref="Z47:AB47"/>
    <mergeCell ref="AC47:AF47"/>
    <mergeCell ref="AG47:AJ47"/>
    <mergeCell ref="U50:Y52"/>
    <mergeCell ref="Z50:AB50"/>
    <mergeCell ref="AC50:AF50"/>
    <mergeCell ref="AG50:AJ50"/>
    <mergeCell ref="AK44:AN44"/>
    <mergeCell ref="AO44:AU46"/>
    <mergeCell ref="Z45:AB45"/>
    <mergeCell ref="AC45:AF45"/>
    <mergeCell ref="AG45:AJ45"/>
    <mergeCell ref="AK45:AN45"/>
    <mergeCell ref="Z46:AB46"/>
    <mergeCell ref="AC46:AF46"/>
    <mergeCell ref="AG46:AJ46"/>
    <mergeCell ref="AK46:AN46"/>
    <mergeCell ref="AK41:AN41"/>
    <mergeCell ref="AO41:AU43"/>
    <mergeCell ref="Z42:AB42"/>
    <mergeCell ref="AC42:AF42"/>
    <mergeCell ref="AG42:AJ42"/>
    <mergeCell ref="AK42:AN42"/>
    <mergeCell ref="Z43:AB43"/>
    <mergeCell ref="AC43:AF43"/>
    <mergeCell ref="AG43:AJ43"/>
    <mergeCell ref="AK43:AN43"/>
    <mergeCell ref="O41:R46"/>
    <mergeCell ref="S41:T46"/>
    <mergeCell ref="U41:Y43"/>
    <mergeCell ref="Z41:AB41"/>
    <mergeCell ref="AC41:AF41"/>
    <mergeCell ref="AG41:AJ41"/>
    <mergeCell ref="U44:Y46"/>
    <mergeCell ref="Z44:AB44"/>
    <mergeCell ref="AC44:AF44"/>
    <mergeCell ref="AG44:AJ44"/>
    <mergeCell ref="AK38:AN38"/>
    <mergeCell ref="AO38:AU40"/>
    <mergeCell ref="Z39:AB39"/>
    <mergeCell ref="AC39:AF39"/>
    <mergeCell ref="AG39:AJ39"/>
    <mergeCell ref="AK39:AN39"/>
    <mergeCell ref="Z40:AB40"/>
    <mergeCell ref="AC40:AF40"/>
    <mergeCell ref="AG40:AJ40"/>
    <mergeCell ref="AK40:AN40"/>
    <mergeCell ref="AK35:AN35"/>
    <mergeCell ref="AO35:AU37"/>
    <mergeCell ref="Z36:AB36"/>
    <mergeCell ref="AC36:AF36"/>
    <mergeCell ref="AG36:AJ36"/>
    <mergeCell ref="AK36:AN36"/>
    <mergeCell ref="Z37:AB37"/>
    <mergeCell ref="AC37:AF37"/>
    <mergeCell ref="AG37:AJ37"/>
    <mergeCell ref="AK37:AN37"/>
    <mergeCell ref="O35:R40"/>
    <mergeCell ref="S35:T40"/>
    <mergeCell ref="U35:Y37"/>
    <mergeCell ref="Z35:AB35"/>
    <mergeCell ref="AC35:AF35"/>
    <mergeCell ref="AG35:AJ35"/>
    <mergeCell ref="U38:Y40"/>
    <mergeCell ref="Z38:AB38"/>
    <mergeCell ref="AC38:AF38"/>
    <mergeCell ref="AG38:AJ38"/>
    <mergeCell ref="AO32:AU34"/>
    <mergeCell ref="Z33:AB33"/>
    <mergeCell ref="AC33:AF33"/>
    <mergeCell ref="AG33:AJ33"/>
    <mergeCell ref="AK33:AN33"/>
    <mergeCell ref="Z34:AB34"/>
    <mergeCell ref="AC34:AF34"/>
    <mergeCell ref="AG34:AJ34"/>
    <mergeCell ref="AK34:AN34"/>
    <mergeCell ref="AC31:AF31"/>
    <mergeCell ref="AG31:AJ31"/>
    <mergeCell ref="AK31:AN31"/>
    <mergeCell ref="U32:Y34"/>
    <mergeCell ref="Z32:AB32"/>
    <mergeCell ref="AC32:AF32"/>
    <mergeCell ref="AG32:AJ32"/>
    <mergeCell ref="AK32:AN32"/>
    <mergeCell ref="AC29:AF29"/>
    <mergeCell ref="AG29:AJ29"/>
    <mergeCell ref="AK29:AN29"/>
    <mergeCell ref="U29:Y31"/>
    <mergeCell ref="Z29:AB29"/>
    <mergeCell ref="AK25:AN25"/>
    <mergeCell ref="AO29:AU31"/>
    <mergeCell ref="A19:M21"/>
    <mergeCell ref="Z30:AB30"/>
    <mergeCell ref="AC30:AF30"/>
    <mergeCell ref="AG30:AJ30"/>
    <mergeCell ref="AK30:AN30"/>
    <mergeCell ref="Z31:AB31"/>
    <mergeCell ref="AO26:AU28"/>
    <mergeCell ref="Z27:AB27"/>
    <mergeCell ref="AC27:AF27"/>
    <mergeCell ref="AG27:AJ27"/>
    <mergeCell ref="AK27:AN27"/>
    <mergeCell ref="Z28:AB28"/>
    <mergeCell ref="AC28:AF28"/>
    <mergeCell ref="AG28:AJ28"/>
    <mergeCell ref="AK28:AN28"/>
    <mergeCell ref="U26:Y28"/>
    <mergeCell ref="Z26:AB26"/>
    <mergeCell ref="AC26:AF26"/>
    <mergeCell ref="AG26:AJ26"/>
    <mergeCell ref="AK26:AN26"/>
    <mergeCell ref="O29:R34"/>
    <mergeCell ref="S29:T34"/>
    <mergeCell ref="O23:R28"/>
    <mergeCell ref="S23:T28"/>
    <mergeCell ref="U23:Y25"/>
    <mergeCell ref="Z23:AB23"/>
    <mergeCell ref="AC23:AF23"/>
    <mergeCell ref="AG23:AJ23"/>
    <mergeCell ref="AO20:AU22"/>
    <mergeCell ref="Z21:AB21"/>
    <mergeCell ref="AC21:AF21"/>
    <mergeCell ref="AG21:AJ21"/>
    <mergeCell ref="AK21:AN21"/>
    <mergeCell ref="Z22:AB22"/>
    <mergeCell ref="AC22:AF22"/>
    <mergeCell ref="AG22:AJ22"/>
    <mergeCell ref="AK22:AN22"/>
    <mergeCell ref="AK23:AN23"/>
    <mergeCell ref="AO23:AU25"/>
    <mergeCell ref="Z24:AB24"/>
    <mergeCell ref="AC24:AF24"/>
    <mergeCell ref="AG24:AJ24"/>
    <mergeCell ref="AK24:AN24"/>
    <mergeCell ref="Z25:AB25"/>
    <mergeCell ref="AC25:AF25"/>
    <mergeCell ref="AG25:AJ25"/>
    <mergeCell ref="U17:Y19"/>
    <mergeCell ref="Z17:AB17"/>
    <mergeCell ref="Z19:AB19"/>
    <mergeCell ref="AC17:AF17"/>
    <mergeCell ref="AC19:AF19"/>
    <mergeCell ref="AG19:AJ19"/>
    <mergeCell ref="AK19:AN19"/>
    <mergeCell ref="U20:Y22"/>
    <mergeCell ref="Z20:AB20"/>
    <mergeCell ref="AC20:AF20"/>
    <mergeCell ref="AG20:AJ20"/>
    <mergeCell ref="AK20:AN20"/>
    <mergeCell ref="BD11:BK64"/>
    <mergeCell ref="A12:G12"/>
    <mergeCell ref="H12:M12"/>
    <mergeCell ref="Z12:AB12"/>
    <mergeCell ref="AC12:AF12"/>
    <mergeCell ref="AG12:AJ12"/>
    <mergeCell ref="AK12:AN12"/>
    <mergeCell ref="A13:G13"/>
    <mergeCell ref="H13:M13"/>
    <mergeCell ref="Z13:AB13"/>
    <mergeCell ref="Z11:AB11"/>
    <mergeCell ref="AC11:AF11"/>
    <mergeCell ref="AG11:AJ11"/>
    <mergeCell ref="AK11:AN11"/>
    <mergeCell ref="AO11:AU13"/>
    <mergeCell ref="AV11:BC64"/>
    <mergeCell ref="AC13:AF13"/>
    <mergeCell ref="AG13:AJ13"/>
    <mergeCell ref="AK13:AN13"/>
    <mergeCell ref="Z16:AB16"/>
    <mergeCell ref="AC16:AF16"/>
    <mergeCell ref="AG16:AJ16"/>
    <mergeCell ref="AK16:AN16"/>
    <mergeCell ref="U14:Y16"/>
    <mergeCell ref="A11:G11"/>
    <mergeCell ref="H11:M11"/>
    <mergeCell ref="O11:R16"/>
    <mergeCell ref="S11:T16"/>
    <mergeCell ref="U11:Y13"/>
    <mergeCell ref="AO14:AU16"/>
    <mergeCell ref="Z15:AB15"/>
    <mergeCell ref="AC15:AF15"/>
    <mergeCell ref="AG15:AJ15"/>
    <mergeCell ref="AK15:AN15"/>
    <mergeCell ref="Z14:AB14"/>
    <mergeCell ref="AC14:AF14"/>
    <mergeCell ref="AG14:AJ14"/>
    <mergeCell ref="AK14:AN14"/>
    <mergeCell ref="A15:M18"/>
    <mergeCell ref="AG17:AJ17"/>
    <mergeCell ref="AK17:AN17"/>
    <mergeCell ref="AO17:AU19"/>
    <mergeCell ref="Z18:AB18"/>
    <mergeCell ref="AC18:AF18"/>
    <mergeCell ref="AG18:AJ18"/>
    <mergeCell ref="AK18:AN18"/>
    <mergeCell ref="O17:R22"/>
    <mergeCell ref="S17:T22"/>
    <mergeCell ref="AG10:AJ10"/>
    <mergeCell ref="AK10:AN10"/>
    <mergeCell ref="AO10:AU10"/>
    <mergeCell ref="AV10:BC10"/>
    <mergeCell ref="AK4:AM4"/>
    <mergeCell ref="AN4:AW4"/>
    <mergeCell ref="AK5:AM5"/>
    <mergeCell ref="AN5:AW5"/>
    <mergeCell ref="AK6:AM6"/>
    <mergeCell ref="AN6:AW6"/>
    <mergeCell ref="AK7:AM7"/>
    <mergeCell ref="AN7:AW7"/>
    <mergeCell ref="AX4:AZ4"/>
    <mergeCell ref="BA4:BJ4"/>
    <mergeCell ref="BD10:BK10"/>
    <mergeCell ref="A4:K5"/>
    <mergeCell ref="L4:AE7"/>
    <mergeCell ref="A6:K7"/>
    <mergeCell ref="H10:M10"/>
    <mergeCell ref="O10:R10"/>
    <mergeCell ref="S10:T10"/>
    <mergeCell ref="U10:Y10"/>
    <mergeCell ref="Z10:AB10"/>
    <mergeCell ref="AC10:AF10"/>
  </mergeCells>
  <phoneticPr fontId="2"/>
  <pageMargins left="0.39370078740157483" right="0.39370078740157483" top="0.59055118110236227" bottom="0.39370078740157483" header="0.51181102362204722" footer="0.19685039370078741"/>
  <pageSetup paperSize="9" scale="75" firstPageNumber="15" orientation="portrait" useFirstPageNumber="1" r:id="rId1"/>
  <headerFooter alignWithMargins="0">
    <oddFooter>&amp;C20260511臨時改定価格_SP_和紙雲竜・金銀和紙・クラフト（単袋）&amp;R&amp;P/&amp;N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E90E-315E-4319-AB3A-544FBDFEF0EE}">
  <sheetPr>
    <tabColor indexed="10"/>
  </sheetPr>
  <dimension ref="A1:BK366"/>
  <sheetViews>
    <sheetView view="pageBreakPreview" zoomScaleSheetLayoutView="100" workbookViewId="0">
      <selection activeCell="BS8" sqref="BS8"/>
    </sheetView>
  </sheetViews>
  <sheetFormatPr defaultColWidth="8.875" defaultRowHeight="13.5"/>
  <cols>
    <col min="1" max="68" width="1.625" style="1" customWidth="1"/>
    <col min="69"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3" ht="16.5" customHeight="1">
      <c r="A3" s="109" t="s">
        <v>0</v>
      </c>
      <c r="B3" s="110"/>
      <c r="C3" s="110"/>
      <c r="D3" s="110"/>
      <c r="E3" s="110"/>
      <c r="F3" s="110"/>
      <c r="G3" s="110"/>
      <c r="H3" s="110"/>
      <c r="I3" s="110"/>
      <c r="J3" s="110"/>
      <c r="K3" s="172"/>
      <c r="L3" s="123" t="s">
        <v>135</v>
      </c>
      <c r="M3" s="124"/>
      <c r="N3" s="124"/>
      <c r="O3" s="124"/>
      <c r="P3" s="124"/>
      <c r="Q3" s="124"/>
      <c r="R3" s="124"/>
      <c r="S3" s="124"/>
      <c r="T3" s="124"/>
      <c r="U3" s="124"/>
      <c r="V3" s="124"/>
      <c r="W3" s="124"/>
      <c r="X3" s="124"/>
      <c r="Y3" s="124"/>
      <c r="Z3" s="124"/>
      <c r="AA3" s="124"/>
      <c r="AB3" s="124"/>
      <c r="AC3" s="124"/>
      <c r="AD3" s="124"/>
      <c r="AE3" s="124"/>
      <c r="AF3" s="4"/>
      <c r="AG3" s="4"/>
      <c r="AH3" s="4"/>
      <c r="AI3" s="19"/>
      <c r="AJ3" s="19"/>
      <c r="AK3" s="19"/>
    </row>
    <row r="4" spans="1:63" ht="16.5" customHeight="1">
      <c r="A4" s="111"/>
      <c r="B4" s="112"/>
      <c r="C4" s="112"/>
      <c r="D4" s="112"/>
      <c r="E4" s="112"/>
      <c r="F4" s="112"/>
      <c r="G4" s="112"/>
      <c r="H4" s="112"/>
      <c r="I4" s="112"/>
      <c r="J4" s="112"/>
      <c r="K4" s="173"/>
      <c r="L4" s="125"/>
      <c r="M4" s="126"/>
      <c r="N4" s="126"/>
      <c r="O4" s="126"/>
      <c r="P4" s="126"/>
      <c r="Q4" s="126"/>
      <c r="R4" s="126"/>
      <c r="S4" s="126"/>
      <c r="T4" s="126"/>
      <c r="U4" s="126"/>
      <c r="V4" s="126"/>
      <c r="W4" s="126"/>
      <c r="X4" s="126"/>
      <c r="Y4" s="126"/>
      <c r="Z4" s="126"/>
      <c r="AA4" s="126"/>
      <c r="AB4" s="126"/>
      <c r="AC4" s="126"/>
      <c r="AD4" s="126"/>
      <c r="AE4" s="126"/>
      <c r="AF4" s="4"/>
      <c r="AG4" s="4"/>
      <c r="AH4" s="4"/>
      <c r="AI4" s="19"/>
      <c r="AJ4" s="19"/>
      <c r="AK4" s="19"/>
    </row>
    <row r="5" spans="1:63" ht="16.5" customHeight="1">
      <c r="A5" s="180" t="s">
        <v>2</v>
      </c>
      <c r="B5" s="181"/>
      <c r="C5" s="181"/>
      <c r="D5" s="181"/>
      <c r="E5" s="181"/>
      <c r="F5" s="181"/>
      <c r="G5" s="181"/>
      <c r="H5" s="181"/>
      <c r="I5" s="181"/>
      <c r="J5" s="181"/>
      <c r="K5" s="182"/>
      <c r="L5" s="125"/>
      <c r="M5" s="126"/>
      <c r="N5" s="126"/>
      <c r="O5" s="126"/>
      <c r="P5" s="126"/>
      <c r="Q5" s="126"/>
      <c r="R5" s="126"/>
      <c r="S5" s="126"/>
      <c r="T5" s="126"/>
      <c r="U5" s="126"/>
      <c r="V5" s="126"/>
      <c r="W5" s="126"/>
      <c r="X5" s="126"/>
      <c r="Y5" s="126"/>
      <c r="Z5" s="126"/>
      <c r="AA5" s="126"/>
      <c r="AB5" s="126"/>
      <c r="AC5" s="126"/>
      <c r="AD5" s="126"/>
      <c r="AE5" s="126"/>
      <c r="AF5" s="4"/>
      <c r="AG5" s="4"/>
      <c r="AH5" s="4"/>
      <c r="AI5" s="19"/>
      <c r="AJ5" s="19"/>
      <c r="AK5" s="19"/>
    </row>
    <row r="6" spans="1:63" ht="16.5" customHeight="1">
      <c r="A6" s="106"/>
      <c r="B6" s="107"/>
      <c r="C6" s="107"/>
      <c r="D6" s="107"/>
      <c r="E6" s="107"/>
      <c r="F6" s="107"/>
      <c r="G6" s="107"/>
      <c r="H6" s="107"/>
      <c r="I6" s="107"/>
      <c r="J6" s="107"/>
      <c r="K6" s="108"/>
      <c r="L6" s="127"/>
      <c r="M6" s="128"/>
      <c r="N6" s="128"/>
      <c r="O6" s="128"/>
      <c r="P6" s="128"/>
      <c r="Q6" s="128"/>
      <c r="R6" s="128"/>
      <c r="S6" s="128"/>
      <c r="T6" s="128"/>
      <c r="U6" s="128"/>
      <c r="V6" s="128"/>
      <c r="W6" s="128"/>
      <c r="X6" s="128"/>
      <c r="Y6" s="128"/>
      <c r="Z6" s="128"/>
      <c r="AA6" s="128"/>
      <c r="AB6" s="128"/>
      <c r="AC6" s="128"/>
      <c r="AD6" s="128"/>
      <c r="AE6" s="128"/>
      <c r="AF6" s="4"/>
      <c r="AG6" s="4"/>
      <c r="AH6" s="4"/>
      <c r="AI6" s="19"/>
      <c r="AJ6" s="19"/>
      <c r="AK6" s="19"/>
    </row>
    <row r="7" spans="1:63" ht="16.5" customHeight="1">
      <c r="O7" s="12"/>
      <c r="P7" s="14"/>
      <c r="Q7" s="14"/>
      <c r="R7" s="14"/>
      <c r="S7" s="14"/>
      <c r="T7" s="14"/>
      <c r="U7" s="14"/>
      <c r="V7" s="14"/>
      <c r="W7" s="14"/>
      <c r="X7" s="14"/>
      <c r="Y7" s="14"/>
      <c r="Z7" s="14"/>
    </row>
    <row r="8" spans="1:63" ht="16.5" customHeight="1">
      <c r="A8" s="119">
        <v>836</v>
      </c>
      <c r="B8" s="119"/>
      <c r="C8" s="140" t="s">
        <v>136</v>
      </c>
      <c r="D8" s="140"/>
      <c r="E8" s="140"/>
      <c r="F8" s="140"/>
      <c r="G8" s="140"/>
      <c r="H8" s="140"/>
      <c r="I8" s="140"/>
      <c r="J8" s="119">
        <v>877</v>
      </c>
      <c r="K8" s="119"/>
      <c r="L8" s="140" t="s">
        <v>137</v>
      </c>
      <c r="M8" s="140"/>
      <c r="N8" s="140"/>
      <c r="O8" s="140"/>
      <c r="P8" s="140"/>
      <c r="Q8" s="140"/>
      <c r="R8" s="140"/>
      <c r="S8" s="305">
        <v>918</v>
      </c>
      <c r="T8" s="306"/>
      <c r="U8" s="307" t="s">
        <v>138</v>
      </c>
      <c r="V8" s="308"/>
      <c r="W8" s="308"/>
      <c r="X8" s="308"/>
      <c r="Y8" s="308"/>
      <c r="Z8" s="308"/>
      <c r="AA8" s="309"/>
      <c r="AB8" s="305">
        <v>939</v>
      </c>
      <c r="AC8" s="306"/>
      <c r="AD8" s="307" t="s">
        <v>139</v>
      </c>
      <c r="AE8" s="308"/>
      <c r="AF8" s="308"/>
      <c r="AG8" s="308"/>
      <c r="AH8" s="308"/>
      <c r="AI8" s="308"/>
      <c r="AJ8" s="309"/>
      <c r="AK8" s="119">
        <v>963</v>
      </c>
      <c r="AL8" s="119"/>
      <c r="AM8" s="140" t="s">
        <v>140</v>
      </c>
      <c r="AN8" s="140"/>
      <c r="AO8" s="140"/>
      <c r="AP8" s="140"/>
      <c r="AQ8" s="140"/>
      <c r="AR8" s="140"/>
      <c r="AS8" s="140"/>
      <c r="AT8" s="119">
        <v>984</v>
      </c>
      <c r="AU8" s="119"/>
      <c r="AV8" s="140" t="s">
        <v>141</v>
      </c>
      <c r="AW8" s="140"/>
      <c r="AX8" s="140"/>
      <c r="AY8" s="140"/>
      <c r="AZ8" s="140"/>
      <c r="BA8" s="140"/>
      <c r="BB8" s="140"/>
      <c r="BC8" s="119">
        <v>1020</v>
      </c>
      <c r="BD8" s="119"/>
      <c r="BE8" s="140" t="s">
        <v>142</v>
      </c>
      <c r="BF8" s="140"/>
      <c r="BG8" s="140"/>
      <c r="BH8" s="140"/>
      <c r="BI8" s="140"/>
      <c r="BJ8" s="140"/>
      <c r="BK8" s="140"/>
    </row>
    <row r="9" spans="1:63" ht="16.5" customHeight="1">
      <c r="A9" s="141">
        <v>837</v>
      </c>
      <c r="B9" s="141"/>
      <c r="C9" s="142" t="s">
        <v>143</v>
      </c>
      <c r="D9" s="142"/>
      <c r="E9" s="142"/>
      <c r="F9" s="142"/>
      <c r="G9" s="142"/>
      <c r="H9" s="142"/>
      <c r="I9" s="142"/>
      <c r="J9" s="141">
        <v>885</v>
      </c>
      <c r="K9" s="141"/>
      <c r="L9" s="142" t="s">
        <v>144</v>
      </c>
      <c r="M9" s="142"/>
      <c r="N9" s="142"/>
      <c r="O9" s="142"/>
      <c r="P9" s="142"/>
      <c r="Q9" s="142"/>
      <c r="R9" s="142"/>
      <c r="S9" s="143">
        <v>921</v>
      </c>
      <c r="T9" s="144"/>
      <c r="U9" s="145" t="s">
        <v>145</v>
      </c>
      <c r="V9" s="146"/>
      <c r="W9" s="146"/>
      <c r="X9" s="146"/>
      <c r="Y9" s="146"/>
      <c r="Z9" s="146"/>
      <c r="AA9" s="147"/>
      <c r="AB9" s="141">
        <v>940</v>
      </c>
      <c r="AC9" s="141"/>
      <c r="AD9" s="142" t="s">
        <v>146</v>
      </c>
      <c r="AE9" s="142"/>
      <c r="AF9" s="142"/>
      <c r="AG9" s="142"/>
      <c r="AH9" s="142"/>
      <c r="AI9" s="142"/>
      <c r="AJ9" s="142"/>
      <c r="AK9" s="141">
        <v>968</v>
      </c>
      <c r="AL9" s="141"/>
      <c r="AM9" s="142" t="s">
        <v>147</v>
      </c>
      <c r="AN9" s="142"/>
      <c r="AO9" s="142"/>
      <c r="AP9" s="142"/>
      <c r="AQ9" s="142"/>
      <c r="AR9" s="142"/>
      <c r="AS9" s="142"/>
      <c r="AT9" s="141">
        <v>986</v>
      </c>
      <c r="AU9" s="141"/>
      <c r="AV9" s="142" t="s">
        <v>148</v>
      </c>
      <c r="AW9" s="142"/>
      <c r="AX9" s="142"/>
      <c r="AY9" s="142"/>
      <c r="AZ9" s="142"/>
      <c r="BA9" s="142"/>
      <c r="BB9" s="142"/>
      <c r="BC9" s="141">
        <v>1021</v>
      </c>
      <c r="BD9" s="141"/>
      <c r="BE9" s="142" t="s">
        <v>149</v>
      </c>
      <c r="BF9" s="142"/>
      <c r="BG9" s="142"/>
      <c r="BH9" s="142"/>
      <c r="BI9" s="142"/>
      <c r="BJ9" s="142"/>
      <c r="BK9" s="142"/>
    </row>
    <row r="10" spans="1:63" ht="16.5" customHeight="1">
      <c r="A10" s="141">
        <v>838</v>
      </c>
      <c r="B10" s="141"/>
      <c r="C10" s="142" t="s">
        <v>150</v>
      </c>
      <c r="D10" s="142"/>
      <c r="E10" s="142"/>
      <c r="F10" s="142"/>
      <c r="G10" s="142"/>
      <c r="H10" s="142"/>
      <c r="I10" s="142"/>
      <c r="J10" s="141">
        <v>886</v>
      </c>
      <c r="K10" s="141"/>
      <c r="L10" s="142" t="s">
        <v>151</v>
      </c>
      <c r="M10" s="142"/>
      <c r="N10" s="142"/>
      <c r="O10" s="142"/>
      <c r="P10" s="142"/>
      <c r="Q10" s="142"/>
      <c r="R10" s="142"/>
      <c r="S10" s="141">
        <v>922</v>
      </c>
      <c r="T10" s="141"/>
      <c r="U10" s="142" t="s">
        <v>152</v>
      </c>
      <c r="V10" s="142"/>
      <c r="W10" s="142"/>
      <c r="X10" s="142"/>
      <c r="Y10" s="142"/>
      <c r="Z10" s="142"/>
      <c r="AA10" s="142"/>
      <c r="AB10" s="141">
        <v>941</v>
      </c>
      <c r="AC10" s="141"/>
      <c r="AD10" s="142" t="s">
        <v>153</v>
      </c>
      <c r="AE10" s="142"/>
      <c r="AF10" s="142"/>
      <c r="AG10" s="142"/>
      <c r="AH10" s="142"/>
      <c r="AI10" s="142"/>
      <c r="AJ10" s="142"/>
      <c r="AK10" s="141">
        <v>971</v>
      </c>
      <c r="AL10" s="141"/>
      <c r="AM10" s="142" t="s">
        <v>154</v>
      </c>
      <c r="AN10" s="142"/>
      <c r="AO10" s="142"/>
      <c r="AP10" s="142"/>
      <c r="AQ10" s="142"/>
      <c r="AR10" s="142"/>
      <c r="AS10" s="142"/>
      <c r="AT10" s="141">
        <v>988</v>
      </c>
      <c r="AU10" s="141"/>
      <c r="AV10" s="142" t="s">
        <v>155</v>
      </c>
      <c r="AW10" s="142"/>
      <c r="AX10" s="142"/>
      <c r="AY10" s="142"/>
      <c r="AZ10" s="142"/>
      <c r="BA10" s="142"/>
      <c r="BB10" s="142"/>
      <c r="BC10" s="121">
        <v>1022</v>
      </c>
      <c r="BD10" s="121"/>
      <c r="BE10" s="310" t="s">
        <v>156</v>
      </c>
      <c r="BF10" s="310"/>
      <c r="BG10" s="310"/>
      <c r="BH10" s="310"/>
      <c r="BI10" s="310"/>
      <c r="BJ10" s="310"/>
      <c r="BK10" s="310"/>
    </row>
    <row r="11" spans="1:63" ht="16.5" customHeight="1">
      <c r="A11" s="141">
        <v>844</v>
      </c>
      <c r="B11" s="141"/>
      <c r="C11" s="142" t="s">
        <v>157</v>
      </c>
      <c r="D11" s="142"/>
      <c r="E11" s="142"/>
      <c r="F11" s="142"/>
      <c r="G11" s="142"/>
      <c r="H11" s="142"/>
      <c r="I11" s="142"/>
      <c r="J11" s="141">
        <v>887</v>
      </c>
      <c r="K11" s="141"/>
      <c r="L11" s="142" t="s">
        <v>158</v>
      </c>
      <c r="M11" s="142"/>
      <c r="N11" s="142"/>
      <c r="O11" s="142"/>
      <c r="P11" s="142"/>
      <c r="Q11" s="142"/>
      <c r="R11" s="142"/>
      <c r="S11" s="141">
        <v>925</v>
      </c>
      <c r="T11" s="141"/>
      <c r="U11" s="142" t="s">
        <v>159</v>
      </c>
      <c r="V11" s="142"/>
      <c r="W11" s="142"/>
      <c r="X11" s="142"/>
      <c r="Y11" s="142"/>
      <c r="Z11" s="142"/>
      <c r="AA11" s="142"/>
      <c r="AB11" s="143">
        <v>942</v>
      </c>
      <c r="AC11" s="144"/>
      <c r="AD11" s="145" t="s">
        <v>160</v>
      </c>
      <c r="AE11" s="146"/>
      <c r="AF11" s="146"/>
      <c r="AG11" s="146"/>
      <c r="AH11" s="146"/>
      <c r="AI11" s="146"/>
      <c r="AJ11" s="147"/>
      <c r="AK11" s="141">
        <v>972</v>
      </c>
      <c r="AL11" s="141"/>
      <c r="AM11" s="142" t="s">
        <v>161</v>
      </c>
      <c r="AN11" s="142"/>
      <c r="AO11" s="142"/>
      <c r="AP11" s="142"/>
      <c r="AQ11" s="142"/>
      <c r="AR11" s="142"/>
      <c r="AS11" s="142"/>
      <c r="AT11" s="141">
        <v>993</v>
      </c>
      <c r="AU11" s="141"/>
      <c r="AV11" s="142" t="s">
        <v>162</v>
      </c>
      <c r="AW11" s="142"/>
      <c r="AX11" s="142"/>
      <c r="AY11" s="142"/>
      <c r="AZ11" s="142"/>
      <c r="BA11" s="142"/>
      <c r="BB11" s="142"/>
      <c r="BC11" s="141">
        <v>1023</v>
      </c>
      <c r="BD11" s="141"/>
      <c r="BE11" s="142" t="s">
        <v>163</v>
      </c>
      <c r="BF11" s="142"/>
      <c r="BG11" s="142"/>
      <c r="BH11" s="142"/>
      <c r="BI11" s="142"/>
      <c r="BJ11" s="142"/>
      <c r="BK11" s="142"/>
    </row>
    <row r="12" spans="1:63" ht="16.5" customHeight="1">
      <c r="A12" s="141">
        <v>847</v>
      </c>
      <c r="B12" s="141"/>
      <c r="C12" s="142" t="s">
        <v>164</v>
      </c>
      <c r="D12" s="142"/>
      <c r="E12" s="142"/>
      <c r="F12" s="142"/>
      <c r="G12" s="142"/>
      <c r="H12" s="142"/>
      <c r="I12" s="142"/>
      <c r="J12" s="141">
        <v>888</v>
      </c>
      <c r="K12" s="141"/>
      <c r="L12" s="142" t="s">
        <v>165</v>
      </c>
      <c r="M12" s="142"/>
      <c r="N12" s="142"/>
      <c r="O12" s="142"/>
      <c r="P12" s="142"/>
      <c r="Q12" s="142"/>
      <c r="R12" s="142"/>
      <c r="S12" s="143">
        <v>930</v>
      </c>
      <c r="T12" s="144"/>
      <c r="U12" s="145" t="s">
        <v>166</v>
      </c>
      <c r="V12" s="146"/>
      <c r="W12" s="146"/>
      <c r="X12" s="146"/>
      <c r="Y12" s="146"/>
      <c r="Z12" s="146"/>
      <c r="AA12" s="147"/>
      <c r="AB12" s="143">
        <v>944</v>
      </c>
      <c r="AC12" s="144"/>
      <c r="AD12" s="145" t="s">
        <v>167</v>
      </c>
      <c r="AE12" s="146"/>
      <c r="AF12" s="146"/>
      <c r="AG12" s="146"/>
      <c r="AH12" s="146"/>
      <c r="AI12" s="146"/>
      <c r="AJ12" s="147"/>
      <c r="AK12" s="141">
        <v>974</v>
      </c>
      <c r="AL12" s="141"/>
      <c r="AM12" s="142" t="s">
        <v>168</v>
      </c>
      <c r="AN12" s="142"/>
      <c r="AO12" s="142"/>
      <c r="AP12" s="142"/>
      <c r="AQ12" s="142"/>
      <c r="AR12" s="142"/>
      <c r="AS12" s="142"/>
      <c r="AT12" s="141">
        <v>1017</v>
      </c>
      <c r="AU12" s="141"/>
      <c r="AV12" s="142" t="s">
        <v>169</v>
      </c>
      <c r="AW12" s="142"/>
      <c r="AX12" s="142"/>
      <c r="AY12" s="142"/>
      <c r="AZ12" s="142"/>
      <c r="BA12" s="142"/>
      <c r="BB12" s="142"/>
      <c r="BC12" s="141">
        <v>1024</v>
      </c>
      <c r="BD12" s="141"/>
      <c r="BE12" s="142" t="s">
        <v>170</v>
      </c>
      <c r="BF12" s="142"/>
      <c r="BG12" s="142"/>
      <c r="BH12" s="142"/>
      <c r="BI12" s="142"/>
      <c r="BJ12" s="142"/>
      <c r="BK12" s="142"/>
    </row>
    <row r="13" spans="1:63" ht="16.5" customHeight="1">
      <c r="A13" s="141">
        <v>849</v>
      </c>
      <c r="B13" s="141"/>
      <c r="C13" s="142" t="s">
        <v>171</v>
      </c>
      <c r="D13" s="142"/>
      <c r="E13" s="142"/>
      <c r="F13" s="142"/>
      <c r="G13" s="142"/>
      <c r="H13" s="142"/>
      <c r="I13" s="142"/>
      <c r="J13" s="143">
        <v>912</v>
      </c>
      <c r="K13" s="144"/>
      <c r="L13" s="145" t="s">
        <v>172</v>
      </c>
      <c r="M13" s="146"/>
      <c r="N13" s="146"/>
      <c r="O13" s="146"/>
      <c r="P13" s="146"/>
      <c r="Q13" s="146"/>
      <c r="R13" s="147"/>
      <c r="S13" s="143">
        <v>937</v>
      </c>
      <c r="T13" s="144"/>
      <c r="U13" s="145" t="s">
        <v>173</v>
      </c>
      <c r="V13" s="146"/>
      <c r="W13" s="146"/>
      <c r="X13" s="146"/>
      <c r="Y13" s="146"/>
      <c r="Z13" s="146"/>
      <c r="AA13" s="147"/>
      <c r="AB13" s="141">
        <v>948</v>
      </c>
      <c r="AC13" s="141"/>
      <c r="AD13" s="142" t="s">
        <v>174</v>
      </c>
      <c r="AE13" s="142"/>
      <c r="AF13" s="142"/>
      <c r="AG13" s="142"/>
      <c r="AH13" s="142"/>
      <c r="AI13" s="142"/>
      <c r="AJ13" s="142"/>
      <c r="AK13" s="141">
        <v>976</v>
      </c>
      <c r="AL13" s="141"/>
      <c r="AM13" s="142" t="s">
        <v>175</v>
      </c>
      <c r="AN13" s="142"/>
      <c r="AO13" s="142"/>
      <c r="AP13" s="142"/>
      <c r="AQ13" s="142"/>
      <c r="AR13" s="142"/>
      <c r="AS13" s="142"/>
      <c r="AT13" s="141">
        <v>1018</v>
      </c>
      <c r="AU13" s="141"/>
      <c r="AV13" s="142" t="s">
        <v>176</v>
      </c>
      <c r="AW13" s="142"/>
      <c r="AX13" s="142"/>
      <c r="AY13" s="142"/>
      <c r="AZ13" s="142"/>
      <c r="BA13" s="142"/>
      <c r="BB13" s="142"/>
      <c r="BC13" s="151">
        <v>1025</v>
      </c>
      <c r="BD13" s="151"/>
      <c r="BE13" s="152" t="s">
        <v>177</v>
      </c>
      <c r="BF13" s="152"/>
      <c r="BG13" s="152"/>
      <c r="BH13" s="152"/>
      <c r="BI13" s="152"/>
      <c r="BJ13" s="152"/>
      <c r="BK13" s="152"/>
    </row>
    <row r="14" spans="1:63" ht="16.5" customHeight="1">
      <c r="A14" s="151">
        <v>876</v>
      </c>
      <c r="B14" s="151"/>
      <c r="C14" s="152" t="s">
        <v>178</v>
      </c>
      <c r="D14" s="152"/>
      <c r="E14" s="152"/>
      <c r="F14" s="152"/>
      <c r="G14" s="152"/>
      <c r="H14" s="152"/>
      <c r="I14" s="152"/>
      <c r="J14" s="153">
        <v>917</v>
      </c>
      <c r="K14" s="154"/>
      <c r="L14" s="311" t="s">
        <v>179</v>
      </c>
      <c r="M14" s="312"/>
      <c r="N14" s="312"/>
      <c r="O14" s="312"/>
      <c r="P14" s="312"/>
      <c r="Q14" s="312"/>
      <c r="R14" s="313"/>
      <c r="S14" s="153">
        <v>938</v>
      </c>
      <c r="T14" s="154"/>
      <c r="U14" s="311" t="s">
        <v>180</v>
      </c>
      <c r="V14" s="312"/>
      <c r="W14" s="312"/>
      <c r="X14" s="312"/>
      <c r="Y14" s="312"/>
      <c r="Z14" s="312"/>
      <c r="AA14" s="313"/>
      <c r="AB14" s="151">
        <v>959</v>
      </c>
      <c r="AC14" s="151"/>
      <c r="AD14" s="152" t="s">
        <v>181</v>
      </c>
      <c r="AE14" s="152"/>
      <c r="AF14" s="152"/>
      <c r="AG14" s="152"/>
      <c r="AH14" s="152"/>
      <c r="AI14" s="152"/>
      <c r="AJ14" s="152"/>
      <c r="AK14" s="151">
        <v>982</v>
      </c>
      <c r="AL14" s="151"/>
      <c r="AM14" s="152" t="s">
        <v>182</v>
      </c>
      <c r="AN14" s="152"/>
      <c r="AO14" s="152"/>
      <c r="AP14" s="152"/>
      <c r="AQ14" s="152"/>
      <c r="AR14" s="152"/>
      <c r="AS14" s="152"/>
      <c r="AT14" s="151">
        <v>1019</v>
      </c>
      <c r="AU14" s="151"/>
      <c r="AV14" s="152" t="s">
        <v>183</v>
      </c>
      <c r="AW14" s="152"/>
      <c r="AX14" s="152"/>
      <c r="AY14" s="152"/>
      <c r="AZ14" s="152"/>
      <c r="BA14" s="152"/>
      <c r="BB14" s="152"/>
    </row>
    <row r="15" spans="1:63" ht="16.5" customHeight="1"/>
    <row r="16" spans="1:63" ht="16.5" customHeight="1">
      <c r="A16" s="98" t="s">
        <v>3</v>
      </c>
      <c r="B16" s="98"/>
      <c r="C16" s="98"/>
      <c r="D16" s="98"/>
      <c r="E16" s="98"/>
      <c r="F16" s="155" t="s">
        <v>4</v>
      </c>
      <c r="G16" s="155"/>
      <c r="H16" s="155"/>
      <c r="I16" s="98" t="s">
        <v>5</v>
      </c>
      <c r="J16" s="98"/>
      <c r="K16" s="98"/>
      <c r="L16" s="98"/>
      <c r="M16" s="98"/>
      <c r="N16" s="98"/>
      <c r="O16" s="98"/>
      <c r="P16" s="98" t="s">
        <v>6</v>
      </c>
      <c r="Q16" s="98"/>
      <c r="R16" s="98"/>
      <c r="S16" s="98"/>
      <c r="T16" s="98" t="s">
        <v>7</v>
      </c>
      <c r="U16" s="98"/>
      <c r="V16" s="98"/>
      <c r="W16" s="98"/>
      <c r="X16" s="98" t="s">
        <v>8</v>
      </c>
      <c r="Y16" s="98"/>
      <c r="Z16" s="98"/>
      <c r="AA16" s="98"/>
      <c r="AB16" s="98" t="s">
        <v>52</v>
      </c>
      <c r="AC16" s="98"/>
      <c r="AD16" s="98"/>
      <c r="AE16" s="98"/>
      <c r="AG16" s="98" t="s">
        <v>3</v>
      </c>
      <c r="AH16" s="98"/>
      <c r="AI16" s="98"/>
      <c r="AJ16" s="98"/>
      <c r="AK16" s="98"/>
      <c r="AL16" s="155" t="s">
        <v>4</v>
      </c>
      <c r="AM16" s="155"/>
      <c r="AN16" s="155"/>
      <c r="AO16" s="98" t="s">
        <v>5</v>
      </c>
      <c r="AP16" s="98"/>
      <c r="AQ16" s="98"/>
      <c r="AR16" s="98"/>
      <c r="AS16" s="98"/>
      <c r="AT16" s="98"/>
      <c r="AU16" s="98"/>
      <c r="AV16" s="98" t="s">
        <v>6</v>
      </c>
      <c r="AW16" s="98"/>
      <c r="AX16" s="98"/>
      <c r="AY16" s="98"/>
      <c r="AZ16" s="98" t="s">
        <v>7</v>
      </c>
      <c r="BA16" s="98"/>
      <c r="BB16" s="98"/>
      <c r="BC16" s="98"/>
      <c r="BD16" s="98" t="s">
        <v>8</v>
      </c>
      <c r="BE16" s="98"/>
      <c r="BF16" s="98"/>
      <c r="BG16" s="98"/>
      <c r="BH16" s="98" t="s">
        <v>52</v>
      </c>
      <c r="BI16" s="98"/>
      <c r="BJ16" s="98"/>
      <c r="BK16" s="98"/>
    </row>
    <row r="17" spans="1:63" ht="16.5" customHeight="1">
      <c r="A17" s="163">
        <v>971</v>
      </c>
      <c r="B17" s="163"/>
      <c r="C17" s="163"/>
      <c r="D17" s="163"/>
      <c r="E17" s="163"/>
      <c r="F17" s="94">
        <v>1</v>
      </c>
      <c r="G17" s="94"/>
      <c r="H17" s="94"/>
      <c r="I17" s="95" t="s">
        <v>9</v>
      </c>
      <c r="J17" s="95"/>
      <c r="K17" s="95"/>
      <c r="L17" s="95"/>
      <c r="M17" s="95"/>
      <c r="N17" s="100" t="s">
        <v>184</v>
      </c>
      <c r="O17" s="100"/>
      <c r="P17" s="99">
        <f>P29+25</f>
        <v>185</v>
      </c>
      <c r="Q17" s="99"/>
      <c r="R17" s="99"/>
      <c r="S17" s="99"/>
      <c r="T17" s="99">
        <f>P17+30</f>
        <v>215</v>
      </c>
      <c r="U17" s="99"/>
      <c r="V17" s="99"/>
      <c r="W17" s="99"/>
      <c r="X17" s="99">
        <f>T17+30</f>
        <v>245</v>
      </c>
      <c r="Y17" s="99"/>
      <c r="Z17" s="99"/>
      <c r="AA17" s="99"/>
      <c r="AB17" s="99">
        <f>X17+30</f>
        <v>275</v>
      </c>
      <c r="AC17" s="99"/>
      <c r="AD17" s="99"/>
      <c r="AE17" s="99"/>
      <c r="AG17" s="163">
        <v>971</v>
      </c>
      <c r="AH17" s="163"/>
      <c r="AI17" s="163"/>
      <c r="AJ17" s="163"/>
      <c r="AK17" s="163"/>
      <c r="AL17" s="314" t="s">
        <v>185</v>
      </c>
      <c r="AM17" s="314"/>
      <c r="AN17" s="314"/>
      <c r="AO17" s="95" t="s">
        <v>9</v>
      </c>
      <c r="AP17" s="95"/>
      <c r="AQ17" s="95"/>
      <c r="AR17" s="95"/>
      <c r="AS17" s="95"/>
      <c r="AT17" s="100" t="s">
        <v>184</v>
      </c>
      <c r="AU17" s="100"/>
      <c r="AV17" s="99">
        <f>AV29+25</f>
        <v>189</v>
      </c>
      <c r="AW17" s="99"/>
      <c r="AX17" s="99"/>
      <c r="AY17" s="99"/>
      <c r="AZ17" s="99">
        <f>AV17+30</f>
        <v>219</v>
      </c>
      <c r="BA17" s="99"/>
      <c r="BB17" s="99"/>
      <c r="BC17" s="99"/>
      <c r="BD17" s="99">
        <f>AZ17+30</f>
        <v>249</v>
      </c>
      <c r="BE17" s="99"/>
      <c r="BF17" s="99"/>
      <c r="BG17" s="99"/>
      <c r="BH17" s="99">
        <f>BD17+30</f>
        <v>279</v>
      </c>
      <c r="BI17" s="99"/>
      <c r="BJ17" s="99"/>
      <c r="BK17" s="99"/>
    </row>
    <row r="18" spans="1:63" ht="16.5" customHeight="1">
      <c r="A18" s="163"/>
      <c r="B18" s="163"/>
      <c r="C18" s="163"/>
      <c r="D18" s="163"/>
      <c r="E18" s="163"/>
      <c r="F18" s="94"/>
      <c r="G18" s="94"/>
      <c r="H18" s="94"/>
      <c r="I18" s="95"/>
      <c r="J18" s="95"/>
      <c r="K18" s="95"/>
      <c r="L18" s="95"/>
      <c r="M18" s="95"/>
      <c r="N18" s="100" t="s">
        <v>186</v>
      </c>
      <c r="O18" s="100"/>
      <c r="P18" s="99">
        <f>CEILING(P17*0.95,0.5)</f>
        <v>176</v>
      </c>
      <c r="Q18" s="99"/>
      <c r="R18" s="99"/>
      <c r="S18" s="99"/>
      <c r="T18" s="99">
        <f>CEILING(T17*0.95,0.5)</f>
        <v>204.5</v>
      </c>
      <c r="U18" s="99"/>
      <c r="V18" s="99"/>
      <c r="W18" s="99"/>
      <c r="X18" s="99">
        <f>CEILING(X17*0.95,0.5)</f>
        <v>233</v>
      </c>
      <c r="Y18" s="99"/>
      <c r="Z18" s="99"/>
      <c r="AA18" s="99"/>
      <c r="AB18" s="99">
        <f>CEILING(AB17*0.95,0.5)</f>
        <v>261.5</v>
      </c>
      <c r="AC18" s="99"/>
      <c r="AD18" s="99"/>
      <c r="AE18" s="99"/>
      <c r="AG18" s="163"/>
      <c r="AH18" s="163"/>
      <c r="AI18" s="163"/>
      <c r="AJ18" s="163"/>
      <c r="AK18" s="163"/>
      <c r="AL18" s="314"/>
      <c r="AM18" s="314"/>
      <c r="AN18" s="314"/>
      <c r="AO18" s="95"/>
      <c r="AP18" s="95"/>
      <c r="AQ18" s="95"/>
      <c r="AR18" s="95"/>
      <c r="AS18" s="95"/>
      <c r="AT18" s="100" t="s">
        <v>186</v>
      </c>
      <c r="AU18" s="100"/>
      <c r="AV18" s="99">
        <f>CEILING(AV17*0.95,0.5)</f>
        <v>180</v>
      </c>
      <c r="AW18" s="99"/>
      <c r="AX18" s="99"/>
      <c r="AY18" s="99"/>
      <c r="AZ18" s="99">
        <f>CEILING(AZ17*0.95,0.5)</f>
        <v>208.5</v>
      </c>
      <c r="BA18" s="99"/>
      <c r="BB18" s="99"/>
      <c r="BC18" s="99"/>
      <c r="BD18" s="99">
        <f>CEILING(BD17*0.95,0.5)</f>
        <v>237</v>
      </c>
      <c r="BE18" s="99"/>
      <c r="BF18" s="99"/>
      <c r="BG18" s="99"/>
      <c r="BH18" s="99">
        <f>CEILING(BH17*0.95,0.5)</f>
        <v>265.5</v>
      </c>
      <c r="BI18" s="99"/>
      <c r="BJ18" s="99"/>
      <c r="BK18" s="99"/>
    </row>
    <row r="19" spans="1:63" ht="16.5" customHeight="1">
      <c r="A19" s="163"/>
      <c r="B19" s="163"/>
      <c r="C19" s="163"/>
      <c r="D19" s="163"/>
      <c r="E19" s="163"/>
      <c r="F19" s="94"/>
      <c r="G19" s="94"/>
      <c r="H19" s="94"/>
      <c r="I19" s="95"/>
      <c r="J19" s="95"/>
      <c r="K19" s="95"/>
      <c r="L19" s="95"/>
      <c r="M19" s="95"/>
      <c r="N19" s="100" t="s">
        <v>96</v>
      </c>
      <c r="O19" s="100"/>
      <c r="P19" s="99">
        <f>P31+25</f>
        <v>164.5</v>
      </c>
      <c r="Q19" s="99"/>
      <c r="R19" s="99"/>
      <c r="S19" s="99"/>
      <c r="T19" s="99">
        <f>P19+30</f>
        <v>194.5</v>
      </c>
      <c r="U19" s="99"/>
      <c r="V19" s="99"/>
      <c r="W19" s="99"/>
      <c r="X19" s="99">
        <f>T19+30</f>
        <v>224.5</v>
      </c>
      <c r="Y19" s="99"/>
      <c r="Z19" s="99"/>
      <c r="AA19" s="99"/>
      <c r="AB19" s="99">
        <f>X19+30</f>
        <v>254.5</v>
      </c>
      <c r="AC19" s="99"/>
      <c r="AD19" s="99"/>
      <c r="AE19" s="99"/>
      <c r="AG19" s="163"/>
      <c r="AH19" s="163"/>
      <c r="AI19" s="163"/>
      <c r="AJ19" s="163"/>
      <c r="AK19" s="163"/>
      <c r="AL19" s="314"/>
      <c r="AM19" s="314"/>
      <c r="AN19" s="314"/>
      <c r="AO19" s="95"/>
      <c r="AP19" s="95"/>
      <c r="AQ19" s="95"/>
      <c r="AR19" s="95"/>
      <c r="AS19" s="95"/>
      <c r="AT19" s="100" t="s">
        <v>96</v>
      </c>
      <c r="AU19" s="100"/>
      <c r="AV19" s="99">
        <f>AV31+25</f>
        <v>168</v>
      </c>
      <c r="AW19" s="99"/>
      <c r="AX19" s="99"/>
      <c r="AY19" s="99"/>
      <c r="AZ19" s="99">
        <f>AV19+30</f>
        <v>198</v>
      </c>
      <c r="BA19" s="99"/>
      <c r="BB19" s="99"/>
      <c r="BC19" s="99"/>
      <c r="BD19" s="99">
        <f>AZ19+30</f>
        <v>228</v>
      </c>
      <c r="BE19" s="99"/>
      <c r="BF19" s="99"/>
      <c r="BG19" s="99"/>
      <c r="BH19" s="99">
        <f>BD19+30</f>
        <v>258</v>
      </c>
      <c r="BI19" s="99"/>
      <c r="BJ19" s="99"/>
      <c r="BK19" s="99"/>
    </row>
    <row r="20" spans="1:63" ht="16.5" customHeight="1">
      <c r="A20" s="163"/>
      <c r="B20" s="163"/>
      <c r="C20" s="163"/>
      <c r="D20" s="163"/>
      <c r="E20" s="163"/>
      <c r="F20" s="94"/>
      <c r="G20" s="94"/>
      <c r="H20" s="94"/>
      <c r="I20" s="97" t="s">
        <v>55</v>
      </c>
      <c r="J20" s="97"/>
      <c r="K20" s="97"/>
      <c r="L20" s="97"/>
      <c r="M20" s="97"/>
      <c r="N20" s="98" t="s">
        <v>184</v>
      </c>
      <c r="O20" s="98"/>
      <c r="P20" s="96">
        <f>CEILING(P17*0.28+5,0.5)</f>
        <v>57</v>
      </c>
      <c r="Q20" s="96"/>
      <c r="R20" s="96"/>
      <c r="S20" s="96"/>
      <c r="T20" s="96">
        <f>CEILING(T17*0.28+5,0.5)</f>
        <v>65.5</v>
      </c>
      <c r="U20" s="96"/>
      <c r="V20" s="96"/>
      <c r="W20" s="96"/>
      <c r="X20" s="96">
        <f>CEILING(X17*0.28+5,0.5)</f>
        <v>74</v>
      </c>
      <c r="Y20" s="96"/>
      <c r="Z20" s="96"/>
      <c r="AA20" s="96"/>
      <c r="AB20" s="96">
        <f>CEILING(AB17*0.28+5,0.5)</f>
        <v>82</v>
      </c>
      <c r="AC20" s="96"/>
      <c r="AD20" s="96"/>
      <c r="AE20" s="96"/>
      <c r="AG20" s="163"/>
      <c r="AH20" s="163"/>
      <c r="AI20" s="163"/>
      <c r="AJ20" s="163"/>
      <c r="AK20" s="163"/>
      <c r="AL20" s="314"/>
      <c r="AM20" s="314"/>
      <c r="AN20" s="314"/>
      <c r="AO20" s="97" t="s">
        <v>187</v>
      </c>
      <c r="AP20" s="97"/>
      <c r="AQ20" s="97"/>
      <c r="AR20" s="97"/>
      <c r="AS20" s="97"/>
      <c r="AT20" s="98" t="s">
        <v>184</v>
      </c>
      <c r="AU20" s="98"/>
      <c r="AV20" s="96">
        <f>CEILING(AV17*0.32+5,0.5)</f>
        <v>65.5</v>
      </c>
      <c r="AW20" s="96"/>
      <c r="AX20" s="96"/>
      <c r="AY20" s="96"/>
      <c r="AZ20" s="96">
        <f>CEILING(AZ17*0.32+5,0.5)</f>
        <v>75.5</v>
      </c>
      <c r="BA20" s="96"/>
      <c r="BB20" s="96"/>
      <c r="BC20" s="96"/>
      <c r="BD20" s="96">
        <f>CEILING(BD17*0.32+5,0.5)</f>
        <v>85</v>
      </c>
      <c r="BE20" s="96"/>
      <c r="BF20" s="96"/>
      <c r="BG20" s="96"/>
      <c r="BH20" s="96">
        <f>CEILING(BH17*0.32+5,0.5)</f>
        <v>94.5</v>
      </c>
      <c r="BI20" s="96"/>
      <c r="BJ20" s="96"/>
      <c r="BK20" s="96"/>
    </row>
    <row r="21" spans="1:63" ht="16.5" customHeight="1">
      <c r="A21" s="163"/>
      <c r="B21" s="163"/>
      <c r="C21" s="163"/>
      <c r="D21" s="163"/>
      <c r="E21" s="163"/>
      <c r="F21" s="94"/>
      <c r="G21" s="94"/>
      <c r="H21" s="94"/>
      <c r="I21" s="97"/>
      <c r="J21" s="97"/>
      <c r="K21" s="157"/>
      <c r="L21" s="97"/>
      <c r="M21" s="97"/>
      <c r="N21" s="98" t="s">
        <v>186</v>
      </c>
      <c r="O21" s="98"/>
      <c r="P21" s="96">
        <f>CEILING(P20*0.95,0.5)</f>
        <v>54.5</v>
      </c>
      <c r="Q21" s="96"/>
      <c r="R21" s="96"/>
      <c r="S21" s="96"/>
      <c r="T21" s="96">
        <f>CEILING(T20*0.95,0.5)</f>
        <v>62.5</v>
      </c>
      <c r="U21" s="96"/>
      <c r="V21" s="96"/>
      <c r="W21" s="96"/>
      <c r="X21" s="96">
        <f>CEILING(X20*0.95,0.5)</f>
        <v>70.5</v>
      </c>
      <c r="Y21" s="96"/>
      <c r="Z21" s="96"/>
      <c r="AA21" s="96"/>
      <c r="AB21" s="96">
        <f>CEILING(AB20*0.95,0.5)</f>
        <v>78</v>
      </c>
      <c r="AC21" s="96"/>
      <c r="AD21" s="96"/>
      <c r="AE21" s="96"/>
      <c r="AG21" s="163"/>
      <c r="AH21" s="163"/>
      <c r="AI21" s="163"/>
      <c r="AJ21" s="163"/>
      <c r="AK21" s="163"/>
      <c r="AL21" s="314"/>
      <c r="AM21" s="314"/>
      <c r="AN21" s="314"/>
      <c r="AO21" s="97"/>
      <c r="AP21" s="97"/>
      <c r="AQ21" s="97"/>
      <c r="AR21" s="97"/>
      <c r="AS21" s="97"/>
      <c r="AT21" s="98" t="s">
        <v>186</v>
      </c>
      <c r="AU21" s="98"/>
      <c r="AV21" s="96">
        <f>CEILING(AV20*0.95,0.5)</f>
        <v>62.5</v>
      </c>
      <c r="AW21" s="96"/>
      <c r="AX21" s="96"/>
      <c r="AY21" s="96"/>
      <c r="AZ21" s="96">
        <f>CEILING(AZ20*0.95,0.5)</f>
        <v>72</v>
      </c>
      <c r="BA21" s="96"/>
      <c r="BB21" s="96"/>
      <c r="BC21" s="96"/>
      <c r="BD21" s="96">
        <f>CEILING(BD20*0.95,0.5)</f>
        <v>81</v>
      </c>
      <c r="BE21" s="96"/>
      <c r="BF21" s="96"/>
      <c r="BG21" s="96"/>
      <c r="BH21" s="96">
        <f>CEILING(BH20*0.95,0.5)</f>
        <v>90</v>
      </c>
      <c r="BI21" s="96"/>
      <c r="BJ21" s="96"/>
      <c r="BK21" s="96"/>
    </row>
    <row r="22" spans="1:63" ht="16.5" customHeight="1">
      <c r="A22" s="163"/>
      <c r="B22" s="163"/>
      <c r="C22" s="163"/>
      <c r="D22" s="163"/>
      <c r="E22" s="163"/>
      <c r="F22" s="94"/>
      <c r="G22" s="94"/>
      <c r="H22" s="94"/>
      <c r="I22" s="97"/>
      <c r="J22" s="97"/>
      <c r="K22" s="97"/>
      <c r="L22" s="97"/>
      <c r="M22" s="97"/>
      <c r="N22" s="98" t="s">
        <v>96</v>
      </c>
      <c r="O22" s="98"/>
      <c r="P22" s="96">
        <f>CEILING(P19*0.28+5,0.5)</f>
        <v>51.5</v>
      </c>
      <c r="Q22" s="96"/>
      <c r="R22" s="96"/>
      <c r="S22" s="96"/>
      <c r="T22" s="96">
        <f>CEILING(T19*0.28+5,0.5)</f>
        <v>59.5</v>
      </c>
      <c r="U22" s="96"/>
      <c r="V22" s="96"/>
      <c r="W22" s="96"/>
      <c r="X22" s="96">
        <f>CEILING(X19*0.28+5,0.5)</f>
        <v>68</v>
      </c>
      <c r="Y22" s="96"/>
      <c r="Z22" s="96"/>
      <c r="AA22" s="96"/>
      <c r="AB22" s="96">
        <f>CEILING(AB19*0.28+5,0.5)</f>
        <v>76.5</v>
      </c>
      <c r="AC22" s="96"/>
      <c r="AD22" s="96"/>
      <c r="AE22" s="96"/>
      <c r="AG22" s="163"/>
      <c r="AH22" s="163"/>
      <c r="AI22" s="163"/>
      <c r="AJ22" s="163"/>
      <c r="AK22" s="163"/>
      <c r="AL22" s="314"/>
      <c r="AM22" s="314"/>
      <c r="AN22" s="314"/>
      <c r="AO22" s="97"/>
      <c r="AP22" s="97"/>
      <c r="AQ22" s="97"/>
      <c r="AR22" s="97"/>
      <c r="AS22" s="97"/>
      <c r="AT22" s="98" t="s">
        <v>96</v>
      </c>
      <c r="AU22" s="98"/>
      <c r="AV22" s="96">
        <f>CEILING(AV19*0.32+5,0.5)</f>
        <v>59</v>
      </c>
      <c r="AW22" s="96"/>
      <c r="AX22" s="96"/>
      <c r="AY22" s="96"/>
      <c r="AZ22" s="96">
        <f>CEILING(AZ19*0.32+5,0.5)</f>
        <v>68.5</v>
      </c>
      <c r="BA22" s="96"/>
      <c r="BB22" s="96"/>
      <c r="BC22" s="96"/>
      <c r="BD22" s="96">
        <f>CEILING(BD19*0.32+5,0.5)</f>
        <v>78</v>
      </c>
      <c r="BE22" s="96"/>
      <c r="BF22" s="96"/>
      <c r="BG22" s="96"/>
      <c r="BH22" s="96">
        <f>CEILING(BH19*0.32+5,0.5)</f>
        <v>88</v>
      </c>
      <c r="BI22" s="96"/>
      <c r="BJ22" s="96"/>
      <c r="BK22" s="96"/>
    </row>
    <row r="23" spans="1:63" ht="16.5" customHeight="1">
      <c r="A23" s="163"/>
      <c r="B23" s="163"/>
      <c r="C23" s="163"/>
      <c r="D23" s="163"/>
      <c r="E23" s="163"/>
      <c r="F23" s="94"/>
      <c r="G23" s="94"/>
      <c r="H23" s="94"/>
      <c r="I23" s="156" t="s">
        <v>15</v>
      </c>
      <c r="J23" s="156"/>
      <c r="K23" s="156"/>
      <c r="L23" s="156"/>
      <c r="M23" s="156"/>
      <c r="N23" s="100" t="s">
        <v>184</v>
      </c>
      <c r="O23" s="100"/>
      <c r="P23" s="99">
        <f>P29+15</f>
        <v>175</v>
      </c>
      <c r="Q23" s="99"/>
      <c r="R23" s="99"/>
      <c r="S23" s="99"/>
      <c r="T23" s="99">
        <f>P23+15</f>
        <v>190</v>
      </c>
      <c r="U23" s="99"/>
      <c r="V23" s="99"/>
      <c r="W23" s="99"/>
      <c r="X23" s="99">
        <f>T23+15</f>
        <v>205</v>
      </c>
      <c r="Y23" s="99"/>
      <c r="Z23" s="99"/>
      <c r="AA23" s="99"/>
      <c r="AB23" s="99">
        <f>X23+15</f>
        <v>220</v>
      </c>
      <c r="AC23" s="99"/>
      <c r="AD23" s="99"/>
      <c r="AE23" s="99"/>
      <c r="AG23" s="163"/>
      <c r="AH23" s="163"/>
      <c r="AI23" s="163"/>
      <c r="AJ23" s="163"/>
      <c r="AK23" s="163"/>
      <c r="AL23" s="314"/>
      <c r="AM23" s="314"/>
      <c r="AN23" s="314"/>
      <c r="AO23" s="156" t="s">
        <v>15</v>
      </c>
      <c r="AP23" s="156"/>
      <c r="AQ23" s="156"/>
      <c r="AR23" s="156"/>
      <c r="AS23" s="156"/>
      <c r="AT23" s="100" t="s">
        <v>184</v>
      </c>
      <c r="AU23" s="100"/>
      <c r="AV23" s="99">
        <f>AV29+15</f>
        <v>179</v>
      </c>
      <c r="AW23" s="99"/>
      <c r="AX23" s="99"/>
      <c r="AY23" s="99"/>
      <c r="AZ23" s="99">
        <f>AV23+15</f>
        <v>194</v>
      </c>
      <c r="BA23" s="99"/>
      <c r="BB23" s="99"/>
      <c r="BC23" s="99"/>
      <c r="BD23" s="99">
        <f>AZ23+15</f>
        <v>209</v>
      </c>
      <c r="BE23" s="99"/>
      <c r="BF23" s="99"/>
      <c r="BG23" s="99"/>
      <c r="BH23" s="99">
        <f>BD23+15</f>
        <v>224</v>
      </c>
      <c r="BI23" s="99"/>
      <c r="BJ23" s="99"/>
      <c r="BK23" s="99"/>
    </row>
    <row r="24" spans="1:63" ht="16.5" customHeight="1">
      <c r="A24" s="163"/>
      <c r="B24" s="163"/>
      <c r="C24" s="163"/>
      <c r="D24" s="163"/>
      <c r="E24" s="163"/>
      <c r="F24" s="94"/>
      <c r="G24" s="94"/>
      <c r="H24" s="94"/>
      <c r="I24" s="156"/>
      <c r="J24" s="156"/>
      <c r="K24" s="156"/>
      <c r="L24" s="156"/>
      <c r="M24" s="156"/>
      <c r="N24" s="100" t="s">
        <v>186</v>
      </c>
      <c r="O24" s="100"/>
      <c r="P24" s="99">
        <f>CEILING(P23*0.95,0.5)</f>
        <v>166.5</v>
      </c>
      <c r="Q24" s="99"/>
      <c r="R24" s="99"/>
      <c r="S24" s="99"/>
      <c r="T24" s="99">
        <f>CEILING(T23*0.95,0.5)</f>
        <v>180.5</v>
      </c>
      <c r="U24" s="99"/>
      <c r="V24" s="99"/>
      <c r="W24" s="99"/>
      <c r="X24" s="99">
        <f>CEILING(X23*0.95,0.5)</f>
        <v>195</v>
      </c>
      <c r="Y24" s="99"/>
      <c r="Z24" s="99"/>
      <c r="AA24" s="99"/>
      <c r="AB24" s="99">
        <f>CEILING(AB23*0.95,0.5)</f>
        <v>209</v>
      </c>
      <c r="AC24" s="99"/>
      <c r="AD24" s="99"/>
      <c r="AE24" s="99"/>
      <c r="AG24" s="163"/>
      <c r="AH24" s="163"/>
      <c r="AI24" s="163"/>
      <c r="AJ24" s="163"/>
      <c r="AK24" s="163"/>
      <c r="AL24" s="314"/>
      <c r="AM24" s="314"/>
      <c r="AN24" s="314"/>
      <c r="AO24" s="156"/>
      <c r="AP24" s="156"/>
      <c r="AQ24" s="156"/>
      <c r="AR24" s="156"/>
      <c r="AS24" s="156"/>
      <c r="AT24" s="100" t="s">
        <v>186</v>
      </c>
      <c r="AU24" s="100"/>
      <c r="AV24" s="99">
        <f>CEILING(AV23*0.95,0.5)</f>
        <v>170.5</v>
      </c>
      <c r="AW24" s="99"/>
      <c r="AX24" s="99"/>
      <c r="AY24" s="99"/>
      <c r="AZ24" s="99">
        <f>CEILING(AZ23*0.95,0.5)</f>
        <v>184.5</v>
      </c>
      <c r="BA24" s="99"/>
      <c r="BB24" s="99"/>
      <c r="BC24" s="99"/>
      <c r="BD24" s="99">
        <f>CEILING(BD23*0.95,0.5)</f>
        <v>199</v>
      </c>
      <c r="BE24" s="99"/>
      <c r="BF24" s="99"/>
      <c r="BG24" s="99"/>
      <c r="BH24" s="99">
        <f>CEILING(BH23*0.95,0.5)</f>
        <v>213</v>
      </c>
      <c r="BI24" s="99"/>
      <c r="BJ24" s="99"/>
      <c r="BK24" s="99"/>
    </row>
    <row r="25" spans="1:63" ht="16.5" customHeight="1">
      <c r="A25" s="163"/>
      <c r="B25" s="163"/>
      <c r="C25" s="163"/>
      <c r="D25" s="163"/>
      <c r="E25" s="163"/>
      <c r="F25" s="94"/>
      <c r="G25" s="94"/>
      <c r="H25" s="94"/>
      <c r="I25" s="156"/>
      <c r="J25" s="156"/>
      <c r="K25" s="156"/>
      <c r="L25" s="156"/>
      <c r="M25" s="156"/>
      <c r="N25" s="100" t="s">
        <v>96</v>
      </c>
      <c r="O25" s="100"/>
      <c r="P25" s="99">
        <f>P31+15</f>
        <v>154.5</v>
      </c>
      <c r="Q25" s="99"/>
      <c r="R25" s="99"/>
      <c r="S25" s="99"/>
      <c r="T25" s="99">
        <f>P25+15</f>
        <v>169.5</v>
      </c>
      <c r="U25" s="99"/>
      <c r="V25" s="99"/>
      <c r="W25" s="99"/>
      <c r="X25" s="99">
        <f>T25+15</f>
        <v>184.5</v>
      </c>
      <c r="Y25" s="99"/>
      <c r="Z25" s="99"/>
      <c r="AA25" s="99"/>
      <c r="AB25" s="99">
        <f>X25+15</f>
        <v>199.5</v>
      </c>
      <c r="AC25" s="99"/>
      <c r="AD25" s="99"/>
      <c r="AE25" s="99"/>
      <c r="AG25" s="163"/>
      <c r="AH25" s="163"/>
      <c r="AI25" s="163"/>
      <c r="AJ25" s="163"/>
      <c r="AK25" s="163"/>
      <c r="AL25" s="314"/>
      <c r="AM25" s="314"/>
      <c r="AN25" s="314"/>
      <c r="AO25" s="156"/>
      <c r="AP25" s="156"/>
      <c r="AQ25" s="156"/>
      <c r="AR25" s="156"/>
      <c r="AS25" s="156"/>
      <c r="AT25" s="100" t="s">
        <v>96</v>
      </c>
      <c r="AU25" s="100"/>
      <c r="AV25" s="99">
        <f>AV31+15</f>
        <v>158</v>
      </c>
      <c r="AW25" s="99"/>
      <c r="AX25" s="99"/>
      <c r="AY25" s="99"/>
      <c r="AZ25" s="99">
        <f>AV25+15</f>
        <v>173</v>
      </c>
      <c r="BA25" s="99"/>
      <c r="BB25" s="99"/>
      <c r="BC25" s="99"/>
      <c r="BD25" s="99">
        <f>AZ25+15</f>
        <v>188</v>
      </c>
      <c r="BE25" s="99"/>
      <c r="BF25" s="99"/>
      <c r="BG25" s="99"/>
      <c r="BH25" s="99">
        <f>BD25+15</f>
        <v>203</v>
      </c>
      <c r="BI25" s="99"/>
      <c r="BJ25" s="99"/>
      <c r="BK25" s="99"/>
    </row>
    <row r="26" spans="1:63" ht="16.5" customHeight="1">
      <c r="A26" s="163"/>
      <c r="B26" s="163"/>
      <c r="C26" s="163"/>
      <c r="D26" s="163"/>
      <c r="E26" s="163"/>
      <c r="F26" s="94"/>
      <c r="G26" s="94"/>
      <c r="H26" s="94"/>
      <c r="I26" s="97" t="s">
        <v>56</v>
      </c>
      <c r="J26" s="97"/>
      <c r="K26" s="97"/>
      <c r="L26" s="97"/>
      <c r="M26" s="97"/>
      <c r="N26" s="98" t="s">
        <v>184</v>
      </c>
      <c r="O26" s="98"/>
      <c r="P26" s="96">
        <f>CEILING(P23*0.28+5,0.5)</f>
        <v>54</v>
      </c>
      <c r="Q26" s="96"/>
      <c r="R26" s="96"/>
      <c r="S26" s="96"/>
      <c r="T26" s="96">
        <f>CEILING(T23*0.28+5,0.5)</f>
        <v>58.5</v>
      </c>
      <c r="U26" s="96"/>
      <c r="V26" s="96"/>
      <c r="W26" s="96"/>
      <c r="X26" s="96">
        <f>CEILING(X23*0.28+5,0.5)</f>
        <v>62.5</v>
      </c>
      <c r="Y26" s="96"/>
      <c r="Z26" s="96"/>
      <c r="AA26" s="96"/>
      <c r="AB26" s="96">
        <f>CEILING(AB23*0.28+5,0.5)</f>
        <v>67</v>
      </c>
      <c r="AC26" s="96"/>
      <c r="AD26" s="96"/>
      <c r="AE26" s="96"/>
      <c r="AG26" s="163"/>
      <c r="AH26" s="163"/>
      <c r="AI26" s="163"/>
      <c r="AJ26" s="163"/>
      <c r="AK26" s="163"/>
      <c r="AL26" s="314"/>
      <c r="AM26" s="314"/>
      <c r="AN26" s="314"/>
      <c r="AO26" s="97" t="s">
        <v>188</v>
      </c>
      <c r="AP26" s="97"/>
      <c r="AQ26" s="97"/>
      <c r="AR26" s="97"/>
      <c r="AS26" s="97"/>
      <c r="AT26" s="98" t="s">
        <v>184</v>
      </c>
      <c r="AU26" s="98"/>
      <c r="AV26" s="96">
        <f>CEILING(AV23*0.32+5,0.5)</f>
        <v>62.5</v>
      </c>
      <c r="AW26" s="96"/>
      <c r="AX26" s="96"/>
      <c r="AY26" s="96"/>
      <c r="AZ26" s="96">
        <f>CEILING(AZ23*0.32+5,0.5)</f>
        <v>67.5</v>
      </c>
      <c r="BA26" s="96"/>
      <c r="BB26" s="96"/>
      <c r="BC26" s="96"/>
      <c r="BD26" s="96">
        <f>CEILING(BD23*0.32+5,0.5)</f>
        <v>72</v>
      </c>
      <c r="BE26" s="96"/>
      <c r="BF26" s="96"/>
      <c r="BG26" s="96"/>
      <c r="BH26" s="96">
        <f>CEILING(BH23*0.32+5,0.5)</f>
        <v>77</v>
      </c>
      <c r="BI26" s="96"/>
      <c r="BJ26" s="96"/>
      <c r="BK26" s="96"/>
    </row>
    <row r="27" spans="1:63" ht="16.5" customHeight="1">
      <c r="A27" s="163"/>
      <c r="B27" s="163"/>
      <c r="C27" s="163"/>
      <c r="D27" s="163"/>
      <c r="E27" s="163"/>
      <c r="F27" s="94"/>
      <c r="G27" s="94"/>
      <c r="H27" s="94"/>
      <c r="I27" s="97"/>
      <c r="J27" s="97"/>
      <c r="K27" s="97"/>
      <c r="L27" s="97"/>
      <c r="M27" s="97"/>
      <c r="N27" s="98" t="s">
        <v>186</v>
      </c>
      <c r="O27" s="98"/>
      <c r="P27" s="96">
        <f>CEILING(P26*0.95,0.5)</f>
        <v>51.5</v>
      </c>
      <c r="Q27" s="96"/>
      <c r="R27" s="96"/>
      <c r="S27" s="96"/>
      <c r="T27" s="96">
        <f>CEILING(T26*0.95,0.5)</f>
        <v>56</v>
      </c>
      <c r="U27" s="96"/>
      <c r="V27" s="96"/>
      <c r="W27" s="96"/>
      <c r="X27" s="96">
        <f>CEILING(X26*0.95,0.5)</f>
        <v>59.5</v>
      </c>
      <c r="Y27" s="96"/>
      <c r="Z27" s="96"/>
      <c r="AA27" s="96"/>
      <c r="AB27" s="96">
        <f>CEILING(AB26*0.95,0.5)</f>
        <v>64</v>
      </c>
      <c r="AC27" s="96"/>
      <c r="AD27" s="96"/>
      <c r="AE27" s="96"/>
      <c r="AG27" s="163"/>
      <c r="AH27" s="163"/>
      <c r="AI27" s="163"/>
      <c r="AJ27" s="163"/>
      <c r="AK27" s="163"/>
      <c r="AL27" s="314"/>
      <c r="AM27" s="314"/>
      <c r="AN27" s="314"/>
      <c r="AO27" s="97"/>
      <c r="AP27" s="97"/>
      <c r="AQ27" s="97"/>
      <c r="AR27" s="97"/>
      <c r="AS27" s="97"/>
      <c r="AT27" s="98" t="s">
        <v>186</v>
      </c>
      <c r="AU27" s="98"/>
      <c r="AV27" s="96">
        <f>CEILING(AV26*0.95,0.5)</f>
        <v>59.5</v>
      </c>
      <c r="AW27" s="96"/>
      <c r="AX27" s="96"/>
      <c r="AY27" s="96"/>
      <c r="AZ27" s="96">
        <f>CEILING(AZ26*0.95,0.5)</f>
        <v>64.5</v>
      </c>
      <c r="BA27" s="96"/>
      <c r="BB27" s="96"/>
      <c r="BC27" s="96"/>
      <c r="BD27" s="96">
        <f>CEILING(BD26*0.95,0.5)</f>
        <v>68.5</v>
      </c>
      <c r="BE27" s="96"/>
      <c r="BF27" s="96"/>
      <c r="BG27" s="96"/>
      <c r="BH27" s="96">
        <f>CEILING(BH26*0.95,0.5)</f>
        <v>73.5</v>
      </c>
      <c r="BI27" s="96"/>
      <c r="BJ27" s="96"/>
      <c r="BK27" s="96"/>
    </row>
    <row r="28" spans="1:63" ht="16.5" customHeight="1">
      <c r="A28" s="163"/>
      <c r="B28" s="163"/>
      <c r="C28" s="163"/>
      <c r="D28" s="163"/>
      <c r="E28" s="163"/>
      <c r="F28" s="94"/>
      <c r="G28" s="94"/>
      <c r="H28" s="94"/>
      <c r="I28" s="97"/>
      <c r="J28" s="97"/>
      <c r="K28" s="97"/>
      <c r="L28" s="97"/>
      <c r="M28" s="97"/>
      <c r="N28" s="98" t="s">
        <v>96</v>
      </c>
      <c r="O28" s="98"/>
      <c r="P28" s="96">
        <f>CEILING(P25*0.28+5,0.5)</f>
        <v>48.5</v>
      </c>
      <c r="Q28" s="96"/>
      <c r="R28" s="96"/>
      <c r="S28" s="96"/>
      <c r="T28" s="96">
        <f>CEILING(T25*0.28+5,0.5)</f>
        <v>52.5</v>
      </c>
      <c r="U28" s="96"/>
      <c r="V28" s="96"/>
      <c r="W28" s="96"/>
      <c r="X28" s="96">
        <f>CEILING(X25*0.28+5,0.5)</f>
        <v>57</v>
      </c>
      <c r="Y28" s="96"/>
      <c r="Z28" s="96"/>
      <c r="AA28" s="96"/>
      <c r="AB28" s="96">
        <f>CEILING(AB25*0.28+5,0.5)</f>
        <v>61</v>
      </c>
      <c r="AC28" s="96"/>
      <c r="AD28" s="96"/>
      <c r="AE28" s="96"/>
      <c r="AG28" s="163"/>
      <c r="AH28" s="163"/>
      <c r="AI28" s="163"/>
      <c r="AJ28" s="163"/>
      <c r="AK28" s="163"/>
      <c r="AL28" s="314"/>
      <c r="AM28" s="314"/>
      <c r="AN28" s="314"/>
      <c r="AO28" s="97"/>
      <c r="AP28" s="97"/>
      <c r="AQ28" s="97"/>
      <c r="AR28" s="97"/>
      <c r="AS28" s="97"/>
      <c r="AT28" s="98" t="s">
        <v>96</v>
      </c>
      <c r="AU28" s="98"/>
      <c r="AV28" s="96">
        <f>CEILING(AV25*0.32+5,0.5)</f>
        <v>56</v>
      </c>
      <c r="AW28" s="96"/>
      <c r="AX28" s="96"/>
      <c r="AY28" s="96"/>
      <c r="AZ28" s="96">
        <f>CEILING(AZ25*0.32+5,0.5)</f>
        <v>60.5</v>
      </c>
      <c r="BA28" s="96"/>
      <c r="BB28" s="96"/>
      <c r="BC28" s="96"/>
      <c r="BD28" s="96">
        <f>CEILING(BD25*0.32+5,0.5)</f>
        <v>65.5</v>
      </c>
      <c r="BE28" s="96"/>
      <c r="BF28" s="96"/>
      <c r="BG28" s="96"/>
      <c r="BH28" s="96">
        <f>CEILING(BH25*0.32+5,0.5)</f>
        <v>70</v>
      </c>
      <c r="BI28" s="96"/>
      <c r="BJ28" s="96"/>
      <c r="BK28" s="96"/>
    </row>
    <row r="29" spans="1:63" ht="16.5" customHeight="1">
      <c r="A29" s="163"/>
      <c r="B29" s="163"/>
      <c r="C29" s="163"/>
      <c r="D29" s="163"/>
      <c r="E29" s="163"/>
      <c r="F29" s="94"/>
      <c r="G29" s="94"/>
      <c r="H29" s="94"/>
      <c r="I29" s="156" t="s">
        <v>18</v>
      </c>
      <c r="J29" s="156"/>
      <c r="K29" s="156"/>
      <c r="L29" s="156"/>
      <c r="M29" s="156"/>
      <c r="N29" s="100" t="s">
        <v>184</v>
      </c>
      <c r="O29" s="100"/>
      <c r="P29" s="101">
        <f>CEILING(123*1.3,0.5)</f>
        <v>160</v>
      </c>
      <c r="Q29" s="101"/>
      <c r="R29" s="101"/>
      <c r="S29" s="101"/>
      <c r="T29" s="99">
        <f>P29+10</f>
        <v>170</v>
      </c>
      <c r="U29" s="99"/>
      <c r="V29" s="99"/>
      <c r="W29" s="99"/>
      <c r="X29" s="99">
        <f>T29+10</f>
        <v>180</v>
      </c>
      <c r="Y29" s="99"/>
      <c r="Z29" s="99"/>
      <c r="AA29" s="99"/>
      <c r="AB29" s="99">
        <f>X29+10</f>
        <v>190</v>
      </c>
      <c r="AC29" s="99"/>
      <c r="AD29" s="99"/>
      <c r="AE29" s="99"/>
      <c r="AG29" s="163"/>
      <c r="AH29" s="163"/>
      <c r="AI29" s="163"/>
      <c r="AJ29" s="163"/>
      <c r="AK29" s="163"/>
      <c r="AL29" s="314"/>
      <c r="AM29" s="314"/>
      <c r="AN29" s="314"/>
      <c r="AO29" s="156" t="s">
        <v>18</v>
      </c>
      <c r="AP29" s="156"/>
      <c r="AQ29" s="156"/>
      <c r="AR29" s="156"/>
      <c r="AS29" s="156"/>
      <c r="AT29" s="100" t="s">
        <v>184</v>
      </c>
      <c r="AU29" s="100"/>
      <c r="AV29" s="101">
        <f>CEILING(126*1.3,0.5)</f>
        <v>164</v>
      </c>
      <c r="AW29" s="101"/>
      <c r="AX29" s="101"/>
      <c r="AY29" s="101"/>
      <c r="AZ29" s="99">
        <f>AV29+10</f>
        <v>174</v>
      </c>
      <c r="BA29" s="99"/>
      <c r="BB29" s="99"/>
      <c r="BC29" s="99"/>
      <c r="BD29" s="99">
        <f>AZ29+10</f>
        <v>184</v>
      </c>
      <c r="BE29" s="99"/>
      <c r="BF29" s="99"/>
      <c r="BG29" s="99"/>
      <c r="BH29" s="99">
        <f>BD29+10</f>
        <v>194</v>
      </c>
      <c r="BI29" s="99"/>
      <c r="BJ29" s="99"/>
      <c r="BK29" s="99"/>
    </row>
    <row r="30" spans="1:63" ht="16.5" customHeight="1">
      <c r="A30" s="163"/>
      <c r="B30" s="163"/>
      <c r="C30" s="163"/>
      <c r="D30" s="163"/>
      <c r="E30" s="163"/>
      <c r="F30" s="94"/>
      <c r="G30" s="94"/>
      <c r="H30" s="94"/>
      <c r="I30" s="156"/>
      <c r="J30" s="156"/>
      <c r="K30" s="156"/>
      <c r="L30" s="156"/>
      <c r="M30" s="156"/>
      <c r="N30" s="100" t="s">
        <v>186</v>
      </c>
      <c r="O30" s="100"/>
      <c r="P30" s="99">
        <f>CEILING(P29*0.95,0.5)</f>
        <v>152</v>
      </c>
      <c r="Q30" s="99"/>
      <c r="R30" s="99"/>
      <c r="S30" s="99"/>
      <c r="T30" s="99">
        <f>CEILING(T29*0.95,0.5)</f>
        <v>161.5</v>
      </c>
      <c r="U30" s="99"/>
      <c r="V30" s="99"/>
      <c r="W30" s="99"/>
      <c r="X30" s="99">
        <f>CEILING(X29*0.95,0.5)</f>
        <v>171</v>
      </c>
      <c r="Y30" s="99"/>
      <c r="Z30" s="99"/>
      <c r="AA30" s="99"/>
      <c r="AB30" s="99">
        <f>CEILING(AB29*0.95,0.5)</f>
        <v>180.5</v>
      </c>
      <c r="AC30" s="99"/>
      <c r="AD30" s="99"/>
      <c r="AE30" s="99"/>
      <c r="AG30" s="163"/>
      <c r="AH30" s="163"/>
      <c r="AI30" s="163"/>
      <c r="AJ30" s="163"/>
      <c r="AK30" s="163"/>
      <c r="AL30" s="314"/>
      <c r="AM30" s="314"/>
      <c r="AN30" s="314"/>
      <c r="AO30" s="156"/>
      <c r="AP30" s="156"/>
      <c r="AQ30" s="156"/>
      <c r="AR30" s="156"/>
      <c r="AS30" s="156"/>
      <c r="AT30" s="100" t="s">
        <v>186</v>
      </c>
      <c r="AU30" s="100"/>
      <c r="AV30" s="99">
        <f>CEILING(AV29*0.95,0.5)</f>
        <v>156</v>
      </c>
      <c r="AW30" s="99"/>
      <c r="AX30" s="99"/>
      <c r="AY30" s="99"/>
      <c r="AZ30" s="99">
        <f>CEILING(AZ29*0.95,0.5)</f>
        <v>165.5</v>
      </c>
      <c r="BA30" s="99"/>
      <c r="BB30" s="99"/>
      <c r="BC30" s="99"/>
      <c r="BD30" s="99">
        <f>CEILING(BD29*0.95,0.5)</f>
        <v>175</v>
      </c>
      <c r="BE30" s="99"/>
      <c r="BF30" s="99"/>
      <c r="BG30" s="99"/>
      <c r="BH30" s="99">
        <f>CEILING(BH29*0.95,0.5)</f>
        <v>184.5</v>
      </c>
      <c r="BI30" s="99"/>
      <c r="BJ30" s="99"/>
      <c r="BK30" s="99"/>
    </row>
    <row r="31" spans="1:63" ht="16.5" customHeight="1">
      <c r="A31" s="163"/>
      <c r="B31" s="163"/>
      <c r="C31" s="163"/>
      <c r="D31" s="163"/>
      <c r="E31" s="163"/>
      <c r="F31" s="94"/>
      <c r="G31" s="94"/>
      <c r="H31" s="94"/>
      <c r="I31" s="156"/>
      <c r="J31" s="156"/>
      <c r="K31" s="156"/>
      <c r="L31" s="156"/>
      <c r="M31" s="156"/>
      <c r="N31" s="100" t="s">
        <v>96</v>
      </c>
      <c r="O31" s="100"/>
      <c r="P31" s="101">
        <f>CEILING(107*1.3,0.5)</f>
        <v>139.5</v>
      </c>
      <c r="Q31" s="101"/>
      <c r="R31" s="101"/>
      <c r="S31" s="101"/>
      <c r="T31" s="99">
        <f>P31+10</f>
        <v>149.5</v>
      </c>
      <c r="U31" s="99"/>
      <c r="V31" s="99"/>
      <c r="W31" s="99"/>
      <c r="X31" s="99">
        <f>T31+10</f>
        <v>159.5</v>
      </c>
      <c r="Y31" s="99"/>
      <c r="Z31" s="99"/>
      <c r="AA31" s="99"/>
      <c r="AB31" s="99">
        <f>X31+10</f>
        <v>169.5</v>
      </c>
      <c r="AC31" s="99"/>
      <c r="AD31" s="99"/>
      <c r="AE31" s="99"/>
      <c r="AG31" s="163"/>
      <c r="AH31" s="163"/>
      <c r="AI31" s="163"/>
      <c r="AJ31" s="163"/>
      <c r="AK31" s="163"/>
      <c r="AL31" s="314"/>
      <c r="AM31" s="314"/>
      <c r="AN31" s="314"/>
      <c r="AO31" s="156"/>
      <c r="AP31" s="156"/>
      <c r="AQ31" s="156"/>
      <c r="AR31" s="156"/>
      <c r="AS31" s="156"/>
      <c r="AT31" s="100" t="s">
        <v>96</v>
      </c>
      <c r="AU31" s="100"/>
      <c r="AV31" s="101">
        <f>CEILING(110*1.3,0.5)</f>
        <v>143</v>
      </c>
      <c r="AW31" s="101"/>
      <c r="AX31" s="101"/>
      <c r="AY31" s="101"/>
      <c r="AZ31" s="99">
        <f>AV31+10</f>
        <v>153</v>
      </c>
      <c r="BA31" s="99"/>
      <c r="BB31" s="99"/>
      <c r="BC31" s="99"/>
      <c r="BD31" s="99">
        <f>AZ31+10</f>
        <v>163</v>
      </c>
      <c r="BE31" s="99"/>
      <c r="BF31" s="99"/>
      <c r="BG31" s="99"/>
      <c r="BH31" s="99">
        <f>BD31+10</f>
        <v>173</v>
      </c>
      <c r="BI31" s="99"/>
      <c r="BJ31" s="99"/>
      <c r="BK31" s="99"/>
    </row>
    <row r="32" spans="1:63" ht="16.5" customHeight="1">
      <c r="A32" s="163"/>
      <c r="B32" s="163"/>
      <c r="C32" s="163"/>
      <c r="D32" s="163"/>
      <c r="E32" s="163"/>
      <c r="F32" s="94"/>
      <c r="G32" s="94"/>
      <c r="H32" s="94"/>
      <c r="I32" s="97" t="s">
        <v>57</v>
      </c>
      <c r="J32" s="97"/>
      <c r="K32" s="97"/>
      <c r="L32" s="97"/>
      <c r="M32" s="97"/>
      <c r="N32" s="98" t="s">
        <v>184</v>
      </c>
      <c r="O32" s="98"/>
      <c r="P32" s="96">
        <f>CEILING(P29*0.28+5,0.5)</f>
        <v>50</v>
      </c>
      <c r="Q32" s="96"/>
      <c r="R32" s="96"/>
      <c r="S32" s="96"/>
      <c r="T32" s="96">
        <f>CEILING(T29*0.28+5,0.5)</f>
        <v>53</v>
      </c>
      <c r="U32" s="96"/>
      <c r="V32" s="96"/>
      <c r="W32" s="96"/>
      <c r="X32" s="96">
        <f>CEILING(X29*0.28+5,0.5)</f>
        <v>55.5</v>
      </c>
      <c r="Y32" s="96"/>
      <c r="Z32" s="96"/>
      <c r="AA32" s="96"/>
      <c r="AB32" s="96">
        <f>CEILING(AB29*0.28+5,0.5)</f>
        <v>58.5</v>
      </c>
      <c r="AC32" s="96"/>
      <c r="AD32" s="96"/>
      <c r="AE32" s="96"/>
      <c r="AG32" s="163"/>
      <c r="AH32" s="163"/>
      <c r="AI32" s="163"/>
      <c r="AJ32" s="163"/>
      <c r="AK32" s="163"/>
      <c r="AL32" s="314"/>
      <c r="AM32" s="314"/>
      <c r="AN32" s="314"/>
      <c r="AO32" s="97" t="s">
        <v>189</v>
      </c>
      <c r="AP32" s="97"/>
      <c r="AQ32" s="97"/>
      <c r="AR32" s="97"/>
      <c r="AS32" s="97"/>
      <c r="AT32" s="98" t="s">
        <v>184</v>
      </c>
      <c r="AU32" s="98"/>
      <c r="AV32" s="96">
        <f>CEILING(AV29*0.32+5,0.5)</f>
        <v>57.5</v>
      </c>
      <c r="AW32" s="96"/>
      <c r="AX32" s="96"/>
      <c r="AY32" s="96"/>
      <c r="AZ32" s="96">
        <f>CEILING(AZ29*0.32+5,0.5)</f>
        <v>61</v>
      </c>
      <c r="BA32" s="96"/>
      <c r="BB32" s="96"/>
      <c r="BC32" s="96"/>
      <c r="BD32" s="96">
        <f>CEILING(BD29*0.32+5,0.5)</f>
        <v>64</v>
      </c>
      <c r="BE32" s="96"/>
      <c r="BF32" s="96"/>
      <c r="BG32" s="96"/>
      <c r="BH32" s="96">
        <f>CEILING(BH29*0.32+5,0.5)</f>
        <v>67.5</v>
      </c>
      <c r="BI32" s="96"/>
      <c r="BJ32" s="96"/>
      <c r="BK32" s="96"/>
    </row>
    <row r="33" spans="1:63" ht="16.5" customHeight="1">
      <c r="A33" s="163"/>
      <c r="B33" s="163"/>
      <c r="C33" s="163"/>
      <c r="D33" s="163"/>
      <c r="E33" s="163"/>
      <c r="F33" s="94"/>
      <c r="G33" s="94"/>
      <c r="H33" s="94"/>
      <c r="I33" s="97"/>
      <c r="J33" s="97"/>
      <c r="K33" s="97"/>
      <c r="L33" s="97"/>
      <c r="M33" s="97"/>
      <c r="N33" s="98" t="s">
        <v>186</v>
      </c>
      <c r="O33" s="98"/>
      <c r="P33" s="96">
        <f>CEILING(P32*0.95,0.5)</f>
        <v>47.5</v>
      </c>
      <c r="Q33" s="96"/>
      <c r="R33" s="96"/>
      <c r="S33" s="96"/>
      <c r="T33" s="96">
        <f>CEILING(T32*0.95,0.5)</f>
        <v>50.5</v>
      </c>
      <c r="U33" s="96"/>
      <c r="V33" s="96"/>
      <c r="W33" s="96"/>
      <c r="X33" s="96">
        <f>CEILING(X32*0.95,0.5)</f>
        <v>53</v>
      </c>
      <c r="Y33" s="96"/>
      <c r="Z33" s="96"/>
      <c r="AA33" s="96"/>
      <c r="AB33" s="96">
        <f>CEILING(AB32*0.95,0.5)</f>
        <v>56</v>
      </c>
      <c r="AC33" s="96"/>
      <c r="AD33" s="96"/>
      <c r="AE33" s="96"/>
      <c r="AG33" s="163"/>
      <c r="AH33" s="163"/>
      <c r="AI33" s="163"/>
      <c r="AJ33" s="163"/>
      <c r="AK33" s="163"/>
      <c r="AL33" s="314"/>
      <c r="AM33" s="314"/>
      <c r="AN33" s="314"/>
      <c r="AO33" s="97"/>
      <c r="AP33" s="97"/>
      <c r="AQ33" s="97"/>
      <c r="AR33" s="97"/>
      <c r="AS33" s="97"/>
      <c r="AT33" s="98" t="s">
        <v>186</v>
      </c>
      <c r="AU33" s="98"/>
      <c r="AV33" s="96">
        <f>CEILING(AV32*0.95,0.5)</f>
        <v>55</v>
      </c>
      <c r="AW33" s="96"/>
      <c r="AX33" s="96"/>
      <c r="AY33" s="96"/>
      <c r="AZ33" s="96">
        <f>CEILING(AZ32*0.95,0.5)</f>
        <v>58</v>
      </c>
      <c r="BA33" s="96"/>
      <c r="BB33" s="96"/>
      <c r="BC33" s="96"/>
      <c r="BD33" s="96">
        <f>CEILING(BD32*0.95,0.5)</f>
        <v>61</v>
      </c>
      <c r="BE33" s="96"/>
      <c r="BF33" s="96"/>
      <c r="BG33" s="96"/>
      <c r="BH33" s="96">
        <f>CEILING(BH32*0.95,0.5)</f>
        <v>64.5</v>
      </c>
      <c r="BI33" s="96"/>
      <c r="BJ33" s="96"/>
      <c r="BK33" s="96"/>
    </row>
    <row r="34" spans="1:63" ht="16.5" customHeight="1">
      <c r="A34" s="163"/>
      <c r="B34" s="163"/>
      <c r="C34" s="163"/>
      <c r="D34" s="163"/>
      <c r="E34" s="163"/>
      <c r="F34" s="94"/>
      <c r="G34" s="94"/>
      <c r="H34" s="94"/>
      <c r="I34" s="97"/>
      <c r="J34" s="97"/>
      <c r="K34" s="97"/>
      <c r="L34" s="97"/>
      <c r="M34" s="97"/>
      <c r="N34" s="98" t="s">
        <v>96</v>
      </c>
      <c r="O34" s="98"/>
      <c r="P34" s="96">
        <f>CEILING(P31*0.28+5,0.5)</f>
        <v>44.5</v>
      </c>
      <c r="Q34" s="96"/>
      <c r="R34" s="96"/>
      <c r="S34" s="96"/>
      <c r="T34" s="96">
        <f>CEILING(T31*0.28+5,0.5)</f>
        <v>47</v>
      </c>
      <c r="U34" s="96"/>
      <c r="V34" s="96"/>
      <c r="W34" s="96"/>
      <c r="X34" s="96">
        <f>CEILING(X31*0.28+5,0.5)</f>
        <v>50</v>
      </c>
      <c r="Y34" s="96"/>
      <c r="Z34" s="96"/>
      <c r="AA34" s="96"/>
      <c r="AB34" s="96">
        <f>CEILING(AB31*0.28+5,0.5)</f>
        <v>52.5</v>
      </c>
      <c r="AC34" s="96"/>
      <c r="AD34" s="96"/>
      <c r="AE34" s="96"/>
      <c r="AG34" s="163"/>
      <c r="AH34" s="163"/>
      <c r="AI34" s="163"/>
      <c r="AJ34" s="163"/>
      <c r="AK34" s="163"/>
      <c r="AL34" s="314"/>
      <c r="AM34" s="314"/>
      <c r="AN34" s="314"/>
      <c r="AO34" s="97"/>
      <c r="AP34" s="97"/>
      <c r="AQ34" s="97"/>
      <c r="AR34" s="97"/>
      <c r="AS34" s="97"/>
      <c r="AT34" s="98" t="s">
        <v>96</v>
      </c>
      <c r="AU34" s="98"/>
      <c r="AV34" s="96">
        <f>CEILING(AV31*0.32+5,0.5)</f>
        <v>51</v>
      </c>
      <c r="AW34" s="96"/>
      <c r="AX34" s="96"/>
      <c r="AY34" s="96"/>
      <c r="AZ34" s="96">
        <f>CEILING(AZ31*0.32+5,0.5)</f>
        <v>54</v>
      </c>
      <c r="BA34" s="96"/>
      <c r="BB34" s="96"/>
      <c r="BC34" s="96"/>
      <c r="BD34" s="96">
        <f>CEILING(BD31*0.32+5,0.5)</f>
        <v>57.5</v>
      </c>
      <c r="BE34" s="96"/>
      <c r="BF34" s="96"/>
      <c r="BG34" s="96"/>
      <c r="BH34" s="96">
        <f>CEILING(BH31*0.32+5,0.5)</f>
        <v>60.5</v>
      </c>
      <c r="BI34" s="96"/>
      <c r="BJ34" s="96"/>
      <c r="BK34" s="96"/>
    </row>
    <row r="35" spans="1:63" ht="16.5" customHeight="1">
      <c r="A35" s="163"/>
      <c r="B35" s="163"/>
      <c r="C35" s="163"/>
      <c r="D35" s="163"/>
      <c r="E35" s="163"/>
      <c r="F35" s="94"/>
      <c r="G35" s="94"/>
      <c r="H35" s="94"/>
      <c r="I35" s="158" t="s">
        <v>21</v>
      </c>
      <c r="J35" s="158"/>
      <c r="K35" s="158"/>
      <c r="L35" s="158"/>
      <c r="M35" s="158"/>
      <c r="N35" s="84" t="s">
        <v>184</v>
      </c>
      <c r="O35" s="84"/>
      <c r="P35" s="83">
        <f>P29-4</f>
        <v>156</v>
      </c>
      <c r="Q35" s="83"/>
      <c r="R35" s="83"/>
      <c r="S35" s="83"/>
      <c r="T35" s="83">
        <f>P35+8</f>
        <v>164</v>
      </c>
      <c r="U35" s="83"/>
      <c r="V35" s="83"/>
      <c r="W35" s="83"/>
      <c r="X35" s="83">
        <f>T35+8</f>
        <v>172</v>
      </c>
      <c r="Y35" s="83"/>
      <c r="Z35" s="83"/>
      <c r="AA35" s="83"/>
      <c r="AB35" s="83">
        <f>X35+8</f>
        <v>180</v>
      </c>
      <c r="AC35" s="83"/>
      <c r="AD35" s="83"/>
      <c r="AE35" s="83"/>
      <c r="AG35" s="163"/>
      <c r="AH35" s="163"/>
      <c r="AI35" s="163"/>
      <c r="AJ35" s="163"/>
      <c r="AK35" s="163"/>
      <c r="AL35" s="314"/>
      <c r="AM35" s="314"/>
      <c r="AN35" s="314"/>
      <c r="AO35" s="158" t="s">
        <v>21</v>
      </c>
      <c r="AP35" s="158"/>
      <c r="AQ35" s="158"/>
      <c r="AR35" s="158"/>
      <c r="AS35" s="158"/>
      <c r="AT35" s="84" t="s">
        <v>184</v>
      </c>
      <c r="AU35" s="84"/>
      <c r="AV35" s="83">
        <f>AV29-4</f>
        <v>160</v>
      </c>
      <c r="AW35" s="83"/>
      <c r="AX35" s="83"/>
      <c r="AY35" s="83"/>
      <c r="AZ35" s="83">
        <f>AV35+8</f>
        <v>168</v>
      </c>
      <c r="BA35" s="83"/>
      <c r="BB35" s="83"/>
      <c r="BC35" s="83"/>
      <c r="BD35" s="83">
        <f>AZ35+8</f>
        <v>176</v>
      </c>
      <c r="BE35" s="83"/>
      <c r="BF35" s="83"/>
      <c r="BG35" s="83"/>
      <c r="BH35" s="83">
        <f>BD35+8</f>
        <v>184</v>
      </c>
      <c r="BI35" s="83"/>
      <c r="BJ35" s="83"/>
      <c r="BK35" s="83"/>
    </row>
    <row r="36" spans="1:63" ht="16.5" customHeight="1">
      <c r="A36" s="163"/>
      <c r="B36" s="163"/>
      <c r="C36" s="163"/>
      <c r="D36" s="163"/>
      <c r="E36" s="163"/>
      <c r="F36" s="94"/>
      <c r="G36" s="94"/>
      <c r="H36" s="94"/>
      <c r="I36" s="158"/>
      <c r="J36" s="158"/>
      <c r="K36" s="158"/>
      <c r="L36" s="158"/>
      <c r="M36" s="158"/>
      <c r="N36" s="84" t="s">
        <v>186</v>
      </c>
      <c r="O36" s="84"/>
      <c r="P36" s="83">
        <f>CEILING(P35*0.95,0.5)</f>
        <v>148.5</v>
      </c>
      <c r="Q36" s="83"/>
      <c r="R36" s="83"/>
      <c r="S36" s="83"/>
      <c r="T36" s="83">
        <f>CEILING(T35*0.95,0.5)</f>
        <v>156</v>
      </c>
      <c r="U36" s="83"/>
      <c r="V36" s="83"/>
      <c r="W36" s="83"/>
      <c r="X36" s="83">
        <f>CEILING(X35*0.95,0.5)</f>
        <v>163.5</v>
      </c>
      <c r="Y36" s="83"/>
      <c r="Z36" s="83"/>
      <c r="AA36" s="83"/>
      <c r="AB36" s="83">
        <f>CEILING(AB35*0.95,0.5)</f>
        <v>171</v>
      </c>
      <c r="AC36" s="83"/>
      <c r="AD36" s="83"/>
      <c r="AE36" s="83"/>
      <c r="AG36" s="163"/>
      <c r="AH36" s="163"/>
      <c r="AI36" s="163"/>
      <c r="AJ36" s="163"/>
      <c r="AK36" s="163"/>
      <c r="AL36" s="314"/>
      <c r="AM36" s="314"/>
      <c r="AN36" s="314"/>
      <c r="AO36" s="158"/>
      <c r="AP36" s="158"/>
      <c r="AQ36" s="158"/>
      <c r="AR36" s="158"/>
      <c r="AS36" s="158"/>
      <c r="AT36" s="84" t="s">
        <v>186</v>
      </c>
      <c r="AU36" s="84"/>
      <c r="AV36" s="83">
        <f>CEILING(AV35*0.95,0.5)</f>
        <v>152</v>
      </c>
      <c r="AW36" s="83"/>
      <c r="AX36" s="83"/>
      <c r="AY36" s="83"/>
      <c r="AZ36" s="83">
        <f>CEILING(AZ35*0.95,0.5)</f>
        <v>160</v>
      </c>
      <c r="BA36" s="83"/>
      <c r="BB36" s="83"/>
      <c r="BC36" s="83"/>
      <c r="BD36" s="83">
        <f>CEILING(BD35*0.95,0.5)</f>
        <v>167.5</v>
      </c>
      <c r="BE36" s="83"/>
      <c r="BF36" s="83"/>
      <c r="BG36" s="83"/>
      <c r="BH36" s="83">
        <f>CEILING(BH35*0.95,0.5)</f>
        <v>175</v>
      </c>
      <c r="BI36" s="83"/>
      <c r="BJ36" s="83"/>
      <c r="BK36" s="83"/>
    </row>
    <row r="37" spans="1:63" ht="16.5" customHeight="1">
      <c r="A37" s="163"/>
      <c r="B37" s="163"/>
      <c r="C37" s="163"/>
      <c r="D37" s="163"/>
      <c r="E37" s="163"/>
      <c r="F37" s="94"/>
      <c r="G37" s="94"/>
      <c r="H37" s="94"/>
      <c r="I37" s="158"/>
      <c r="J37" s="158"/>
      <c r="K37" s="158"/>
      <c r="L37" s="158"/>
      <c r="M37" s="158"/>
      <c r="N37" s="84" t="s">
        <v>96</v>
      </c>
      <c r="O37" s="84"/>
      <c r="P37" s="83">
        <f>P31-4</f>
        <v>135.5</v>
      </c>
      <c r="Q37" s="83"/>
      <c r="R37" s="83"/>
      <c r="S37" s="83"/>
      <c r="T37" s="83">
        <f>P37+8</f>
        <v>143.5</v>
      </c>
      <c r="U37" s="83"/>
      <c r="V37" s="83"/>
      <c r="W37" s="83"/>
      <c r="X37" s="83">
        <f>T37+8</f>
        <v>151.5</v>
      </c>
      <c r="Y37" s="83"/>
      <c r="Z37" s="83"/>
      <c r="AA37" s="83"/>
      <c r="AB37" s="83">
        <f>X37+8</f>
        <v>159.5</v>
      </c>
      <c r="AC37" s="83"/>
      <c r="AD37" s="83"/>
      <c r="AE37" s="83"/>
      <c r="AG37" s="163"/>
      <c r="AH37" s="163"/>
      <c r="AI37" s="163"/>
      <c r="AJ37" s="163"/>
      <c r="AK37" s="163"/>
      <c r="AL37" s="314"/>
      <c r="AM37" s="314"/>
      <c r="AN37" s="314"/>
      <c r="AO37" s="158"/>
      <c r="AP37" s="158"/>
      <c r="AQ37" s="158"/>
      <c r="AR37" s="158"/>
      <c r="AS37" s="158"/>
      <c r="AT37" s="84" t="s">
        <v>96</v>
      </c>
      <c r="AU37" s="84"/>
      <c r="AV37" s="83">
        <f>AV31-4</f>
        <v>139</v>
      </c>
      <c r="AW37" s="83"/>
      <c r="AX37" s="83"/>
      <c r="AY37" s="83"/>
      <c r="AZ37" s="83">
        <f>AV37+8</f>
        <v>147</v>
      </c>
      <c r="BA37" s="83"/>
      <c r="BB37" s="83"/>
      <c r="BC37" s="83"/>
      <c r="BD37" s="83">
        <f>AZ37+8</f>
        <v>155</v>
      </c>
      <c r="BE37" s="83"/>
      <c r="BF37" s="83"/>
      <c r="BG37" s="83"/>
      <c r="BH37" s="83">
        <f>BD37+8</f>
        <v>163</v>
      </c>
      <c r="BI37" s="83"/>
      <c r="BJ37" s="83"/>
      <c r="BK37" s="83"/>
    </row>
    <row r="38" spans="1:63" ht="16.5" customHeight="1">
      <c r="A38" s="163"/>
      <c r="B38" s="163"/>
      <c r="C38" s="163"/>
      <c r="D38" s="163"/>
      <c r="E38" s="163"/>
      <c r="F38" s="94"/>
      <c r="G38" s="94"/>
      <c r="H38" s="94"/>
      <c r="I38" s="80" t="s">
        <v>59</v>
      </c>
      <c r="J38" s="80"/>
      <c r="K38" s="80"/>
      <c r="L38" s="80"/>
      <c r="M38" s="80"/>
      <c r="N38" s="81" t="s">
        <v>184</v>
      </c>
      <c r="O38" s="81"/>
      <c r="P38" s="89">
        <f>CEILING(P35*0.28+5,0.5)</f>
        <v>49</v>
      </c>
      <c r="Q38" s="89"/>
      <c r="R38" s="89"/>
      <c r="S38" s="89"/>
      <c r="T38" s="89">
        <f>CEILING(T35*0.28+5,0.5)</f>
        <v>51</v>
      </c>
      <c r="U38" s="89"/>
      <c r="V38" s="89"/>
      <c r="W38" s="89"/>
      <c r="X38" s="89">
        <f>CEILING(X35*0.28+5,0.5)</f>
        <v>53.5</v>
      </c>
      <c r="Y38" s="89"/>
      <c r="Z38" s="89"/>
      <c r="AA38" s="89"/>
      <c r="AB38" s="89">
        <f>CEILING(AB35*0.28+5,0.5)</f>
        <v>55.5</v>
      </c>
      <c r="AC38" s="89"/>
      <c r="AD38" s="89"/>
      <c r="AE38" s="89"/>
      <c r="AG38" s="163"/>
      <c r="AH38" s="163"/>
      <c r="AI38" s="163"/>
      <c r="AJ38" s="163"/>
      <c r="AK38" s="163"/>
      <c r="AL38" s="314"/>
      <c r="AM38" s="314"/>
      <c r="AN38" s="314"/>
      <c r="AO38" s="80" t="s">
        <v>190</v>
      </c>
      <c r="AP38" s="80"/>
      <c r="AQ38" s="80"/>
      <c r="AR38" s="80"/>
      <c r="AS38" s="80"/>
      <c r="AT38" s="81" t="s">
        <v>184</v>
      </c>
      <c r="AU38" s="81"/>
      <c r="AV38" s="89">
        <f>CEILING(AV35*0.32+5,0.5)</f>
        <v>56.5</v>
      </c>
      <c r="AW38" s="89"/>
      <c r="AX38" s="89"/>
      <c r="AY38" s="89"/>
      <c r="AZ38" s="89">
        <f>CEILING(AZ35*0.32+5,0.5)</f>
        <v>59</v>
      </c>
      <c r="BA38" s="89"/>
      <c r="BB38" s="89"/>
      <c r="BC38" s="89"/>
      <c r="BD38" s="89">
        <f>CEILING(BD35*0.32+5,0.5)</f>
        <v>61.5</v>
      </c>
      <c r="BE38" s="89"/>
      <c r="BF38" s="89"/>
      <c r="BG38" s="89"/>
      <c r="BH38" s="89">
        <f>CEILING(BH35*0.32+5,0.5)</f>
        <v>64</v>
      </c>
      <c r="BI38" s="89"/>
      <c r="BJ38" s="89"/>
      <c r="BK38" s="89"/>
    </row>
    <row r="39" spans="1:63" ht="16.5" customHeight="1">
      <c r="A39" s="163"/>
      <c r="B39" s="163"/>
      <c r="C39" s="163"/>
      <c r="D39" s="163"/>
      <c r="E39" s="163"/>
      <c r="F39" s="94"/>
      <c r="G39" s="94"/>
      <c r="H39" s="94"/>
      <c r="I39" s="80"/>
      <c r="J39" s="80"/>
      <c r="K39" s="80"/>
      <c r="L39" s="80"/>
      <c r="M39" s="80"/>
      <c r="N39" s="81" t="s">
        <v>186</v>
      </c>
      <c r="O39" s="81"/>
      <c r="P39" s="89">
        <f>CEILING(P38*0.95,0.5)</f>
        <v>47</v>
      </c>
      <c r="Q39" s="89"/>
      <c r="R39" s="89"/>
      <c r="S39" s="89"/>
      <c r="T39" s="89">
        <f>CEILING(T38*0.95,0.5)</f>
        <v>48.5</v>
      </c>
      <c r="U39" s="89"/>
      <c r="V39" s="89"/>
      <c r="W39" s="89"/>
      <c r="X39" s="89">
        <f>CEILING(X38*0.95,0.5)</f>
        <v>51</v>
      </c>
      <c r="Y39" s="89"/>
      <c r="Z39" s="89"/>
      <c r="AA39" s="89"/>
      <c r="AB39" s="89">
        <f>CEILING(AB38*0.95,0.5)</f>
        <v>53</v>
      </c>
      <c r="AC39" s="89"/>
      <c r="AD39" s="89"/>
      <c r="AE39" s="89"/>
      <c r="AG39" s="163"/>
      <c r="AH39" s="163"/>
      <c r="AI39" s="163"/>
      <c r="AJ39" s="163"/>
      <c r="AK39" s="163"/>
      <c r="AL39" s="314"/>
      <c r="AM39" s="314"/>
      <c r="AN39" s="314"/>
      <c r="AO39" s="80"/>
      <c r="AP39" s="80"/>
      <c r="AQ39" s="80"/>
      <c r="AR39" s="80"/>
      <c r="AS39" s="80"/>
      <c r="AT39" s="81" t="s">
        <v>186</v>
      </c>
      <c r="AU39" s="81"/>
      <c r="AV39" s="89">
        <f>CEILING(AV38*0.95,0.5)</f>
        <v>54</v>
      </c>
      <c r="AW39" s="89"/>
      <c r="AX39" s="89"/>
      <c r="AY39" s="89"/>
      <c r="AZ39" s="89">
        <f>CEILING(AZ38*0.95,0.5)</f>
        <v>56.5</v>
      </c>
      <c r="BA39" s="89"/>
      <c r="BB39" s="89"/>
      <c r="BC39" s="89"/>
      <c r="BD39" s="89">
        <f>CEILING(BD38*0.95,0.5)</f>
        <v>58.5</v>
      </c>
      <c r="BE39" s="89"/>
      <c r="BF39" s="89"/>
      <c r="BG39" s="89"/>
      <c r="BH39" s="89">
        <f>CEILING(BH38*0.95,0.5)</f>
        <v>61</v>
      </c>
      <c r="BI39" s="89"/>
      <c r="BJ39" s="89"/>
      <c r="BK39" s="89"/>
    </row>
    <row r="40" spans="1:63" ht="16.5" customHeight="1">
      <c r="A40" s="163"/>
      <c r="B40" s="163"/>
      <c r="C40" s="163"/>
      <c r="D40" s="163"/>
      <c r="E40" s="163"/>
      <c r="F40" s="94"/>
      <c r="G40" s="94"/>
      <c r="H40" s="94"/>
      <c r="I40" s="80"/>
      <c r="J40" s="80"/>
      <c r="K40" s="80"/>
      <c r="L40" s="80"/>
      <c r="M40" s="80"/>
      <c r="N40" s="81" t="s">
        <v>96</v>
      </c>
      <c r="O40" s="81"/>
      <c r="P40" s="89">
        <f>CEILING(P37*0.28+5,0.5)</f>
        <v>43</v>
      </c>
      <c r="Q40" s="89"/>
      <c r="R40" s="89"/>
      <c r="S40" s="89"/>
      <c r="T40" s="89">
        <f>CEILING(T37*0.28+5,0.5)</f>
        <v>45.5</v>
      </c>
      <c r="U40" s="89"/>
      <c r="V40" s="89"/>
      <c r="W40" s="89"/>
      <c r="X40" s="89">
        <f>CEILING(X37*0.28+5,0.5)</f>
        <v>47.5</v>
      </c>
      <c r="Y40" s="89"/>
      <c r="Z40" s="89"/>
      <c r="AA40" s="89"/>
      <c r="AB40" s="89">
        <f>CEILING(AB37*0.28+5,0.5)</f>
        <v>50</v>
      </c>
      <c r="AC40" s="89"/>
      <c r="AD40" s="89"/>
      <c r="AE40" s="89"/>
      <c r="AG40" s="163"/>
      <c r="AH40" s="163"/>
      <c r="AI40" s="163"/>
      <c r="AJ40" s="163"/>
      <c r="AK40" s="163"/>
      <c r="AL40" s="314"/>
      <c r="AM40" s="314"/>
      <c r="AN40" s="314"/>
      <c r="AO40" s="80"/>
      <c r="AP40" s="80"/>
      <c r="AQ40" s="80"/>
      <c r="AR40" s="80"/>
      <c r="AS40" s="80"/>
      <c r="AT40" s="81" t="s">
        <v>96</v>
      </c>
      <c r="AU40" s="81"/>
      <c r="AV40" s="89">
        <f>CEILING(AV37*0.32+5,0.5)</f>
        <v>49.5</v>
      </c>
      <c r="AW40" s="89"/>
      <c r="AX40" s="89"/>
      <c r="AY40" s="89"/>
      <c r="AZ40" s="89">
        <f>CEILING(AZ37*0.32+5,0.5)</f>
        <v>52.5</v>
      </c>
      <c r="BA40" s="89"/>
      <c r="BB40" s="89"/>
      <c r="BC40" s="89"/>
      <c r="BD40" s="89">
        <f>CEILING(BD37*0.32+5,0.5)</f>
        <v>55</v>
      </c>
      <c r="BE40" s="89"/>
      <c r="BF40" s="89"/>
      <c r="BG40" s="89"/>
      <c r="BH40" s="89">
        <f>CEILING(BH37*0.32+5,0.5)</f>
        <v>57.5</v>
      </c>
      <c r="BI40" s="89"/>
      <c r="BJ40" s="89"/>
      <c r="BK40" s="89"/>
    </row>
    <row r="41" spans="1:63" ht="16.5" customHeight="1">
      <c r="A41" s="9" t="s">
        <v>60</v>
      </c>
      <c r="B41" s="9"/>
      <c r="D41" s="9"/>
      <c r="E41" s="9"/>
      <c r="F41" s="27"/>
      <c r="G41" s="27"/>
      <c r="H41" s="27"/>
      <c r="I41" s="28"/>
      <c r="J41" s="28"/>
      <c r="K41" s="28"/>
      <c r="L41" s="28"/>
      <c r="M41" s="28"/>
      <c r="N41" s="22"/>
      <c r="O41" s="22"/>
      <c r="P41" s="29"/>
      <c r="Q41" s="29"/>
      <c r="R41" s="29"/>
      <c r="S41" s="29"/>
      <c r="T41" s="29"/>
      <c r="U41" s="29"/>
      <c r="V41" s="29"/>
      <c r="W41" s="29"/>
      <c r="X41" s="29"/>
      <c r="Y41" s="29"/>
      <c r="Z41" s="29"/>
      <c r="AA41" s="29"/>
      <c r="AB41" s="29"/>
      <c r="AC41" s="29"/>
      <c r="AD41" s="29"/>
      <c r="AE41" s="29"/>
      <c r="AG41" s="9"/>
      <c r="AH41" s="9"/>
      <c r="AI41" s="9"/>
      <c r="AJ41" s="9"/>
      <c r="AK41" s="9"/>
      <c r="AL41" s="64"/>
      <c r="AM41" s="64"/>
      <c r="AN41" s="64"/>
      <c r="AO41" s="28"/>
      <c r="AP41" s="28"/>
      <c r="AQ41" s="28"/>
      <c r="AR41" s="28"/>
      <c r="AS41" s="28"/>
      <c r="AT41" s="22"/>
      <c r="AU41" s="22"/>
      <c r="AV41" s="29"/>
      <c r="AW41" s="29"/>
      <c r="AX41" s="29"/>
      <c r="AY41" s="29"/>
      <c r="AZ41" s="29"/>
      <c r="BA41" s="29"/>
      <c r="BB41" s="29"/>
      <c r="BC41" s="29"/>
      <c r="BD41" s="29"/>
      <c r="BE41" s="29"/>
      <c r="BF41" s="29"/>
      <c r="BG41" s="29"/>
      <c r="BH41" s="29"/>
      <c r="BI41" s="29"/>
      <c r="BJ41" s="29"/>
      <c r="BK41" s="29"/>
    </row>
    <row r="42" spans="1:63" ht="16.5" customHeight="1">
      <c r="A42" s="9" t="s">
        <v>25</v>
      </c>
      <c r="B42" s="9"/>
      <c r="D42" s="9"/>
      <c r="E42" s="9"/>
      <c r="F42" s="27"/>
      <c r="G42" s="27"/>
      <c r="H42" s="27"/>
      <c r="I42" s="28"/>
      <c r="J42" s="28"/>
      <c r="K42" s="28"/>
      <c r="L42" s="28"/>
      <c r="M42" s="28"/>
      <c r="N42" s="22"/>
      <c r="O42" s="22"/>
      <c r="P42" s="29"/>
      <c r="Q42" s="29"/>
      <c r="R42" s="29"/>
      <c r="S42" s="29"/>
      <c r="T42" s="29"/>
      <c r="U42" s="29"/>
      <c r="V42" s="29"/>
      <c r="W42" s="29"/>
      <c r="X42" s="29"/>
      <c r="Y42" s="29"/>
      <c r="Z42" s="29"/>
      <c r="AA42" s="29"/>
      <c r="AB42" s="29"/>
      <c r="AC42" s="29"/>
      <c r="AD42" s="29"/>
      <c r="AE42" s="29"/>
      <c r="AG42" s="9"/>
      <c r="AH42" s="9"/>
      <c r="AI42" s="9"/>
      <c r="AJ42" s="9"/>
      <c r="AK42" s="9"/>
      <c r="AL42" s="64"/>
      <c r="AM42" s="64"/>
      <c r="AN42" s="64"/>
      <c r="AO42" s="28"/>
      <c r="AP42" s="28"/>
      <c r="AQ42" s="28"/>
      <c r="AR42" s="28"/>
      <c r="AS42" s="28"/>
      <c r="AT42" s="22"/>
      <c r="AU42" s="22"/>
      <c r="AV42" s="29"/>
      <c r="AW42" s="29"/>
      <c r="AX42" s="29"/>
      <c r="AY42" s="29"/>
      <c r="AZ42" s="29"/>
      <c r="BA42" s="29"/>
      <c r="BB42" s="29"/>
      <c r="BC42" s="29"/>
      <c r="BD42" s="29"/>
      <c r="BE42" s="29"/>
      <c r="BF42" s="29"/>
      <c r="BG42" s="29"/>
      <c r="BH42" s="29"/>
      <c r="BI42" s="29"/>
      <c r="BJ42" s="29"/>
      <c r="BK42" s="29"/>
    </row>
    <row r="43" spans="1:63" ht="16.5" customHeight="1">
      <c r="A43" s="9" t="s">
        <v>26</v>
      </c>
      <c r="B43" s="9"/>
      <c r="D43" s="9"/>
      <c r="E43" s="9"/>
      <c r="F43" s="27"/>
      <c r="G43" s="27"/>
      <c r="H43" s="27"/>
      <c r="I43" s="28"/>
      <c r="J43" s="28"/>
      <c r="K43" s="28"/>
      <c r="L43" s="28"/>
      <c r="M43" s="28"/>
      <c r="N43" s="22"/>
      <c r="O43" s="22"/>
      <c r="P43" s="29"/>
      <c r="Q43" s="29"/>
      <c r="R43" s="29"/>
      <c r="S43" s="29"/>
      <c r="T43" s="29"/>
      <c r="U43" s="29"/>
      <c r="V43" s="29"/>
      <c r="W43" s="29"/>
      <c r="X43" s="29"/>
      <c r="Y43" s="29"/>
      <c r="Z43" s="29"/>
      <c r="AA43" s="29"/>
      <c r="AB43" s="29"/>
      <c r="AC43" s="29"/>
      <c r="AD43" s="29"/>
      <c r="AE43" s="29"/>
      <c r="AG43" s="9"/>
      <c r="AH43" s="9"/>
      <c r="AI43" s="9"/>
      <c r="AJ43" s="9"/>
      <c r="AK43" s="9"/>
      <c r="AL43" s="64"/>
      <c r="AM43" s="64"/>
      <c r="AN43" s="64"/>
      <c r="AO43" s="28"/>
      <c r="AP43" s="28"/>
      <c r="AQ43" s="28"/>
      <c r="AR43" s="28"/>
      <c r="AS43" s="28"/>
      <c r="AT43" s="22"/>
      <c r="AU43" s="22"/>
      <c r="AV43" s="29"/>
      <c r="AW43" s="29"/>
      <c r="AX43" s="29"/>
      <c r="AY43" s="29"/>
      <c r="AZ43" s="29"/>
      <c r="BA43" s="29"/>
      <c r="BB43" s="29"/>
      <c r="BC43" s="29"/>
      <c r="BD43" s="29"/>
      <c r="BE43" s="29"/>
      <c r="BF43" s="29"/>
      <c r="BG43" s="29"/>
      <c r="BH43" s="29"/>
      <c r="BI43" s="29"/>
      <c r="BJ43" s="29"/>
      <c r="BK43" s="29"/>
    </row>
    <row r="44" spans="1:63" ht="16.5" customHeight="1" thickBot="1">
      <c r="A44" s="9"/>
      <c r="B44" s="9"/>
      <c r="C44" s="9"/>
      <c r="D44" s="9"/>
      <c r="E44" s="9"/>
      <c r="F44" s="27"/>
      <c r="G44" s="27"/>
      <c r="H44" s="27"/>
      <c r="I44" s="28"/>
      <c r="J44" s="28"/>
      <c r="K44" s="28"/>
      <c r="L44" s="28"/>
      <c r="M44" s="28"/>
      <c r="N44" s="22"/>
      <c r="O44" s="22"/>
      <c r="P44" s="29"/>
      <c r="Q44" s="29"/>
      <c r="R44" s="29"/>
      <c r="S44" s="29"/>
      <c r="T44" s="29"/>
      <c r="U44" s="29"/>
      <c r="V44" s="29"/>
      <c r="W44" s="29"/>
      <c r="X44" s="29"/>
      <c r="Y44" s="29"/>
      <c r="Z44" s="29"/>
      <c r="AA44" s="29"/>
      <c r="AB44" s="29"/>
      <c r="AC44" s="29"/>
      <c r="AD44" s="29"/>
      <c r="AE44" s="29"/>
      <c r="AG44" s="9"/>
      <c r="AH44" s="9"/>
      <c r="AI44" s="9"/>
      <c r="AJ44" s="9"/>
      <c r="AK44" s="9"/>
      <c r="AL44" s="64"/>
      <c r="AM44" s="64"/>
      <c r="AN44" s="64"/>
      <c r="AO44" s="28"/>
      <c r="AP44" s="28"/>
      <c r="AQ44" s="28"/>
      <c r="AR44" s="28"/>
      <c r="AS44" s="28"/>
      <c r="AT44" s="22"/>
      <c r="AU44" s="22"/>
      <c r="AV44" s="29"/>
      <c r="AW44" s="29"/>
      <c r="AX44" s="29"/>
      <c r="AY44" s="29"/>
      <c r="AZ44" s="29"/>
      <c r="BA44" s="29"/>
      <c r="BB44" s="29"/>
      <c r="BC44" s="29"/>
      <c r="BD44" s="29"/>
      <c r="BE44" s="29"/>
      <c r="BF44" s="29"/>
      <c r="BG44" s="29"/>
      <c r="BH44" s="29"/>
      <c r="BI44" s="29"/>
      <c r="BJ44" s="29"/>
      <c r="BK44" s="29"/>
    </row>
    <row r="45" spans="1:63" ht="16.5" customHeight="1" thickTop="1">
      <c r="A45" s="90" t="s">
        <v>27</v>
      </c>
      <c r="B45" s="91"/>
      <c r="C45" s="91"/>
      <c r="D45" s="91"/>
      <c r="E45" s="91"/>
      <c r="F45" s="91"/>
      <c r="G45" s="91"/>
      <c r="H45" s="91"/>
      <c r="I45" s="91"/>
      <c r="J45" s="91"/>
      <c r="K45" s="91"/>
      <c r="L45" s="91"/>
      <c r="M45" s="91"/>
      <c r="N45" s="91"/>
      <c r="O45" s="91"/>
      <c r="P45" s="91"/>
      <c r="Q45" s="91"/>
      <c r="R45" s="91"/>
      <c r="S45" s="91"/>
      <c r="T45" s="92"/>
      <c r="U45" s="29"/>
      <c r="V45" s="29"/>
      <c r="W45" s="29"/>
      <c r="X45" s="29"/>
      <c r="Y45" s="29"/>
      <c r="Z45" s="29"/>
      <c r="AA45" s="29"/>
      <c r="AB45" s="29"/>
      <c r="AC45" s="29"/>
      <c r="AD45" s="29"/>
      <c r="AE45" s="29"/>
      <c r="AG45" s="9"/>
      <c r="AH45" s="9"/>
      <c r="AI45" s="9"/>
      <c r="AJ45" s="9"/>
      <c r="AK45" s="9"/>
      <c r="AL45" s="64"/>
      <c r="AM45" s="64"/>
      <c r="AN45" s="64"/>
      <c r="AO45" s="28"/>
      <c r="AP45" s="28"/>
      <c r="AQ45" s="28"/>
      <c r="AR45" s="28"/>
      <c r="AS45" s="28"/>
      <c r="AT45" s="22"/>
      <c r="AU45" s="22"/>
      <c r="AV45" s="29"/>
      <c r="AW45" s="29"/>
      <c r="AX45" s="29"/>
      <c r="AY45" s="29"/>
      <c r="AZ45" s="29"/>
      <c r="BA45" s="29"/>
      <c r="BB45" s="29"/>
      <c r="BC45" s="29"/>
      <c r="BD45" s="29"/>
      <c r="BE45" s="29"/>
      <c r="BF45" s="29"/>
      <c r="BG45" s="29"/>
      <c r="BH45" s="29"/>
      <c r="BI45" s="29"/>
      <c r="BJ45" s="29"/>
      <c r="BK45" s="29"/>
    </row>
    <row r="46" spans="1:63" ht="16.5" customHeight="1" thickBot="1">
      <c r="A46" s="159" t="s">
        <v>191</v>
      </c>
      <c r="B46" s="160"/>
      <c r="C46" s="160"/>
      <c r="D46" s="160"/>
      <c r="E46" s="160"/>
      <c r="F46" s="160"/>
      <c r="G46" s="160"/>
      <c r="H46" s="161"/>
      <c r="I46" s="160" t="s">
        <v>29</v>
      </c>
      <c r="J46" s="160"/>
      <c r="K46" s="160"/>
      <c r="L46" s="160"/>
      <c r="M46" s="160"/>
      <c r="N46" s="160"/>
      <c r="O46" s="160"/>
      <c r="P46" s="160"/>
      <c r="Q46" s="160"/>
      <c r="R46" s="160"/>
      <c r="S46" s="160"/>
      <c r="T46" s="162"/>
      <c r="U46" s="14"/>
      <c r="V46" s="14"/>
      <c r="W46" s="14"/>
      <c r="X46" s="14"/>
      <c r="Y46" s="29"/>
      <c r="Z46" s="29"/>
      <c r="AA46" s="29"/>
      <c r="AB46" s="29"/>
      <c r="AC46" s="29"/>
      <c r="AD46" s="29"/>
      <c r="AE46" s="29"/>
      <c r="AG46" s="9"/>
      <c r="AH46" s="9"/>
      <c r="AI46" s="9"/>
      <c r="AJ46" s="9"/>
      <c r="AK46" s="9"/>
      <c r="AL46" s="64"/>
      <c r="AM46" s="64"/>
      <c r="AN46" s="64"/>
      <c r="AO46" s="28"/>
      <c r="AP46" s="28"/>
      <c r="AQ46" s="28"/>
      <c r="AR46" s="28"/>
      <c r="AS46" s="28"/>
      <c r="AT46" s="22"/>
      <c r="AU46" s="22"/>
      <c r="AV46" s="29"/>
      <c r="AW46" s="29"/>
      <c r="AX46" s="29"/>
      <c r="AY46" s="29"/>
      <c r="AZ46" s="29"/>
      <c r="BA46" s="29"/>
      <c r="BB46" s="29"/>
      <c r="BC46" s="29"/>
      <c r="BD46" s="29"/>
      <c r="BE46" s="29"/>
      <c r="BF46" s="29"/>
      <c r="BG46" s="29"/>
      <c r="BH46" s="29"/>
      <c r="BI46" s="29"/>
      <c r="BJ46" s="29"/>
      <c r="BK46" s="29"/>
    </row>
    <row r="47" spans="1:63" ht="16.5" customHeight="1" thickTop="1">
      <c r="U47" s="14"/>
      <c r="V47" s="14"/>
      <c r="W47" s="14"/>
      <c r="X47" s="14"/>
      <c r="Y47" s="29"/>
      <c r="Z47" s="29"/>
      <c r="AA47" s="29"/>
      <c r="AB47" s="29"/>
      <c r="AC47" s="29"/>
      <c r="AD47" s="29"/>
      <c r="AE47" s="29"/>
      <c r="AG47" s="9"/>
      <c r="AH47" s="9"/>
      <c r="AI47" s="9"/>
      <c r="AJ47" s="9"/>
      <c r="AK47" s="9"/>
      <c r="AL47" s="64"/>
      <c r="AM47" s="64"/>
      <c r="AN47" s="64"/>
      <c r="AO47" s="28"/>
      <c r="AP47" s="28"/>
      <c r="AQ47" s="28"/>
      <c r="AR47" s="28"/>
      <c r="AS47" s="28"/>
      <c r="AT47" s="22"/>
      <c r="AU47" s="22"/>
      <c r="AV47" s="29"/>
      <c r="AW47" s="29"/>
      <c r="AX47" s="29"/>
      <c r="AY47" s="29"/>
      <c r="AZ47" s="29"/>
      <c r="BA47" s="29"/>
      <c r="BB47" s="29"/>
      <c r="BC47" s="29"/>
      <c r="BD47" s="29"/>
      <c r="BE47" s="29"/>
      <c r="BF47" s="29"/>
      <c r="BG47" s="29"/>
      <c r="BH47" s="29"/>
      <c r="BI47" s="29"/>
      <c r="BJ47" s="29"/>
      <c r="BK47" s="29"/>
    </row>
    <row r="48" spans="1:63" ht="16.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29"/>
      <c r="Z48" s="29"/>
      <c r="AA48" s="29"/>
      <c r="AB48" s="29"/>
      <c r="AC48" s="29"/>
      <c r="AD48" s="29"/>
      <c r="AE48" s="29"/>
      <c r="AG48" s="9"/>
      <c r="AH48" s="9"/>
      <c r="AI48" s="9"/>
      <c r="AJ48" s="9"/>
      <c r="AK48" s="9"/>
      <c r="AL48" s="64"/>
      <c r="AM48" s="64"/>
      <c r="AN48" s="64"/>
      <c r="AO48" s="28"/>
      <c r="AP48" s="28"/>
      <c r="AQ48" s="28"/>
      <c r="AR48" s="28"/>
      <c r="AS48" s="28"/>
      <c r="AT48" s="22"/>
      <c r="AU48" s="22"/>
      <c r="AV48" s="29"/>
      <c r="AW48" s="29"/>
      <c r="AX48" s="29"/>
      <c r="AY48" s="29"/>
      <c r="AZ48" s="29"/>
      <c r="BA48" s="29"/>
      <c r="BB48" s="29"/>
      <c r="BC48" s="29"/>
      <c r="BD48" s="29"/>
      <c r="BE48" s="29"/>
      <c r="BF48" s="29"/>
      <c r="BG48" s="29"/>
      <c r="BH48" s="29"/>
      <c r="BI48" s="29"/>
      <c r="BJ48" s="29"/>
      <c r="BK48" s="29"/>
    </row>
    <row r="49" spans="1:63" ht="16.5" customHeight="1">
      <c r="U49" s="29"/>
      <c r="V49" s="29"/>
      <c r="W49" s="29"/>
      <c r="X49" s="29"/>
      <c r="Y49" s="29"/>
      <c r="Z49" s="29"/>
      <c r="AA49" s="29"/>
      <c r="AB49" s="29"/>
      <c r="AC49" s="29"/>
      <c r="AD49" s="29"/>
      <c r="AE49" s="29"/>
      <c r="AG49" s="9"/>
      <c r="AH49" s="9"/>
      <c r="AI49" s="9"/>
      <c r="AJ49" s="9"/>
      <c r="AK49" s="9"/>
      <c r="AL49" s="64"/>
      <c r="AM49" s="64"/>
      <c r="AN49" s="64"/>
      <c r="AO49" s="28"/>
      <c r="AP49" s="28"/>
      <c r="AQ49" s="28"/>
      <c r="AR49" s="28"/>
      <c r="AS49" s="28"/>
      <c r="AT49" s="22"/>
      <c r="AU49" s="22"/>
      <c r="AV49" s="29"/>
      <c r="AW49" s="29"/>
      <c r="AX49" s="29"/>
      <c r="AY49" s="29"/>
      <c r="AZ49" s="29"/>
      <c r="BA49" s="29"/>
      <c r="BB49" s="29"/>
      <c r="BC49" s="29"/>
      <c r="BD49" s="29"/>
      <c r="BE49" s="29"/>
      <c r="BF49" s="29"/>
      <c r="BG49" s="29"/>
      <c r="BH49" s="29"/>
      <c r="BI49" s="29"/>
      <c r="BJ49" s="29"/>
      <c r="BK49" s="29"/>
    </row>
    <row r="50" spans="1:63" ht="16.5" customHeight="1">
      <c r="U50" s="29"/>
      <c r="V50" s="29"/>
      <c r="W50" s="29"/>
      <c r="X50" s="29"/>
      <c r="Y50" s="29"/>
      <c r="Z50" s="14"/>
      <c r="AA50" s="14"/>
      <c r="AB50" s="14"/>
      <c r="AC50" s="14"/>
      <c r="AD50" s="14"/>
      <c r="AE50" s="14"/>
      <c r="AF50" s="14"/>
      <c r="AG50" s="14"/>
      <c r="AH50" s="14"/>
      <c r="AI50" s="14"/>
      <c r="AJ50" s="14"/>
      <c r="AK50" s="14"/>
      <c r="AL50" s="14"/>
      <c r="AM50" s="14"/>
      <c r="AN50" s="14"/>
      <c r="AO50" s="14"/>
      <c r="AP50" s="14"/>
      <c r="AQ50" s="14"/>
      <c r="AR50" s="14"/>
      <c r="AS50" s="14"/>
      <c r="AT50" s="22"/>
      <c r="AU50" s="22"/>
      <c r="AV50" s="29"/>
      <c r="AW50" s="29"/>
      <c r="AX50" s="29"/>
      <c r="AY50" s="29"/>
      <c r="AZ50" s="29"/>
      <c r="BA50" s="29"/>
      <c r="BB50" s="29"/>
      <c r="BC50" s="29"/>
      <c r="BD50" s="29"/>
      <c r="BE50" s="29"/>
      <c r="BF50" s="29"/>
      <c r="BG50" s="29"/>
      <c r="BH50" s="29"/>
      <c r="BI50" s="29"/>
      <c r="BJ50" s="29"/>
      <c r="BK50" s="29"/>
    </row>
    <row r="51" spans="1:63" ht="16.5" customHeight="1">
      <c r="A51" s="9"/>
      <c r="B51" s="9"/>
      <c r="C51" s="9"/>
      <c r="D51" s="9"/>
      <c r="E51" s="9"/>
      <c r="F51" s="27"/>
      <c r="G51" s="27"/>
      <c r="H51" s="27"/>
      <c r="I51" s="28"/>
      <c r="J51" s="28"/>
      <c r="K51" s="28"/>
      <c r="L51" s="28"/>
      <c r="M51" s="28"/>
      <c r="N51" s="22"/>
      <c r="O51" s="22"/>
      <c r="P51" s="29"/>
      <c r="Q51" s="29"/>
      <c r="R51" s="29"/>
      <c r="S51" s="29"/>
      <c r="T51" s="29"/>
      <c r="U51" s="29"/>
      <c r="V51" s="29"/>
      <c r="W51" s="29"/>
      <c r="X51" s="29"/>
      <c r="Y51" s="29"/>
      <c r="Z51" s="14"/>
      <c r="AA51" s="14"/>
      <c r="AB51" s="14"/>
      <c r="AC51" s="14"/>
      <c r="AD51" s="14"/>
      <c r="AE51" s="14"/>
      <c r="AF51" s="14"/>
      <c r="AG51" s="14"/>
      <c r="AH51" s="14"/>
      <c r="AI51" s="14"/>
      <c r="AJ51" s="14"/>
      <c r="AK51" s="14"/>
      <c r="AL51" s="14"/>
      <c r="AM51" s="14"/>
      <c r="AN51" s="14"/>
      <c r="AO51" s="14"/>
      <c r="AP51" s="14"/>
      <c r="AQ51" s="14"/>
      <c r="AR51" s="14"/>
      <c r="AS51" s="14"/>
      <c r="AT51" s="22"/>
      <c r="AU51" s="22"/>
      <c r="AV51" s="29"/>
      <c r="AW51" s="29"/>
      <c r="AX51" s="29"/>
      <c r="AY51" s="29"/>
      <c r="AZ51" s="29"/>
      <c r="BA51" s="29"/>
      <c r="BB51" s="29"/>
      <c r="BC51" s="29"/>
      <c r="BD51" s="29"/>
      <c r="BE51" s="29"/>
      <c r="BF51" s="29"/>
      <c r="BG51" s="29"/>
      <c r="BH51" s="29"/>
      <c r="BI51" s="29"/>
      <c r="BJ51" s="29"/>
      <c r="BK51" s="29"/>
    </row>
    <row r="52" spans="1:63" ht="16.5" customHeight="1">
      <c r="A52" s="9"/>
      <c r="B52" s="9"/>
      <c r="C52" s="9"/>
      <c r="D52" s="9"/>
      <c r="E52" s="9"/>
      <c r="F52" s="27"/>
      <c r="G52" s="27"/>
      <c r="H52" s="27"/>
      <c r="I52" s="28"/>
      <c r="J52" s="28"/>
      <c r="K52" s="28"/>
      <c r="L52" s="28"/>
      <c r="M52" s="28"/>
      <c r="N52" s="22"/>
      <c r="O52" s="22"/>
      <c r="P52" s="29"/>
      <c r="Q52" s="29"/>
      <c r="R52" s="29"/>
      <c r="S52" s="29"/>
      <c r="T52" s="29"/>
      <c r="U52" s="29"/>
      <c r="V52" s="29"/>
      <c r="W52" s="29"/>
      <c r="X52" s="29"/>
      <c r="Y52" s="29"/>
      <c r="Z52" s="14"/>
      <c r="AA52" s="14"/>
      <c r="AB52" s="14"/>
      <c r="AC52" s="14"/>
      <c r="AD52" s="14"/>
      <c r="AE52" s="14"/>
      <c r="AF52" s="14"/>
      <c r="AG52" s="14"/>
      <c r="AH52" s="14"/>
      <c r="AI52" s="14"/>
      <c r="AJ52" s="14"/>
      <c r="AK52" s="14"/>
      <c r="AL52" s="14"/>
      <c r="AM52" s="14"/>
      <c r="AN52" s="14"/>
      <c r="AO52" s="14"/>
      <c r="AP52" s="14"/>
      <c r="AQ52" s="14"/>
      <c r="AR52" s="14"/>
      <c r="AS52" s="14"/>
      <c r="AT52" s="22"/>
      <c r="AU52" s="22"/>
      <c r="AV52" s="29"/>
      <c r="AW52" s="29"/>
      <c r="AX52" s="29"/>
      <c r="AY52" s="29"/>
      <c r="AZ52" s="29"/>
      <c r="BA52" s="29"/>
      <c r="BB52" s="29"/>
      <c r="BC52" s="29"/>
      <c r="BD52" s="29"/>
      <c r="BE52" s="29"/>
      <c r="BF52" s="29"/>
      <c r="BG52" s="29"/>
      <c r="BH52" s="29"/>
      <c r="BI52" s="29"/>
      <c r="BJ52" s="29"/>
      <c r="BK52" s="29"/>
    </row>
    <row r="53" spans="1:63" ht="16.5" customHeight="1">
      <c r="A53" s="9"/>
      <c r="B53" s="9"/>
      <c r="C53" s="9"/>
      <c r="D53" s="9"/>
      <c r="E53" s="9"/>
      <c r="F53" s="27"/>
      <c r="G53" s="27"/>
      <c r="H53" s="27"/>
      <c r="I53" s="28"/>
      <c r="J53" s="28"/>
      <c r="K53" s="28"/>
      <c r="L53" s="28"/>
      <c r="M53" s="28"/>
      <c r="N53" s="22"/>
      <c r="O53" s="22"/>
      <c r="P53" s="29"/>
      <c r="Q53" s="29"/>
      <c r="R53" s="29"/>
      <c r="S53" s="29"/>
      <c r="T53" s="29"/>
      <c r="U53" s="29"/>
      <c r="V53" s="29"/>
      <c r="W53" s="29"/>
      <c r="X53" s="29"/>
      <c r="Y53" s="29"/>
      <c r="Z53" s="14"/>
      <c r="AA53" s="14"/>
      <c r="AB53" s="14"/>
      <c r="AC53" s="14"/>
      <c r="AD53" s="14"/>
      <c r="AE53" s="14"/>
      <c r="AF53" s="14"/>
      <c r="AG53" s="14"/>
      <c r="AH53" s="14"/>
      <c r="AI53" s="14"/>
      <c r="AJ53" s="14"/>
      <c r="AK53" s="14"/>
      <c r="AL53" s="14"/>
      <c r="AM53" s="14"/>
      <c r="AN53" s="14"/>
      <c r="AO53" s="14"/>
      <c r="AP53" s="14"/>
      <c r="AQ53" s="14"/>
      <c r="AR53" s="14"/>
      <c r="AS53" s="14"/>
      <c r="AT53" s="22"/>
      <c r="AU53" s="22"/>
      <c r="AV53" s="29"/>
      <c r="AW53" s="29"/>
      <c r="AX53" s="29"/>
      <c r="AY53" s="29"/>
      <c r="AZ53" s="29"/>
      <c r="BA53" s="29"/>
      <c r="BB53" s="29"/>
      <c r="BC53" s="29"/>
      <c r="BD53" s="29"/>
      <c r="BE53" s="29"/>
      <c r="BF53" s="29"/>
      <c r="BG53" s="29"/>
      <c r="BH53" s="29"/>
      <c r="BI53" s="29"/>
      <c r="BJ53" s="29"/>
      <c r="BK53" s="29"/>
    </row>
    <row r="54" spans="1:63" ht="16.5" customHeight="1">
      <c r="A54" s="9"/>
      <c r="B54" s="9"/>
      <c r="C54" s="9"/>
      <c r="D54" s="9"/>
      <c r="E54" s="9"/>
      <c r="F54" s="27"/>
      <c r="G54" s="27"/>
      <c r="H54" s="27"/>
      <c r="I54" s="28"/>
      <c r="J54" s="28"/>
      <c r="K54" s="28"/>
      <c r="L54" s="28"/>
      <c r="M54" s="28"/>
      <c r="N54" s="22"/>
      <c r="O54" s="22"/>
      <c r="P54" s="29"/>
      <c r="Q54" s="29"/>
      <c r="R54" s="29"/>
      <c r="S54" s="29"/>
      <c r="T54" s="29"/>
      <c r="U54" s="29"/>
      <c r="V54" s="29"/>
      <c r="W54" s="29"/>
      <c r="X54" s="29"/>
      <c r="Y54" s="29"/>
      <c r="Z54" s="29"/>
      <c r="AA54" s="29"/>
      <c r="AB54" s="29"/>
      <c r="AC54" s="29"/>
      <c r="AD54" s="29"/>
      <c r="AE54" s="29"/>
      <c r="AG54" s="9"/>
      <c r="AH54" s="9"/>
      <c r="AI54" s="9"/>
      <c r="AJ54" s="9"/>
      <c r="AK54" s="9"/>
      <c r="AL54" s="64"/>
      <c r="AM54" s="64"/>
      <c r="AN54" s="64"/>
      <c r="AO54" s="28"/>
      <c r="AP54" s="28"/>
      <c r="AQ54" s="28"/>
      <c r="AR54" s="28"/>
      <c r="AS54" s="28"/>
      <c r="AT54" s="22"/>
      <c r="AU54" s="22"/>
      <c r="AV54" s="29"/>
      <c r="AW54" s="29"/>
      <c r="AX54" s="29"/>
      <c r="AY54" s="29"/>
      <c r="AZ54" s="29"/>
      <c r="BA54" s="29"/>
      <c r="BB54" s="29"/>
      <c r="BC54" s="29"/>
      <c r="BD54" s="29"/>
      <c r="BE54" s="29"/>
      <c r="BF54" s="29"/>
      <c r="BG54" s="29"/>
      <c r="BH54" s="29"/>
      <c r="BI54" s="29"/>
      <c r="BJ54" s="29"/>
      <c r="BK54" s="29"/>
    </row>
    <row r="55" spans="1:63" ht="16.5" customHeight="1">
      <c r="A55" s="9"/>
      <c r="B55" s="9"/>
      <c r="C55" s="9"/>
      <c r="D55" s="9"/>
      <c r="E55" s="9"/>
      <c r="F55" s="27"/>
      <c r="G55" s="27"/>
      <c r="H55" s="27"/>
      <c r="I55" s="28"/>
      <c r="J55" s="28"/>
      <c r="K55" s="28"/>
      <c r="L55" s="28"/>
      <c r="M55" s="28"/>
      <c r="N55" s="22"/>
      <c r="O55" s="22"/>
      <c r="P55" s="29"/>
      <c r="Q55" s="29"/>
      <c r="R55" s="29"/>
      <c r="S55" s="29"/>
      <c r="T55" s="29"/>
      <c r="U55" s="29"/>
      <c r="V55" s="29"/>
      <c r="W55" s="29"/>
      <c r="X55" s="29"/>
      <c r="Y55" s="29"/>
      <c r="Z55" s="29"/>
      <c r="AA55" s="29"/>
      <c r="AB55" s="29"/>
      <c r="AC55" s="29"/>
      <c r="AD55" s="29"/>
      <c r="AE55" s="29"/>
      <c r="AG55" s="9"/>
      <c r="AH55" s="9"/>
      <c r="AI55" s="9"/>
      <c r="AJ55" s="9"/>
      <c r="AK55" s="9"/>
      <c r="AL55" s="64"/>
      <c r="AM55" s="64"/>
      <c r="AN55" s="64"/>
      <c r="AO55" s="28"/>
      <c r="AP55" s="28"/>
      <c r="AQ55" s="28"/>
      <c r="AR55" s="28"/>
      <c r="AS55" s="28"/>
      <c r="AT55" s="22"/>
      <c r="AU55" s="22"/>
      <c r="AV55" s="29"/>
      <c r="AW55" s="29"/>
      <c r="AX55" s="29"/>
      <c r="AY55" s="29"/>
      <c r="AZ55" s="29"/>
      <c r="BA55" s="29"/>
      <c r="BB55" s="29"/>
      <c r="BC55" s="29"/>
      <c r="BD55" s="29"/>
      <c r="BE55" s="29"/>
      <c r="BF55" s="29"/>
      <c r="BG55" s="29"/>
      <c r="BH55" s="29"/>
      <c r="BI55" s="29"/>
      <c r="BJ55" s="29"/>
      <c r="BK55" s="29"/>
    </row>
    <row r="56" spans="1:63" ht="16.5" customHeight="1">
      <c r="A56" s="9"/>
      <c r="B56" s="9"/>
      <c r="C56" s="9"/>
      <c r="D56" s="9"/>
      <c r="E56" s="9"/>
      <c r="F56" s="27"/>
      <c r="G56" s="27"/>
      <c r="H56" s="27"/>
      <c r="I56" s="28"/>
      <c r="J56" s="28"/>
      <c r="K56" s="28"/>
      <c r="L56" s="28"/>
      <c r="M56" s="28"/>
      <c r="N56" s="22"/>
      <c r="O56" s="22"/>
      <c r="P56" s="29"/>
      <c r="Q56" s="29"/>
      <c r="R56" s="29"/>
      <c r="S56" s="29"/>
      <c r="T56" s="29"/>
      <c r="U56" s="29"/>
      <c r="V56" s="29"/>
      <c r="W56" s="29"/>
      <c r="X56" s="29"/>
      <c r="Y56" s="29"/>
      <c r="Z56" s="29"/>
      <c r="AA56" s="29"/>
      <c r="AB56" s="29"/>
      <c r="AC56" s="29"/>
      <c r="AD56" s="29"/>
      <c r="AE56" s="29"/>
      <c r="AG56" s="9"/>
      <c r="AH56" s="9"/>
      <c r="AI56" s="9"/>
      <c r="AJ56" s="9"/>
      <c r="AK56" s="9"/>
      <c r="AL56" s="64"/>
      <c r="AM56" s="64"/>
      <c r="AN56" s="64"/>
      <c r="AO56" s="28"/>
      <c r="AP56" s="28"/>
      <c r="AQ56" s="28"/>
      <c r="AR56" s="28"/>
      <c r="AS56" s="28"/>
      <c r="AT56" s="22"/>
      <c r="AU56" s="22"/>
      <c r="AV56" s="29"/>
      <c r="AW56" s="29"/>
      <c r="AX56" s="29"/>
      <c r="AY56" s="29"/>
      <c r="AZ56" s="29"/>
      <c r="BA56" s="29"/>
      <c r="BB56" s="29"/>
      <c r="BC56" s="29"/>
      <c r="BD56" s="29"/>
      <c r="BE56" s="29"/>
      <c r="BF56" s="29"/>
      <c r="BG56" s="29"/>
      <c r="BH56" s="29"/>
      <c r="BI56" s="29"/>
      <c r="BJ56" s="29"/>
      <c r="BK56" s="29"/>
    </row>
    <row r="57" spans="1:63" ht="16.5" customHeight="1">
      <c r="A57" s="9"/>
      <c r="B57" s="9"/>
      <c r="C57" s="9"/>
      <c r="D57" s="9"/>
      <c r="E57" s="9"/>
      <c r="F57" s="27"/>
      <c r="G57" s="27"/>
      <c r="H57" s="27"/>
      <c r="I57" s="28"/>
      <c r="J57" s="28"/>
      <c r="K57" s="28"/>
      <c r="L57" s="28"/>
      <c r="M57" s="28"/>
      <c r="N57" s="22"/>
      <c r="O57" s="22"/>
      <c r="P57" s="29"/>
      <c r="Q57" s="29"/>
      <c r="R57" s="29"/>
      <c r="S57" s="29"/>
      <c r="T57" s="29"/>
      <c r="U57" s="29"/>
      <c r="V57" s="29"/>
      <c r="W57" s="29"/>
      <c r="X57" s="29"/>
      <c r="Y57" s="29"/>
      <c r="Z57" s="29"/>
      <c r="AA57" s="29"/>
      <c r="AB57" s="29"/>
      <c r="AC57" s="29"/>
      <c r="AD57" s="29"/>
      <c r="AE57" s="29"/>
      <c r="AG57" s="9"/>
      <c r="AH57" s="9"/>
      <c r="AI57" s="9"/>
      <c r="AJ57" s="9"/>
      <c r="AK57" s="9"/>
      <c r="AL57" s="64"/>
      <c r="AM57" s="64"/>
      <c r="AN57" s="64"/>
      <c r="AO57" s="28"/>
      <c r="AP57" s="28"/>
      <c r="AQ57" s="28"/>
      <c r="AR57" s="28"/>
      <c r="AS57" s="28"/>
      <c r="AT57" s="22"/>
      <c r="AU57" s="22"/>
      <c r="AV57" s="29"/>
      <c r="AW57" s="29"/>
      <c r="AX57" s="29"/>
      <c r="AY57" s="29"/>
      <c r="AZ57" s="29"/>
      <c r="BA57" s="29"/>
      <c r="BB57" s="29"/>
      <c r="BC57" s="29"/>
      <c r="BD57" s="29"/>
      <c r="BE57" s="29"/>
      <c r="BF57" s="29"/>
      <c r="BG57" s="29"/>
      <c r="BH57" s="29"/>
      <c r="BI57" s="29"/>
      <c r="BJ57" s="29"/>
      <c r="BK57" s="29"/>
    </row>
    <row r="58" spans="1:63" ht="16.5" customHeight="1">
      <c r="A58" s="98" t="s">
        <v>3</v>
      </c>
      <c r="B58" s="98"/>
      <c r="C58" s="98"/>
      <c r="D58" s="98"/>
      <c r="E58" s="98"/>
      <c r="F58" s="155" t="s">
        <v>4</v>
      </c>
      <c r="G58" s="155"/>
      <c r="H58" s="155"/>
      <c r="I58" s="98" t="s">
        <v>5</v>
      </c>
      <c r="J58" s="98"/>
      <c r="K58" s="98"/>
      <c r="L58" s="98"/>
      <c r="M58" s="98"/>
      <c r="N58" s="98"/>
      <c r="O58" s="98"/>
      <c r="P58" s="98" t="s">
        <v>6</v>
      </c>
      <c r="Q58" s="98"/>
      <c r="R58" s="98"/>
      <c r="S58" s="98"/>
      <c r="T58" s="98" t="s">
        <v>7</v>
      </c>
      <c r="U58" s="98"/>
      <c r="V58" s="98"/>
      <c r="W58" s="98"/>
      <c r="X58" s="98" t="s">
        <v>8</v>
      </c>
      <c r="Y58" s="98"/>
      <c r="Z58" s="98"/>
      <c r="AA58" s="98"/>
      <c r="AB58" s="98" t="s">
        <v>52</v>
      </c>
      <c r="AC58" s="98"/>
      <c r="AD58" s="98"/>
      <c r="AE58" s="98"/>
      <c r="AG58" s="315" t="s">
        <v>3</v>
      </c>
      <c r="AH58" s="315"/>
      <c r="AI58" s="315"/>
      <c r="AJ58" s="315"/>
      <c r="AK58" s="315"/>
      <c r="AL58" s="316" t="s">
        <v>4</v>
      </c>
      <c r="AM58" s="316"/>
      <c r="AN58" s="316"/>
      <c r="AO58" s="315" t="s">
        <v>5</v>
      </c>
      <c r="AP58" s="315"/>
      <c r="AQ58" s="315"/>
      <c r="AR58" s="315"/>
      <c r="AS58" s="315"/>
      <c r="AT58" s="315"/>
      <c r="AU58" s="315"/>
      <c r="AV58" s="315" t="s">
        <v>6</v>
      </c>
      <c r="AW58" s="315"/>
      <c r="AX58" s="315"/>
      <c r="AY58" s="315"/>
      <c r="AZ58" s="315" t="s">
        <v>7</v>
      </c>
      <c r="BA58" s="315"/>
      <c r="BB58" s="315"/>
      <c r="BC58" s="315"/>
      <c r="BD58" s="315" t="s">
        <v>8</v>
      </c>
      <c r="BE58" s="315"/>
      <c r="BF58" s="315"/>
      <c r="BG58" s="315"/>
      <c r="BH58" s="315" t="s">
        <v>52</v>
      </c>
      <c r="BI58" s="315"/>
      <c r="BJ58" s="315"/>
      <c r="BK58" s="315"/>
    </row>
    <row r="59" spans="1:63" ht="16.5" customHeight="1">
      <c r="A59" s="93" t="s">
        <v>192</v>
      </c>
      <c r="B59" s="93"/>
      <c r="C59" s="93"/>
      <c r="D59" s="93"/>
      <c r="E59" s="93"/>
      <c r="F59" s="164">
        <v>2</v>
      </c>
      <c r="G59" s="164"/>
      <c r="H59" s="164"/>
      <c r="I59" s="156" t="s">
        <v>9</v>
      </c>
      <c r="J59" s="156"/>
      <c r="K59" s="156"/>
      <c r="L59" s="156"/>
      <c r="M59" s="156"/>
      <c r="N59" s="100" t="s">
        <v>184</v>
      </c>
      <c r="O59" s="100"/>
      <c r="P59" s="99">
        <f>P71+25</f>
        <v>191</v>
      </c>
      <c r="Q59" s="99"/>
      <c r="R59" s="99"/>
      <c r="S59" s="99"/>
      <c r="T59" s="99">
        <f>P59+30</f>
        <v>221</v>
      </c>
      <c r="U59" s="99"/>
      <c r="V59" s="99"/>
      <c r="W59" s="99"/>
      <c r="X59" s="99">
        <f>T59+30</f>
        <v>251</v>
      </c>
      <c r="Y59" s="99"/>
      <c r="Z59" s="99"/>
      <c r="AA59" s="99"/>
      <c r="AB59" s="99">
        <f>X59+30</f>
        <v>281</v>
      </c>
      <c r="AC59" s="99"/>
      <c r="AD59" s="99"/>
      <c r="AE59" s="99"/>
      <c r="AG59" s="319">
        <v>971</v>
      </c>
      <c r="AH59" s="319"/>
      <c r="AI59" s="319"/>
      <c r="AJ59" s="319"/>
      <c r="AK59" s="319"/>
      <c r="AL59" s="320">
        <v>3</v>
      </c>
      <c r="AM59" s="320"/>
      <c r="AN59" s="320"/>
      <c r="AO59" s="321" t="s">
        <v>9</v>
      </c>
      <c r="AP59" s="321"/>
      <c r="AQ59" s="321"/>
      <c r="AR59" s="321"/>
      <c r="AS59" s="321"/>
      <c r="AT59" s="318" t="s">
        <v>184</v>
      </c>
      <c r="AU59" s="318"/>
      <c r="AV59" s="317">
        <f>AV71+25</f>
        <v>196</v>
      </c>
      <c r="AW59" s="317"/>
      <c r="AX59" s="317"/>
      <c r="AY59" s="317"/>
      <c r="AZ59" s="317">
        <f>AV59+30</f>
        <v>226</v>
      </c>
      <c r="BA59" s="317"/>
      <c r="BB59" s="317"/>
      <c r="BC59" s="317"/>
      <c r="BD59" s="317">
        <f>AZ59+30</f>
        <v>256</v>
      </c>
      <c r="BE59" s="317"/>
      <c r="BF59" s="317"/>
      <c r="BG59" s="317"/>
      <c r="BH59" s="317">
        <f>BD59+30</f>
        <v>286</v>
      </c>
      <c r="BI59" s="317"/>
      <c r="BJ59" s="317"/>
      <c r="BK59" s="317"/>
    </row>
    <row r="60" spans="1:63" ht="16.5" customHeight="1">
      <c r="A60" s="93"/>
      <c r="B60" s="93"/>
      <c r="C60" s="93"/>
      <c r="D60" s="93"/>
      <c r="E60" s="93"/>
      <c r="F60" s="165"/>
      <c r="G60" s="165"/>
      <c r="H60" s="165"/>
      <c r="I60" s="156"/>
      <c r="J60" s="156"/>
      <c r="K60" s="156"/>
      <c r="L60" s="156"/>
      <c r="M60" s="156"/>
      <c r="N60" s="100" t="s">
        <v>186</v>
      </c>
      <c r="O60" s="100"/>
      <c r="P60" s="99">
        <f>CEILING(P59*0.95,0.5)</f>
        <v>181.5</v>
      </c>
      <c r="Q60" s="99"/>
      <c r="R60" s="99"/>
      <c r="S60" s="99"/>
      <c r="T60" s="99">
        <f>CEILING(T59*0.95,0.5)</f>
        <v>210</v>
      </c>
      <c r="U60" s="99"/>
      <c r="V60" s="99"/>
      <c r="W60" s="99"/>
      <c r="X60" s="99">
        <f>CEILING(X59*0.95,0.5)</f>
        <v>238.5</v>
      </c>
      <c r="Y60" s="99"/>
      <c r="Z60" s="99"/>
      <c r="AA60" s="99"/>
      <c r="AB60" s="99">
        <f>CEILING(AB59*0.95,0.5)</f>
        <v>267</v>
      </c>
      <c r="AC60" s="99"/>
      <c r="AD60" s="99"/>
      <c r="AE60" s="99"/>
      <c r="AG60" s="319"/>
      <c r="AH60" s="319"/>
      <c r="AI60" s="319"/>
      <c r="AJ60" s="319"/>
      <c r="AK60" s="319"/>
      <c r="AL60" s="320"/>
      <c r="AM60" s="320"/>
      <c r="AN60" s="320"/>
      <c r="AO60" s="321"/>
      <c r="AP60" s="321"/>
      <c r="AQ60" s="321"/>
      <c r="AR60" s="321"/>
      <c r="AS60" s="321"/>
      <c r="AT60" s="318" t="s">
        <v>186</v>
      </c>
      <c r="AU60" s="318"/>
      <c r="AV60" s="317">
        <f>CEILING(AV59*0.95,0.5)</f>
        <v>186.5</v>
      </c>
      <c r="AW60" s="317"/>
      <c r="AX60" s="317"/>
      <c r="AY60" s="317"/>
      <c r="AZ60" s="317">
        <f>CEILING(AZ59*0.95,0.5)</f>
        <v>215</v>
      </c>
      <c r="BA60" s="317"/>
      <c r="BB60" s="317"/>
      <c r="BC60" s="317"/>
      <c r="BD60" s="317">
        <f>CEILING(BD59*0.95,0.5)</f>
        <v>243.5</v>
      </c>
      <c r="BE60" s="317"/>
      <c r="BF60" s="317"/>
      <c r="BG60" s="317"/>
      <c r="BH60" s="317">
        <f>CEILING(BH59*0.95,0.5)</f>
        <v>272</v>
      </c>
      <c r="BI60" s="317"/>
      <c r="BJ60" s="317"/>
      <c r="BK60" s="317"/>
    </row>
    <row r="61" spans="1:63" ht="16.5" customHeight="1">
      <c r="A61" s="93"/>
      <c r="B61" s="93"/>
      <c r="C61" s="93"/>
      <c r="D61" s="93"/>
      <c r="E61" s="93"/>
      <c r="F61" s="165"/>
      <c r="G61" s="165"/>
      <c r="H61" s="165"/>
      <c r="I61" s="156"/>
      <c r="J61" s="156"/>
      <c r="K61" s="156"/>
      <c r="L61" s="156"/>
      <c r="M61" s="156"/>
      <c r="N61" s="100" t="s">
        <v>96</v>
      </c>
      <c r="O61" s="100"/>
      <c r="P61" s="99">
        <f>P73+25</f>
        <v>172</v>
      </c>
      <c r="Q61" s="99"/>
      <c r="R61" s="99"/>
      <c r="S61" s="99"/>
      <c r="T61" s="99">
        <f>P61+30</f>
        <v>202</v>
      </c>
      <c r="U61" s="99"/>
      <c r="V61" s="99"/>
      <c r="W61" s="99"/>
      <c r="X61" s="99">
        <f>T61+30</f>
        <v>232</v>
      </c>
      <c r="Y61" s="99"/>
      <c r="Z61" s="99"/>
      <c r="AA61" s="99"/>
      <c r="AB61" s="99">
        <f>X61+30</f>
        <v>262</v>
      </c>
      <c r="AC61" s="99"/>
      <c r="AD61" s="99"/>
      <c r="AE61" s="99"/>
      <c r="AG61" s="319"/>
      <c r="AH61" s="319"/>
      <c r="AI61" s="319"/>
      <c r="AJ61" s="319"/>
      <c r="AK61" s="319"/>
      <c r="AL61" s="320"/>
      <c r="AM61" s="320"/>
      <c r="AN61" s="320"/>
      <c r="AO61" s="321"/>
      <c r="AP61" s="321"/>
      <c r="AQ61" s="321"/>
      <c r="AR61" s="321"/>
      <c r="AS61" s="321"/>
      <c r="AT61" s="318" t="s">
        <v>96</v>
      </c>
      <c r="AU61" s="318"/>
      <c r="AV61" s="317">
        <f>AV73+25</f>
        <v>173.5</v>
      </c>
      <c r="AW61" s="317"/>
      <c r="AX61" s="317"/>
      <c r="AY61" s="317"/>
      <c r="AZ61" s="317">
        <f>AV61+30</f>
        <v>203.5</v>
      </c>
      <c r="BA61" s="317"/>
      <c r="BB61" s="317"/>
      <c r="BC61" s="317"/>
      <c r="BD61" s="317">
        <f>AZ61+30</f>
        <v>233.5</v>
      </c>
      <c r="BE61" s="317"/>
      <c r="BF61" s="317"/>
      <c r="BG61" s="317"/>
      <c r="BH61" s="317">
        <f>BD61+30</f>
        <v>263.5</v>
      </c>
      <c r="BI61" s="317"/>
      <c r="BJ61" s="317"/>
      <c r="BK61" s="317"/>
    </row>
    <row r="62" spans="1:63" ht="16.5" customHeight="1">
      <c r="A62" s="93"/>
      <c r="B62" s="93"/>
      <c r="C62" s="93"/>
      <c r="D62" s="93"/>
      <c r="E62" s="93"/>
      <c r="F62" s="165"/>
      <c r="G62" s="165"/>
      <c r="H62" s="165"/>
      <c r="I62" s="97" t="s">
        <v>13</v>
      </c>
      <c r="J62" s="97"/>
      <c r="K62" s="97"/>
      <c r="L62" s="97"/>
      <c r="M62" s="97"/>
      <c r="N62" s="98" t="s">
        <v>184</v>
      </c>
      <c r="O62" s="98"/>
      <c r="P62" s="96">
        <f>CEILING(P59*0.35+5,0.5)</f>
        <v>72</v>
      </c>
      <c r="Q62" s="96"/>
      <c r="R62" s="96"/>
      <c r="S62" s="96"/>
      <c r="T62" s="96">
        <f>CEILING(T59*0.35+5,0.5)</f>
        <v>82.5</v>
      </c>
      <c r="U62" s="96"/>
      <c r="V62" s="96"/>
      <c r="W62" s="96"/>
      <c r="X62" s="96">
        <f>CEILING(X59*0.35+5,0.5)</f>
        <v>93</v>
      </c>
      <c r="Y62" s="96"/>
      <c r="Z62" s="96"/>
      <c r="AA62" s="96"/>
      <c r="AB62" s="96">
        <f>CEILING(AB59*0.35+5,0.5)</f>
        <v>103.5</v>
      </c>
      <c r="AC62" s="96"/>
      <c r="AD62" s="96"/>
      <c r="AE62" s="96"/>
      <c r="AG62" s="319"/>
      <c r="AH62" s="319"/>
      <c r="AI62" s="319"/>
      <c r="AJ62" s="319"/>
      <c r="AK62" s="319"/>
      <c r="AL62" s="320"/>
      <c r="AM62" s="320"/>
      <c r="AN62" s="320"/>
      <c r="AO62" s="322" t="s">
        <v>13</v>
      </c>
      <c r="AP62" s="322"/>
      <c r="AQ62" s="322"/>
      <c r="AR62" s="322"/>
      <c r="AS62" s="322"/>
      <c r="AT62" s="315" t="s">
        <v>184</v>
      </c>
      <c r="AU62" s="315"/>
      <c r="AV62" s="323">
        <f>CEILING(AV59*0.4+5,0.5)</f>
        <v>83.5</v>
      </c>
      <c r="AW62" s="323"/>
      <c r="AX62" s="323"/>
      <c r="AY62" s="323"/>
      <c r="AZ62" s="323">
        <f>CEILING(AZ59*0.4+5,0.5)</f>
        <v>95.5</v>
      </c>
      <c r="BA62" s="323"/>
      <c r="BB62" s="323"/>
      <c r="BC62" s="323"/>
      <c r="BD62" s="323">
        <f>CEILING(BD59*0.4+5,0.5)</f>
        <v>107.5</v>
      </c>
      <c r="BE62" s="323"/>
      <c r="BF62" s="323"/>
      <c r="BG62" s="323"/>
      <c r="BH62" s="323">
        <f>CEILING(BH59*0.4+5,0.5)</f>
        <v>119.5</v>
      </c>
      <c r="BI62" s="323"/>
      <c r="BJ62" s="323"/>
      <c r="BK62" s="323"/>
    </row>
    <row r="63" spans="1:63" ht="16.5" customHeight="1">
      <c r="A63" s="93"/>
      <c r="B63" s="93"/>
      <c r="C63" s="93"/>
      <c r="D63" s="93"/>
      <c r="E63" s="93"/>
      <c r="F63" s="165"/>
      <c r="G63" s="165"/>
      <c r="H63" s="165"/>
      <c r="I63" s="97"/>
      <c r="J63" s="97"/>
      <c r="K63" s="97"/>
      <c r="L63" s="97"/>
      <c r="M63" s="97"/>
      <c r="N63" s="98" t="s">
        <v>186</v>
      </c>
      <c r="O63" s="98"/>
      <c r="P63" s="96">
        <f>CEILING(P62*0.95,0.5)</f>
        <v>68.5</v>
      </c>
      <c r="Q63" s="96"/>
      <c r="R63" s="96"/>
      <c r="S63" s="96"/>
      <c r="T63" s="96">
        <f>CEILING(T62*0.95,0.5)</f>
        <v>78.5</v>
      </c>
      <c r="U63" s="96"/>
      <c r="V63" s="96"/>
      <c r="W63" s="96"/>
      <c r="X63" s="96">
        <f>CEILING(X62*0.95,0.5)</f>
        <v>88.5</v>
      </c>
      <c r="Y63" s="96"/>
      <c r="Z63" s="96"/>
      <c r="AA63" s="96"/>
      <c r="AB63" s="96">
        <f>CEILING(AB62*0.95,0.5)</f>
        <v>98.5</v>
      </c>
      <c r="AC63" s="96"/>
      <c r="AD63" s="96"/>
      <c r="AE63" s="96"/>
      <c r="AG63" s="319"/>
      <c r="AH63" s="319"/>
      <c r="AI63" s="319"/>
      <c r="AJ63" s="319"/>
      <c r="AK63" s="319"/>
      <c r="AL63" s="320"/>
      <c r="AM63" s="320"/>
      <c r="AN63" s="320"/>
      <c r="AO63" s="322"/>
      <c r="AP63" s="322"/>
      <c r="AQ63" s="322"/>
      <c r="AR63" s="322"/>
      <c r="AS63" s="322"/>
      <c r="AT63" s="315" t="s">
        <v>186</v>
      </c>
      <c r="AU63" s="315"/>
      <c r="AV63" s="323">
        <f>CEILING(AV62*0.95,0.5)</f>
        <v>79.5</v>
      </c>
      <c r="AW63" s="323"/>
      <c r="AX63" s="323"/>
      <c r="AY63" s="323"/>
      <c r="AZ63" s="323">
        <f>CEILING(AZ62*0.95,0.5)</f>
        <v>91</v>
      </c>
      <c r="BA63" s="323"/>
      <c r="BB63" s="323"/>
      <c r="BC63" s="323"/>
      <c r="BD63" s="323">
        <f>CEILING(BD62*0.95,0.5)</f>
        <v>102.5</v>
      </c>
      <c r="BE63" s="323"/>
      <c r="BF63" s="323"/>
      <c r="BG63" s="323"/>
      <c r="BH63" s="323">
        <f>CEILING(BH62*0.95,0.5)</f>
        <v>114</v>
      </c>
      <c r="BI63" s="323"/>
      <c r="BJ63" s="323"/>
      <c r="BK63" s="323"/>
    </row>
    <row r="64" spans="1:63" ht="16.5" customHeight="1">
      <c r="A64" s="93"/>
      <c r="B64" s="93"/>
      <c r="C64" s="93"/>
      <c r="D64" s="93"/>
      <c r="E64" s="93"/>
      <c r="F64" s="165"/>
      <c r="G64" s="165"/>
      <c r="H64" s="165"/>
      <c r="I64" s="97"/>
      <c r="J64" s="97"/>
      <c r="K64" s="97"/>
      <c r="L64" s="97"/>
      <c r="M64" s="97"/>
      <c r="N64" s="98" t="s">
        <v>96</v>
      </c>
      <c r="O64" s="98"/>
      <c r="P64" s="96">
        <f>CEILING(P61*0.35+5,0.5)</f>
        <v>65.5</v>
      </c>
      <c r="Q64" s="96"/>
      <c r="R64" s="96"/>
      <c r="S64" s="96"/>
      <c r="T64" s="96">
        <f>CEILING(T61*0.35+5,0.5)</f>
        <v>76</v>
      </c>
      <c r="U64" s="96"/>
      <c r="V64" s="96"/>
      <c r="W64" s="96"/>
      <c r="X64" s="96">
        <f>CEILING(X61*0.35+5,0.5)</f>
        <v>86.5</v>
      </c>
      <c r="Y64" s="96"/>
      <c r="Z64" s="96"/>
      <c r="AA64" s="96"/>
      <c r="AB64" s="96">
        <f>CEILING(AB61*0.35+5,0.5)</f>
        <v>97</v>
      </c>
      <c r="AC64" s="96"/>
      <c r="AD64" s="96"/>
      <c r="AE64" s="96"/>
      <c r="AG64" s="319"/>
      <c r="AH64" s="319"/>
      <c r="AI64" s="319"/>
      <c r="AJ64" s="319"/>
      <c r="AK64" s="319"/>
      <c r="AL64" s="320"/>
      <c r="AM64" s="320"/>
      <c r="AN64" s="320"/>
      <c r="AO64" s="322"/>
      <c r="AP64" s="322"/>
      <c r="AQ64" s="322"/>
      <c r="AR64" s="322"/>
      <c r="AS64" s="322"/>
      <c r="AT64" s="315" t="s">
        <v>96</v>
      </c>
      <c r="AU64" s="315"/>
      <c r="AV64" s="323">
        <f>CEILING(AV61*0.4+5,0.5)</f>
        <v>74.5</v>
      </c>
      <c r="AW64" s="323"/>
      <c r="AX64" s="323"/>
      <c r="AY64" s="323"/>
      <c r="AZ64" s="323">
        <f>CEILING(AZ61*0.4+5,0.5)</f>
        <v>86.5</v>
      </c>
      <c r="BA64" s="323"/>
      <c r="BB64" s="323"/>
      <c r="BC64" s="323"/>
      <c r="BD64" s="323">
        <f>CEILING(BD61*0.4+5,0.5)</f>
        <v>98.5</v>
      </c>
      <c r="BE64" s="323"/>
      <c r="BF64" s="323"/>
      <c r="BG64" s="323"/>
      <c r="BH64" s="323">
        <f>CEILING(BH61*0.4+5,0.5)</f>
        <v>110.5</v>
      </c>
      <c r="BI64" s="323"/>
      <c r="BJ64" s="323"/>
      <c r="BK64" s="323"/>
    </row>
    <row r="65" spans="1:63" ht="16.5" customHeight="1">
      <c r="A65" s="93"/>
      <c r="B65" s="93"/>
      <c r="C65" s="93"/>
      <c r="D65" s="93"/>
      <c r="E65" s="93"/>
      <c r="F65" s="165"/>
      <c r="G65" s="165"/>
      <c r="H65" s="165"/>
      <c r="I65" s="156" t="s">
        <v>15</v>
      </c>
      <c r="J65" s="156"/>
      <c r="K65" s="156"/>
      <c r="L65" s="156"/>
      <c r="M65" s="156"/>
      <c r="N65" s="100" t="s">
        <v>184</v>
      </c>
      <c r="O65" s="100"/>
      <c r="P65" s="99">
        <f>P71+15</f>
        <v>181</v>
      </c>
      <c r="Q65" s="99"/>
      <c r="R65" s="99"/>
      <c r="S65" s="99"/>
      <c r="T65" s="99">
        <f>P65+15</f>
        <v>196</v>
      </c>
      <c r="U65" s="99"/>
      <c r="V65" s="99"/>
      <c r="W65" s="99"/>
      <c r="X65" s="99">
        <f>T65+15</f>
        <v>211</v>
      </c>
      <c r="Y65" s="99"/>
      <c r="Z65" s="99"/>
      <c r="AA65" s="99"/>
      <c r="AB65" s="99">
        <f>X65+15</f>
        <v>226</v>
      </c>
      <c r="AC65" s="99"/>
      <c r="AD65" s="99"/>
      <c r="AE65" s="99"/>
      <c r="AG65" s="319"/>
      <c r="AH65" s="319"/>
      <c r="AI65" s="319"/>
      <c r="AJ65" s="319"/>
      <c r="AK65" s="319"/>
      <c r="AL65" s="320"/>
      <c r="AM65" s="320"/>
      <c r="AN65" s="320"/>
      <c r="AO65" s="321" t="s">
        <v>15</v>
      </c>
      <c r="AP65" s="321"/>
      <c r="AQ65" s="321"/>
      <c r="AR65" s="321"/>
      <c r="AS65" s="321"/>
      <c r="AT65" s="318" t="s">
        <v>184</v>
      </c>
      <c r="AU65" s="318"/>
      <c r="AV65" s="317">
        <f>AV71+15</f>
        <v>186</v>
      </c>
      <c r="AW65" s="317"/>
      <c r="AX65" s="317"/>
      <c r="AY65" s="317"/>
      <c r="AZ65" s="317">
        <f>AV65+15</f>
        <v>201</v>
      </c>
      <c r="BA65" s="317"/>
      <c r="BB65" s="317"/>
      <c r="BC65" s="317"/>
      <c r="BD65" s="317">
        <f>AZ65+15</f>
        <v>216</v>
      </c>
      <c r="BE65" s="317"/>
      <c r="BF65" s="317"/>
      <c r="BG65" s="317"/>
      <c r="BH65" s="317">
        <f>BD65+15</f>
        <v>231</v>
      </c>
      <c r="BI65" s="317"/>
      <c r="BJ65" s="317"/>
      <c r="BK65" s="317"/>
    </row>
    <row r="66" spans="1:63" ht="16.5" customHeight="1">
      <c r="A66" s="93"/>
      <c r="B66" s="93"/>
      <c r="C66" s="93"/>
      <c r="D66" s="93"/>
      <c r="E66" s="93"/>
      <c r="F66" s="165"/>
      <c r="G66" s="165"/>
      <c r="H66" s="165"/>
      <c r="I66" s="156"/>
      <c r="J66" s="156"/>
      <c r="K66" s="156"/>
      <c r="L66" s="156"/>
      <c r="M66" s="156"/>
      <c r="N66" s="100" t="s">
        <v>186</v>
      </c>
      <c r="O66" s="100"/>
      <c r="P66" s="99">
        <f>CEILING(P65*0.95,0.5)</f>
        <v>172</v>
      </c>
      <c r="Q66" s="99"/>
      <c r="R66" s="99"/>
      <c r="S66" s="99"/>
      <c r="T66" s="99">
        <f>CEILING(T65*0.95,0.5)</f>
        <v>186.5</v>
      </c>
      <c r="U66" s="99"/>
      <c r="V66" s="99"/>
      <c r="W66" s="99"/>
      <c r="X66" s="99">
        <f>CEILING(X65*0.95,0.5)</f>
        <v>200.5</v>
      </c>
      <c r="Y66" s="99"/>
      <c r="Z66" s="99"/>
      <c r="AA66" s="99"/>
      <c r="AB66" s="99">
        <f>CEILING(AB65*0.95,0.5)</f>
        <v>215</v>
      </c>
      <c r="AC66" s="99"/>
      <c r="AD66" s="99"/>
      <c r="AE66" s="99"/>
      <c r="AG66" s="319"/>
      <c r="AH66" s="319"/>
      <c r="AI66" s="319"/>
      <c r="AJ66" s="319"/>
      <c r="AK66" s="319"/>
      <c r="AL66" s="320"/>
      <c r="AM66" s="320"/>
      <c r="AN66" s="320"/>
      <c r="AO66" s="321"/>
      <c r="AP66" s="321"/>
      <c r="AQ66" s="321"/>
      <c r="AR66" s="321"/>
      <c r="AS66" s="321"/>
      <c r="AT66" s="318" t="s">
        <v>186</v>
      </c>
      <c r="AU66" s="318"/>
      <c r="AV66" s="317">
        <f>CEILING(AV65*0.95,0.5)</f>
        <v>177</v>
      </c>
      <c r="AW66" s="317"/>
      <c r="AX66" s="317"/>
      <c r="AY66" s="317"/>
      <c r="AZ66" s="317">
        <f>CEILING(AZ65*0.95,0.5)</f>
        <v>191</v>
      </c>
      <c r="BA66" s="317"/>
      <c r="BB66" s="317"/>
      <c r="BC66" s="317"/>
      <c r="BD66" s="317">
        <f>CEILING(BD65*0.95,0.5)</f>
        <v>205.5</v>
      </c>
      <c r="BE66" s="317"/>
      <c r="BF66" s="317"/>
      <c r="BG66" s="317"/>
      <c r="BH66" s="317">
        <f>CEILING(BH65*0.95,0.5)</f>
        <v>219.5</v>
      </c>
      <c r="BI66" s="317"/>
      <c r="BJ66" s="317"/>
      <c r="BK66" s="317"/>
    </row>
    <row r="67" spans="1:63" ht="16.5" customHeight="1">
      <c r="A67" s="93"/>
      <c r="B67" s="93"/>
      <c r="C67" s="93"/>
      <c r="D67" s="93"/>
      <c r="E67" s="93"/>
      <c r="F67" s="165"/>
      <c r="G67" s="165"/>
      <c r="H67" s="165"/>
      <c r="I67" s="156"/>
      <c r="J67" s="156"/>
      <c r="K67" s="156"/>
      <c r="L67" s="156"/>
      <c r="M67" s="156"/>
      <c r="N67" s="100" t="s">
        <v>96</v>
      </c>
      <c r="O67" s="100"/>
      <c r="P67" s="99">
        <f>P73+15</f>
        <v>162</v>
      </c>
      <c r="Q67" s="99"/>
      <c r="R67" s="99"/>
      <c r="S67" s="99"/>
      <c r="T67" s="99">
        <f>P67+15</f>
        <v>177</v>
      </c>
      <c r="U67" s="99"/>
      <c r="V67" s="99"/>
      <c r="W67" s="99"/>
      <c r="X67" s="99">
        <f>T67+15</f>
        <v>192</v>
      </c>
      <c r="Y67" s="99"/>
      <c r="Z67" s="99"/>
      <c r="AA67" s="99"/>
      <c r="AB67" s="99">
        <f>X67+15</f>
        <v>207</v>
      </c>
      <c r="AC67" s="99"/>
      <c r="AD67" s="99"/>
      <c r="AE67" s="99"/>
      <c r="AG67" s="319"/>
      <c r="AH67" s="319"/>
      <c r="AI67" s="319"/>
      <c r="AJ67" s="319"/>
      <c r="AK67" s="319"/>
      <c r="AL67" s="320"/>
      <c r="AM67" s="320"/>
      <c r="AN67" s="320"/>
      <c r="AO67" s="321"/>
      <c r="AP67" s="321"/>
      <c r="AQ67" s="321"/>
      <c r="AR67" s="321"/>
      <c r="AS67" s="321"/>
      <c r="AT67" s="318" t="s">
        <v>96</v>
      </c>
      <c r="AU67" s="318"/>
      <c r="AV67" s="317">
        <f>AV73+15</f>
        <v>163.5</v>
      </c>
      <c r="AW67" s="317"/>
      <c r="AX67" s="317"/>
      <c r="AY67" s="317"/>
      <c r="AZ67" s="317">
        <f>AV67+15</f>
        <v>178.5</v>
      </c>
      <c r="BA67" s="317"/>
      <c r="BB67" s="317"/>
      <c r="BC67" s="317"/>
      <c r="BD67" s="317">
        <f>AZ67+15</f>
        <v>193.5</v>
      </c>
      <c r="BE67" s="317"/>
      <c r="BF67" s="317"/>
      <c r="BG67" s="317"/>
      <c r="BH67" s="317">
        <f>BD67+15</f>
        <v>208.5</v>
      </c>
      <c r="BI67" s="317"/>
      <c r="BJ67" s="317"/>
      <c r="BK67" s="317"/>
    </row>
    <row r="68" spans="1:63" ht="16.5" customHeight="1">
      <c r="A68" s="93"/>
      <c r="B68" s="93"/>
      <c r="C68" s="93"/>
      <c r="D68" s="93"/>
      <c r="E68" s="93"/>
      <c r="F68" s="165"/>
      <c r="G68" s="165"/>
      <c r="H68" s="165"/>
      <c r="I68" s="97" t="s">
        <v>16</v>
      </c>
      <c r="J68" s="97"/>
      <c r="K68" s="97"/>
      <c r="L68" s="97"/>
      <c r="M68" s="97"/>
      <c r="N68" s="98" t="s">
        <v>184</v>
      </c>
      <c r="O68" s="98"/>
      <c r="P68" s="96">
        <f>CEILING(P65*0.35+5,0.5)</f>
        <v>68.5</v>
      </c>
      <c r="Q68" s="96"/>
      <c r="R68" s="96"/>
      <c r="S68" s="96"/>
      <c r="T68" s="96">
        <f>CEILING(T65*0.35+5,0.5)</f>
        <v>74</v>
      </c>
      <c r="U68" s="96"/>
      <c r="V68" s="96"/>
      <c r="W68" s="96"/>
      <c r="X68" s="96">
        <f>CEILING(X65*0.35+5,0.5)</f>
        <v>79</v>
      </c>
      <c r="Y68" s="96"/>
      <c r="Z68" s="96"/>
      <c r="AA68" s="96"/>
      <c r="AB68" s="96">
        <f>CEILING(AB65*0.35+5,0.5)</f>
        <v>84.5</v>
      </c>
      <c r="AC68" s="96"/>
      <c r="AD68" s="96"/>
      <c r="AE68" s="96"/>
      <c r="AG68" s="319"/>
      <c r="AH68" s="319"/>
      <c r="AI68" s="319"/>
      <c r="AJ68" s="319"/>
      <c r="AK68" s="319"/>
      <c r="AL68" s="320"/>
      <c r="AM68" s="320"/>
      <c r="AN68" s="320"/>
      <c r="AO68" s="322" t="s">
        <v>64</v>
      </c>
      <c r="AP68" s="322"/>
      <c r="AQ68" s="322"/>
      <c r="AR68" s="322"/>
      <c r="AS68" s="322"/>
      <c r="AT68" s="315" t="s">
        <v>184</v>
      </c>
      <c r="AU68" s="315"/>
      <c r="AV68" s="323">
        <f>CEILING(AV65*0.4+5,0.5)</f>
        <v>79.5</v>
      </c>
      <c r="AW68" s="323"/>
      <c r="AX68" s="323"/>
      <c r="AY68" s="323"/>
      <c r="AZ68" s="323">
        <f>CEILING(AZ65*0.4+5,0.5)</f>
        <v>85.5</v>
      </c>
      <c r="BA68" s="323"/>
      <c r="BB68" s="323"/>
      <c r="BC68" s="323"/>
      <c r="BD68" s="323">
        <f>CEILING(BD65*0.4+5,0.5)</f>
        <v>91.5</v>
      </c>
      <c r="BE68" s="323"/>
      <c r="BF68" s="323"/>
      <c r="BG68" s="323"/>
      <c r="BH68" s="323">
        <f>CEILING(BH65*0.4+5,0.5)</f>
        <v>97.5</v>
      </c>
      <c r="BI68" s="323"/>
      <c r="BJ68" s="323"/>
      <c r="BK68" s="323"/>
    </row>
    <row r="69" spans="1:63" ht="16.5" customHeight="1">
      <c r="A69" s="93"/>
      <c r="B69" s="93"/>
      <c r="C69" s="93"/>
      <c r="D69" s="93"/>
      <c r="E69" s="93"/>
      <c r="F69" s="165"/>
      <c r="G69" s="165"/>
      <c r="H69" s="165"/>
      <c r="I69" s="97"/>
      <c r="J69" s="97"/>
      <c r="K69" s="97"/>
      <c r="L69" s="97"/>
      <c r="M69" s="97"/>
      <c r="N69" s="98" t="s">
        <v>186</v>
      </c>
      <c r="O69" s="98"/>
      <c r="P69" s="96">
        <f>CEILING(P68*0.95,0.5)</f>
        <v>65.5</v>
      </c>
      <c r="Q69" s="96"/>
      <c r="R69" s="96"/>
      <c r="S69" s="96"/>
      <c r="T69" s="96">
        <f>CEILING(T68*0.95,0.5)</f>
        <v>70.5</v>
      </c>
      <c r="U69" s="96"/>
      <c r="V69" s="96"/>
      <c r="W69" s="96"/>
      <c r="X69" s="96">
        <f>CEILING(X68*0.95,0.5)</f>
        <v>75.5</v>
      </c>
      <c r="Y69" s="96"/>
      <c r="Z69" s="96"/>
      <c r="AA69" s="96"/>
      <c r="AB69" s="96">
        <f>CEILING(AB68*0.95,0.5)</f>
        <v>80.5</v>
      </c>
      <c r="AC69" s="96"/>
      <c r="AD69" s="96"/>
      <c r="AE69" s="96"/>
      <c r="AG69" s="319"/>
      <c r="AH69" s="319"/>
      <c r="AI69" s="319"/>
      <c r="AJ69" s="319"/>
      <c r="AK69" s="319"/>
      <c r="AL69" s="320"/>
      <c r="AM69" s="320"/>
      <c r="AN69" s="320"/>
      <c r="AO69" s="322"/>
      <c r="AP69" s="322"/>
      <c r="AQ69" s="322"/>
      <c r="AR69" s="322"/>
      <c r="AS69" s="322"/>
      <c r="AT69" s="315" t="s">
        <v>186</v>
      </c>
      <c r="AU69" s="315"/>
      <c r="AV69" s="323">
        <f>CEILING(AV68*0.95,0.5)</f>
        <v>76</v>
      </c>
      <c r="AW69" s="323"/>
      <c r="AX69" s="323"/>
      <c r="AY69" s="323"/>
      <c r="AZ69" s="323">
        <f>CEILING(AZ68*0.95,0.5)</f>
        <v>81.5</v>
      </c>
      <c r="BA69" s="323"/>
      <c r="BB69" s="323"/>
      <c r="BC69" s="323"/>
      <c r="BD69" s="323">
        <f>CEILING(BD68*0.95,0.5)</f>
        <v>87</v>
      </c>
      <c r="BE69" s="323"/>
      <c r="BF69" s="323"/>
      <c r="BG69" s="323"/>
      <c r="BH69" s="323">
        <f>CEILING(BH68*0.95,0.5)</f>
        <v>93</v>
      </c>
      <c r="BI69" s="323"/>
      <c r="BJ69" s="323"/>
      <c r="BK69" s="323"/>
    </row>
    <row r="70" spans="1:63" ht="16.5" customHeight="1">
      <c r="A70" s="93"/>
      <c r="B70" s="93"/>
      <c r="C70" s="93"/>
      <c r="D70" s="93"/>
      <c r="E70" s="93"/>
      <c r="F70" s="165"/>
      <c r="G70" s="165"/>
      <c r="H70" s="165"/>
      <c r="I70" s="97"/>
      <c r="J70" s="97"/>
      <c r="K70" s="97"/>
      <c r="L70" s="97"/>
      <c r="M70" s="97"/>
      <c r="N70" s="98" t="s">
        <v>96</v>
      </c>
      <c r="O70" s="98"/>
      <c r="P70" s="96">
        <f>CEILING(P67*0.35+5,0.5)</f>
        <v>62</v>
      </c>
      <c r="Q70" s="96"/>
      <c r="R70" s="96"/>
      <c r="S70" s="96"/>
      <c r="T70" s="96">
        <f>CEILING(T67*0.35+5,0.5)</f>
        <v>67</v>
      </c>
      <c r="U70" s="96"/>
      <c r="V70" s="96"/>
      <c r="W70" s="96"/>
      <c r="X70" s="96">
        <f>CEILING(X67*0.35+5,0.5)</f>
        <v>72.5</v>
      </c>
      <c r="Y70" s="96"/>
      <c r="Z70" s="96"/>
      <c r="AA70" s="96"/>
      <c r="AB70" s="96">
        <f>CEILING(AB67*0.35+5,0.5)</f>
        <v>77.5</v>
      </c>
      <c r="AC70" s="96"/>
      <c r="AD70" s="96"/>
      <c r="AE70" s="96"/>
      <c r="AG70" s="319"/>
      <c r="AH70" s="319"/>
      <c r="AI70" s="319"/>
      <c r="AJ70" s="319"/>
      <c r="AK70" s="319"/>
      <c r="AL70" s="320"/>
      <c r="AM70" s="320"/>
      <c r="AN70" s="320"/>
      <c r="AO70" s="322"/>
      <c r="AP70" s="322"/>
      <c r="AQ70" s="322"/>
      <c r="AR70" s="322"/>
      <c r="AS70" s="322"/>
      <c r="AT70" s="315" t="s">
        <v>96</v>
      </c>
      <c r="AU70" s="315"/>
      <c r="AV70" s="323">
        <f>CEILING(AV67*0.4+5,0.5)</f>
        <v>70.5</v>
      </c>
      <c r="AW70" s="323"/>
      <c r="AX70" s="323"/>
      <c r="AY70" s="323"/>
      <c r="AZ70" s="323">
        <f>CEILING(AZ67*0.4+5,0.5)</f>
        <v>76.5</v>
      </c>
      <c r="BA70" s="323"/>
      <c r="BB70" s="323"/>
      <c r="BC70" s="323"/>
      <c r="BD70" s="323">
        <f>CEILING(BD67*0.4+5,0.5)</f>
        <v>82.5</v>
      </c>
      <c r="BE70" s="323"/>
      <c r="BF70" s="323"/>
      <c r="BG70" s="323"/>
      <c r="BH70" s="323">
        <f>CEILING(BH67*0.4+5,0.5)</f>
        <v>88.5</v>
      </c>
      <c r="BI70" s="323"/>
      <c r="BJ70" s="323"/>
      <c r="BK70" s="323"/>
    </row>
    <row r="71" spans="1:63" ht="16.5" customHeight="1">
      <c r="A71" s="93"/>
      <c r="B71" s="93"/>
      <c r="C71" s="93"/>
      <c r="D71" s="93"/>
      <c r="E71" s="93"/>
      <c r="F71" s="165"/>
      <c r="G71" s="165"/>
      <c r="H71" s="165"/>
      <c r="I71" s="156" t="s">
        <v>18</v>
      </c>
      <c r="J71" s="156"/>
      <c r="K71" s="156"/>
      <c r="L71" s="156"/>
      <c r="M71" s="156"/>
      <c r="N71" s="100" t="s">
        <v>184</v>
      </c>
      <c r="O71" s="100"/>
      <c r="P71" s="101">
        <f>CEILING(127.5*1.3,0.5)</f>
        <v>166</v>
      </c>
      <c r="Q71" s="101"/>
      <c r="R71" s="101"/>
      <c r="S71" s="101"/>
      <c r="T71" s="99">
        <f>P71+10</f>
        <v>176</v>
      </c>
      <c r="U71" s="99"/>
      <c r="V71" s="99"/>
      <c r="W71" s="99"/>
      <c r="X71" s="99">
        <f>T71+10</f>
        <v>186</v>
      </c>
      <c r="Y71" s="99"/>
      <c r="Z71" s="99"/>
      <c r="AA71" s="99"/>
      <c r="AB71" s="99">
        <f>X71+10</f>
        <v>196</v>
      </c>
      <c r="AC71" s="99"/>
      <c r="AD71" s="99"/>
      <c r="AE71" s="99"/>
      <c r="AG71" s="319"/>
      <c r="AH71" s="319"/>
      <c r="AI71" s="319"/>
      <c r="AJ71" s="319"/>
      <c r="AK71" s="319"/>
      <c r="AL71" s="320"/>
      <c r="AM71" s="320"/>
      <c r="AN71" s="320"/>
      <c r="AO71" s="321" t="s">
        <v>18</v>
      </c>
      <c r="AP71" s="321"/>
      <c r="AQ71" s="321"/>
      <c r="AR71" s="321"/>
      <c r="AS71" s="321"/>
      <c r="AT71" s="318" t="s">
        <v>184</v>
      </c>
      <c r="AU71" s="318"/>
      <c r="AV71" s="324">
        <f>CEILING(131.5*1.3,0.5)</f>
        <v>171</v>
      </c>
      <c r="AW71" s="324"/>
      <c r="AX71" s="324"/>
      <c r="AY71" s="324"/>
      <c r="AZ71" s="317">
        <f>AV71+10</f>
        <v>181</v>
      </c>
      <c r="BA71" s="317"/>
      <c r="BB71" s="317"/>
      <c r="BC71" s="317"/>
      <c r="BD71" s="317">
        <f>AZ71+10</f>
        <v>191</v>
      </c>
      <c r="BE71" s="317"/>
      <c r="BF71" s="317"/>
      <c r="BG71" s="317"/>
      <c r="BH71" s="317">
        <f>BD71+10</f>
        <v>201</v>
      </c>
      <c r="BI71" s="317"/>
      <c r="BJ71" s="317"/>
      <c r="BK71" s="317"/>
    </row>
    <row r="72" spans="1:63" ht="16.5" customHeight="1">
      <c r="A72" s="93"/>
      <c r="B72" s="93"/>
      <c r="C72" s="93"/>
      <c r="D72" s="93"/>
      <c r="E72" s="93"/>
      <c r="F72" s="165"/>
      <c r="G72" s="165"/>
      <c r="H72" s="165"/>
      <c r="I72" s="156"/>
      <c r="J72" s="156"/>
      <c r="K72" s="156"/>
      <c r="L72" s="156"/>
      <c r="M72" s="156"/>
      <c r="N72" s="100" t="s">
        <v>186</v>
      </c>
      <c r="O72" s="100"/>
      <c r="P72" s="99">
        <f>CEILING(P71*0.95,0.5)</f>
        <v>158</v>
      </c>
      <c r="Q72" s="99"/>
      <c r="R72" s="99"/>
      <c r="S72" s="99"/>
      <c r="T72" s="99">
        <f>CEILING(T71*0.95,0.5)</f>
        <v>167.5</v>
      </c>
      <c r="U72" s="99"/>
      <c r="V72" s="99"/>
      <c r="W72" s="99"/>
      <c r="X72" s="99">
        <f>CEILING(X71*0.95,0.5)</f>
        <v>177</v>
      </c>
      <c r="Y72" s="99"/>
      <c r="Z72" s="99"/>
      <c r="AA72" s="99"/>
      <c r="AB72" s="99">
        <f>CEILING(AB71*0.95,0.5)</f>
        <v>186.5</v>
      </c>
      <c r="AC72" s="99"/>
      <c r="AD72" s="99"/>
      <c r="AE72" s="99"/>
      <c r="AG72" s="319"/>
      <c r="AH72" s="319"/>
      <c r="AI72" s="319"/>
      <c r="AJ72" s="319"/>
      <c r="AK72" s="319"/>
      <c r="AL72" s="320"/>
      <c r="AM72" s="320"/>
      <c r="AN72" s="320"/>
      <c r="AO72" s="321"/>
      <c r="AP72" s="321"/>
      <c r="AQ72" s="321"/>
      <c r="AR72" s="321"/>
      <c r="AS72" s="321"/>
      <c r="AT72" s="318" t="s">
        <v>186</v>
      </c>
      <c r="AU72" s="318"/>
      <c r="AV72" s="317">
        <f>CEILING(AV71*0.95,0.5)</f>
        <v>162.5</v>
      </c>
      <c r="AW72" s="317"/>
      <c r="AX72" s="317"/>
      <c r="AY72" s="317"/>
      <c r="AZ72" s="317">
        <f>CEILING(AZ71*0.95,0.5)</f>
        <v>172</v>
      </c>
      <c r="BA72" s="317"/>
      <c r="BB72" s="317"/>
      <c r="BC72" s="317"/>
      <c r="BD72" s="317">
        <f>CEILING(BD71*0.95,0.5)</f>
        <v>181.5</v>
      </c>
      <c r="BE72" s="317"/>
      <c r="BF72" s="317"/>
      <c r="BG72" s="317"/>
      <c r="BH72" s="317">
        <f>CEILING(BH71*0.95,0.5)</f>
        <v>191</v>
      </c>
      <c r="BI72" s="317"/>
      <c r="BJ72" s="317"/>
      <c r="BK72" s="317"/>
    </row>
    <row r="73" spans="1:63" ht="16.5" customHeight="1">
      <c r="A73" s="93"/>
      <c r="B73" s="93"/>
      <c r="C73" s="93"/>
      <c r="D73" s="93"/>
      <c r="E73" s="93"/>
      <c r="F73" s="165"/>
      <c r="G73" s="165"/>
      <c r="H73" s="165"/>
      <c r="I73" s="156"/>
      <c r="J73" s="156"/>
      <c r="K73" s="156"/>
      <c r="L73" s="156"/>
      <c r="M73" s="156"/>
      <c r="N73" s="100" t="s">
        <v>96</v>
      </c>
      <c r="O73" s="100"/>
      <c r="P73" s="101">
        <f>CEILING(113*1.3,0.5)</f>
        <v>147</v>
      </c>
      <c r="Q73" s="101"/>
      <c r="R73" s="101"/>
      <c r="S73" s="101"/>
      <c r="T73" s="99">
        <f>P73+10</f>
        <v>157</v>
      </c>
      <c r="U73" s="99"/>
      <c r="V73" s="99"/>
      <c r="W73" s="99"/>
      <c r="X73" s="99">
        <f>T73+10</f>
        <v>167</v>
      </c>
      <c r="Y73" s="99"/>
      <c r="Z73" s="99"/>
      <c r="AA73" s="99"/>
      <c r="AB73" s="99">
        <f>X73+10</f>
        <v>177</v>
      </c>
      <c r="AC73" s="99"/>
      <c r="AD73" s="99"/>
      <c r="AE73" s="99"/>
      <c r="AG73" s="319"/>
      <c r="AH73" s="319"/>
      <c r="AI73" s="319"/>
      <c r="AJ73" s="319"/>
      <c r="AK73" s="319"/>
      <c r="AL73" s="320"/>
      <c r="AM73" s="320"/>
      <c r="AN73" s="320"/>
      <c r="AO73" s="321"/>
      <c r="AP73" s="321"/>
      <c r="AQ73" s="321"/>
      <c r="AR73" s="321"/>
      <c r="AS73" s="321"/>
      <c r="AT73" s="318" t="s">
        <v>96</v>
      </c>
      <c r="AU73" s="318"/>
      <c r="AV73" s="324">
        <f>CEILING(114*1.3,0.5)</f>
        <v>148.5</v>
      </c>
      <c r="AW73" s="324"/>
      <c r="AX73" s="324"/>
      <c r="AY73" s="324"/>
      <c r="AZ73" s="317">
        <f>AV73+10</f>
        <v>158.5</v>
      </c>
      <c r="BA73" s="317"/>
      <c r="BB73" s="317"/>
      <c r="BC73" s="317"/>
      <c r="BD73" s="317">
        <f>AZ73+10</f>
        <v>168.5</v>
      </c>
      <c r="BE73" s="317"/>
      <c r="BF73" s="317"/>
      <c r="BG73" s="317"/>
      <c r="BH73" s="317">
        <f>BD73+10</f>
        <v>178.5</v>
      </c>
      <c r="BI73" s="317"/>
      <c r="BJ73" s="317"/>
      <c r="BK73" s="317"/>
    </row>
    <row r="74" spans="1:63" ht="16.5" customHeight="1">
      <c r="A74" s="93"/>
      <c r="B74" s="93"/>
      <c r="C74" s="93"/>
      <c r="D74" s="93"/>
      <c r="E74" s="93"/>
      <c r="F74" s="165"/>
      <c r="G74" s="165"/>
      <c r="H74" s="165"/>
      <c r="I74" s="97" t="s">
        <v>19</v>
      </c>
      <c r="J74" s="97"/>
      <c r="K74" s="97"/>
      <c r="L74" s="97"/>
      <c r="M74" s="97"/>
      <c r="N74" s="98" t="s">
        <v>184</v>
      </c>
      <c r="O74" s="98"/>
      <c r="P74" s="96">
        <f>CEILING(P71*0.35+5,0.5)</f>
        <v>63.5</v>
      </c>
      <c r="Q74" s="96"/>
      <c r="R74" s="96"/>
      <c r="S74" s="96"/>
      <c r="T74" s="96">
        <f>CEILING(T71*0.35+5,0.5)</f>
        <v>67</v>
      </c>
      <c r="U74" s="96"/>
      <c r="V74" s="96"/>
      <c r="W74" s="96"/>
      <c r="X74" s="96">
        <f>CEILING(X71*0.35+5,0.5)</f>
        <v>70.5</v>
      </c>
      <c r="Y74" s="96"/>
      <c r="Z74" s="96"/>
      <c r="AA74" s="96"/>
      <c r="AB74" s="96">
        <f>CEILING(AB71*0.35+5,0.5)</f>
        <v>74</v>
      </c>
      <c r="AC74" s="96"/>
      <c r="AD74" s="96"/>
      <c r="AE74" s="96"/>
      <c r="AG74" s="319"/>
      <c r="AH74" s="319"/>
      <c r="AI74" s="319"/>
      <c r="AJ74" s="319"/>
      <c r="AK74" s="319"/>
      <c r="AL74" s="320"/>
      <c r="AM74" s="320"/>
      <c r="AN74" s="320"/>
      <c r="AO74" s="322" t="s">
        <v>65</v>
      </c>
      <c r="AP74" s="322"/>
      <c r="AQ74" s="322"/>
      <c r="AR74" s="322"/>
      <c r="AS74" s="322"/>
      <c r="AT74" s="315" t="s">
        <v>184</v>
      </c>
      <c r="AU74" s="315"/>
      <c r="AV74" s="323">
        <f>CEILING(AV71*0.4+5,0.5)</f>
        <v>73.5</v>
      </c>
      <c r="AW74" s="323"/>
      <c r="AX74" s="323"/>
      <c r="AY74" s="323"/>
      <c r="AZ74" s="323">
        <f>CEILING(AZ71*0.4+5,0.5)</f>
        <v>77.5</v>
      </c>
      <c r="BA74" s="323"/>
      <c r="BB74" s="323"/>
      <c r="BC74" s="323"/>
      <c r="BD74" s="323">
        <f>CEILING(BD71*0.4+5,0.5)</f>
        <v>81.5</v>
      </c>
      <c r="BE74" s="323"/>
      <c r="BF74" s="323"/>
      <c r="BG74" s="323"/>
      <c r="BH74" s="323">
        <f>CEILING(BH71*0.4+5,0.5)</f>
        <v>85.5</v>
      </c>
      <c r="BI74" s="323"/>
      <c r="BJ74" s="323"/>
      <c r="BK74" s="323"/>
    </row>
    <row r="75" spans="1:63" ht="16.5" customHeight="1">
      <c r="A75" s="93"/>
      <c r="B75" s="93"/>
      <c r="C75" s="93"/>
      <c r="D75" s="93"/>
      <c r="E75" s="93"/>
      <c r="F75" s="165"/>
      <c r="G75" s="165"/>
      <c r="H75" s="165"/>
      <c r="I75" s="97"/>
      <c r="J75" s="97"/>
      <c r="K75" s="97"/>
      <c r="L75" s="97"/>
      <c r="M75" s="97"/>
      <c r="N75" s="98" t="s">
        <v>186</v>
      </c>
      <c r="O75" s="98"/>
      <c r="P75" s="96">
        <f>CEILING(P74*0.95,0.5)</f>
        <v>60.5</v>
      </c>
      <c r="Q75" s="96"/>
      <c r="R75" s="96"/>
      <c r="S75" s="96"/>
      <c r="T75" s="96">
        <f>CEILING(T74*0.95,0.5)</f>
        <v>64</v>
      </c>
      <c r="U75" s="96"/>
      <c r="V75" s="96"/>
      <c r="W75" s="96"/>
      <c r="X75" s="96">
        <f>CEILING(X74*0.95,0.5)</f>
        <v>67</v>
      </c>
      <c r="Y75" s="96"/>
      <c r="Z75" s="96"/>
      <c r="AA75" s="96"/>
      <c r="AB75" s="96">
        <f>CEILING(AB74*0.95,0.5)</f>
        <v>70.5</v>
      </c>
      <c r="AC75" s="96"/>
      <c r="AD75" s="96"/>
      <c r="AE75" s="96"/>
      <c r="AG75" s="319"/>
      <c r="AH75" s="319"/>
      <c r="AI75" s="319"/>
      <c r="AJ75" s="319"/>
      <c r="AK75" s="319"/>
      <c r="AL75" s="320"/>
      <c r="AM75" s="320"/>
      <c r="AN75" s="320"/>
      <c r="AO75" s="322"/>
      <c r="AP75" s="322"/>
      <c r="AQ75" s="322"/>
      <c r="AR75" s="322"/>
      <c r="AS75" s="322"/>
      <c r="AT75" s="315" t="s">
        <v>186</v>
      </c>
      <c r="AU75" s="315"/>
      <c r="AV75" s="323">
        <f>CEILING(AV74*0.95,0.5)</f>
        <v>70</v>
      </c>
      <c r="AW75" s="323"/>
      <c r="AX75" s="323"/>
      <c r="AY75" s="323"/>
      <c r="AZ75" s="323">
        <f>CEILING(AZ74*0.95,0.5)</f>
        <v>74</v>
      </c>
      <c r="BA75" s="323"/>
      <c r="BB75" s="323"/>
      <c r="BC75" s="323"/>
      <c r="BD75" s="323">
        <f>CEILING(BD74*0.95,0.5)</f>
        <v>77.5</v>
      </c>
      <c r="BE75" s="323"/>
      <c r="BF75" s="323"/>
      <c r="BG75" s="323"/>
      <c r="BH75" s="323">
        <f>CEILING(BH74*0.95,0.5)</f>
        <v>81.5</v>
      </c>
      <c r="BI75" s="323"/>
      <c r="BJ75" s="323"/>
      <c r="BK75" s="323"/>
    </row>
    <row r="76" spans="1:63" ht="16.5" customHeight="1">
      <c r="A76" s="93"/>
      <c r="B76" s="93"/>
      <c r="C76" s="93"/>
      <c r="D76" s="93"/>
      <c r="E76" s="93"/>
      <c r="F76" s="165"/>
      <c r="G76" s="165"/>
      <c r="H76" s="165"/>
      <c r="I76" s="97"/>
      <c r="J76" s="97"/>
      <c r="K76" s="97"/>
      <c r="L76" s="97"/>
      <c r="M76" s="97"/>
      <c r="N76" s="98" t="s">
        <v>96</v>
      </c>
      <c r="O76" s="98"/>
      <c r="P76" s="96">
        <f>CEILING(P73*0.35+5,0.5)</f>
        <v>56.5</v>
      </c>
      <c r="Q76" s="96"/>
      <c r="R76" s="96"/>
      <c r="S76" s="96"/>
      <c r="T76" s="96">
        <f>CEILING(T73*0.35+5,0.5)</f>
        <v>60</v>
      </c>
      <c r="U76" s="96"/>
      <c r="V76" s="96"/>
      <c r="W76" s="96"/>
      <c r="X76" s="96">
        <f>CEILING(X73*0.35+5,0.5)</f>
        <v>63.5</v>
      </c>
      <c r="Y76" s="96"/>
      <c r="Z76" s="96"/>
      <c r="AA76" s="96"/>
      <c r="AB76" s="96">
        <f>CEILING(AB73*0.35+5,0.5)</f>
        <v>67</v>
      </c>
      <c r="AC76" s="96"/>
      <c r="AD76" s="96"/>
      <c r="AE76" s="96"/>
      <c r="AG76" s="319"/>
      <c r="AH76" s="319"/>
      <c r="AI76" s="319"/>
      <c r="AJ76" s="319"/>
      <c r="AK76" s="319"/>
      <c r="AL76" s="320"/>
      <c r="AM76" s="320"/>
      <c r="AN76" s="320"/>
      <c r="AO76" s="322"/>
      <c r="AP76" s="322"/>
      <c r="AQ76" s="322"/>
      <c r="AR76" s="322"/>
      <c r="AS76" s="322"/>
      <c r="AT76" s="315" t="s">
        <v>96</v>
      </c>
      <c r="AU76" s="315"/>
      <c r="AV76" s="323">
        <f>CEILING(AV73*0.4+5,0.5)</f>
        <v>64.5</v>
      </c>
      <c r="AW76" s="323"/>
      <c r="AX76" s="323"/>
      <c r="AY76" s="323"/>
      <c r="AZ76" s="323">
        <f>CEILING(AZ73*0.4+5,0.5)</f>
        <v>68.5</v>
      </c>
      <c r="BA76" s="323"/>
      <c r="BB76" s="323"/>
      <c r="BC76" s="323"/>
      <c r="BD76" s="323">
        <f>CEILING(BD73*0.4+5,0.5)</f>
        <v>72.5</v>
      </c>
      <c r="BE76" s="323"/>
      <c r="BF76" s="323"/>
      <c r="BG76" s="323"/>
      <c r="BH76" s="323">
        <f>CEILING(BH73*0.4+5,0.5)</f>
        <v>76.5</v>
      </c>
      <c r="BI76" s="323"/>
      <c r="BJ76" s="323"/>
      <c r="BK76" s="323"/>
    </row>
    <row r="77" spans="1:63" ht="16.5" customHeight="1">
      <c r="A77" s="93"/>
      <c r="B77" s="93"/>
      <c r="C77" s="93"/>
      <c r="D77" s="93"/>
      <c r="E77" s="93"/>
      <c r="F77" s="165"/>
      <c r="G77" s="165"/>
      <c r="H77" s="165"/>
      <c r="I77" s="158" t="s">
        <v>21</v>
      </c>
      <c r="J77" s="158"/>
      <c r="K77" s="158"/>
      <c r="L77" s="158"/>
      <c r="M77" s="158"/>
      <c r="N77" s="84" t="s">
        <v>184</v>
      </c>
      <c r="O77" s="84"/>
      <c r="P77" s="83">
        <f>P71-4</f>
        <v>162</v>
      </c>
      <c r="Q77" s="83"/>
      <c r="R77" s="83"/>
      <c r="S77" s="83"/>
      <c r="T77" s="83">
        <f>P77+8</f>
        <v>170</v>
      </c>
      <c r="U77" s="83"/>
      <c r="V77" s="83"/>
      <c r="W77" s="83"/>
      <c r="X77" s="83">
        <f>T77+8</f>
        <v>178</v>
      </c>
      <c r="Y77" s="83"/>
      <c r="Z77" s="83"/>
      <c r="AA77" s="83"/>
      <c r="AB77" s="83">
        <f>X77+8</f>
        <v>186</v>
      </c>
      <c r="AC77" s="83"/>
      <c r="AD77" s="83"/>
      <c r="AE77" s="83"/>
      <c r="AG77" s="319"/>
      <c r="AH77" s="319"/>
      <c r="AI77" s="319"/>
      <c r="AJ77" s="319"/>
      <c r="AK77" s="319"/>
      <c r="AL77" s="320"/>
      <c r="AM77" s="320"/>
      <c r="AN77" s="320"/>
      <c r="AO77" s="326" t="s">
        <v>21</v>
      </c>
      <c r="AP77" s="326"/>
      <c r="AQ77" s="326"/>
      <c r="AR77" s="326"/>
      <c r="AS77" s="326"/>
      <c r="AT77" s="325" t="s">
        <v>184</v>
      </c>
      <c r="AU77" s="325"/>
      <c r="AV77" s="327">
        <f>AV71-4</f>
        <v>167</v>
      </c>
      <c r="AW77" s="327"/>
      <c r="AX77" s="327"/>
      <c r="AY77" s="327"/>
      <c r="AZ77" s="327">
        <f>AV77+8</f>
        <v>175</v>
      </c>
      <c r="BA77" s="327"/>
      <c r="BB77" s="327"/>
      <c r="BC77" s="327"/>
      <c r="BD77" s="327">
        <f>AZ77+8</f>
        <v>183</v>
      </c>
      <c r="BE77" s="327"/>
      <c r="BF77" s="327"/>
      <c r="BG77" s="327"/>
      <c r="BH77" s="327">
        <f>BD77+8</f>
        <v>191</v>
      </c>
      <c r="BI77" s="327"/>
      <c r="BJ77" s="327"/>
      <c r="BK77" s="327"/>
    </row>
    <row r="78" spans="1:63" ht="16.5" customHeight="1">
      <c r="A78" s="93"/>
      <c r="B78" s="93"/>
      <c r="C78" s="93"/>
      <c r="D78" s="93"/>
      <c r="E78" s="93"/>
      <c r="F78" s="165"/>
      <c r="G78" s="165"/>
      <c r="H78" s="165"/>
      <c r="I78" s="158"/>
      <c r="J78" s="158"/>
      <c r="K78" s="158"/>
      <c r="L78" s="158"/>
      <c r="M78" s="158"/>
      <c r="N78" s="84" t="s">
        <v>186</v>
      </c>
      <c r="O78" s="84"/>
      <c r="P78" s="83">
        <f>CEILING(P77*0.95,0.5)</f>
        <v>154</v>
      </c>
      <c r="Q78" s="83"/>
      <c r="R78" s="83"/>
      <c r="S78" s="83"/>
      <c r="T78" s="83">
        <f>CEILING(T77*0.95,0.5)</f>
        <v>161.5</v>
      </c>
      <c r="U78" s="83"/>
      <c r="V78" s="83"/>
      <c r="W78" s="83"/>
      <c r="X78" s="83">
        <f>CEILING(X77*0.95,0.5)</f>
        <v>169.5</v>
      </c>
      <c r="Y78" s="83"/>
      <c r="Z78" s="83"/>
      <c r="AA78" s="83"/>
      <c r="AB78" s="83">
        <f>CEILING(AB77*0.95,0.5)</f>
        <v>177</v>
      </c>
      <c r="AC78" s="83"/>
      <c r="AD78" s="83"/>
      <c r="AE78" s="83"/>
      <c r="AG78" s="319"/>
      <c r="AH78" s="319"/>
      <c r="AI78" s="319"/>
      <c r="AJ78" s="319"/>
      <c r="AK78" s="319"/>
      <c r="AL78" s="320"/>
      <c r="AM78" s="320"/>
      <c r="AN78" s="320"/>
      <c r="AO78" s="326"/>
      <c r="AP78" s="326"/>
      <c r="AQ78" s="326"/>
      <c r="AR78" s="326"/>
      <c r="AS78" s="326"/>
      <c r="AT78" s="325" t="s">
        <v>186</v>
      </c>
      <c r="AU78" s="325"/>
      <c r="AV78" s="327">
        <f>CEILING(AV77*0.95,0.5)</f>
        <v>159</v>
      </c>
      <c r="AW78" s="327"/>
      <c r="AX78" s="327"/>
      <c r="AY78" s="327"/>
      <c r="AZ78" s="327">
        <f>CEILING(AZ77*0.95,0.5)</f>
        <v>166.5</v>
      </c>
      <c r="BA78" s="327"/>
      <c r="BB78" s="327"/>
      <c r="BC78" s="327"/>
      <c r="BD78" s="327">
        <f>CEILING(BD77*0.95,0.5)</f>
        <v>174</v>
      </c>
      <c r="BE78" s="327"/>
      <c r="BF78" s="327"/>
      <c r="BG78" s="327"/>
      <c r="BH78" s="327">
        <f>CEILING(BH77*0.95,0.5)</f>
        <v>181.5</v>
      </c>
      <c r="BI78" s="327"/>
      <c r="BJ78" s="327"/>
      <c r="BK78" s="327"/>
    </row>
    <row r="79" spans="1:63" ht="16.5" customHeight="1">
      <c r="A79" s="93"/>
      <c r="B79" s="93"/>
      <c r="C79" s="93"/>
      <c r="D79" s="93"/>
      <c r="E79" s="93"/>
      <c r="F79" s="165"/>
      <c r="G79" s="165"/>
      <c r="H79" s="165"/>
      <c r="I79" s="158"/>
      <c r="J79" s="158"/>
      <c r="K79" s="158"/>
      <c r="L79" s="158"/>
      <c r="M79" s="158"/>
      <c r="N79" s="84" t="s">
        <v>96</v>
      </c>
      <c r="O79" s="84"/>
      <c r="P79" s="83">
        <f>P73-4</f>
        <v>143</v>
      </c>
      <c r="Q79" s="83"/>
      <c r="R79" s="83"/>
      <c r="S79" s="83"/>
      <c r="T79" s="83">
        <f>P79+8</f>
        <v>151</v>
      </c>
      <c r="U79" s="83"/>
      <c r="V79" s="83"/>
      <c r="W79" s="83"/>
      <c r="X79" s="83">
        <f>T79+8</f>
        <v>159</v>
      </c>
      <c r="Y79" s="83"/>
      <c r="Z79" s="83"/>
      <c r="AA79" s="83"/>
      <c r="AB79" s="83">
        <f>X79+8</f>
        <v>167</v>
      </c>
      <c r="AC79" s="83"/>
      <c r="AD79" s="83"/>
      <c r="AE79" s="83"/>
      <c r="AG79" s="319"/>
      <c r="AH79" s="319"/>
      <c r="AI79" s="319"/>
      <c r="AJ79" s="319"/>
      <c r="AK79" s="319"/>
      <c r="AL79" s="320"/>
      <c r="AM79" s="320"/>
      <c r="AN79" s="320"/>
      <c r="AO79" s="326"/>
      <c r="AP79" s="326"/>
      <c r="AQ79" s="326"/>
      <c r="AR79" s="326"/>
      <c r="AS79" s="326"/>
      <c r="AT79" s="325" t="s">
        <v>96</v>
      </c>
      <c r="AU79" s="325"/>
      <c r="AV79" s="327">
        <f>AV73-4</f>
        <v>144.5</v>
      </c>
      <c r="AW79" s="327"/>
      <c r="AX79" s="327"/>
      <c r="AY79" s="327"/>
      <c r="AZ79" s="327">
        <f>AV79+8</f>
        <v>152.5</v>
      </c>
      <c r="BA79" s="327"/>
      <c r="BB79" s="327"/>
      <c r="BC79" s="327"/>
      <c r="BD79" s="327">
        <f>AZ79+8</f>
        <v>160.5</v>
      </c>
      <c r="BE79" s="327"/>
      <c r="BF79" s="327"/>
      <c r="BG79" s="327"/>
      <c r="BH79" s="327">
        <f>BD79+8</f>
        <v>168.5</v>
      </c>
      <c r="BI79" s="327"/>
      <c r="BJ79" s="327"/>
      <c r="BK79" s="327"/>
    </row>
    <row r="80" spans="1:63" ht="16.5" customHeight="1">
      <c r="A80" s="93"/>
      <c r="B80" s="93"/>
      <c r="C80" s="93"/>
      <c r="D80" s="93"/>
      <c r="E80" s="93"/>
      <c r="F80" s="165"/>
      <c r="G80" s="165"/>
      <c r="H80" s="165"/>
      <c r="I80" s="80" t="s">
        <v>22</v>
      </c>
      <c r="J80" s="80"/>
      <c r="K80" s="80"/>
      <c r="L80" s="80"/>
      <c r="M80" s="80"/>
      <c r="N80" s="81" t="s">
        <v>184</v>
      </c>
      <c r="O80" s="81"/>
      <c r="P80" s="89">
        <f>CEILING(P77*0.35+5,0.5)</f>
        <v>62</v>
      </c>
      <c r="Q80" s="89"/>
      <c r="R80" s="89"/>
      <c r="S80" s="89"/>
      <c r="T80" s="89">
        <f>CEILING(T77*0.35+5,0.5)</f>
        <v>64.5</v>
      </c>
      <c r="U80" s="89"/>
      <c r="V80" s="89"/>
      <c r="W80" s="89"/>
      <c r="X80" s="89">
        <f>CEILING(X77*0.35+5,0.5)</f>
        <v>67.5</v>
      </c>
      <c r="Y80" s="89"/>
      <c r="Z80" s="89"/>
      <c r="AA80" s="89"/>
      <c r="AB80" s="89">
        <f>CEILING(AB77*0.35+5,0.5)</f>
        <v>70.5</v>
      </c>
      <c r="AC80" s="89"/>
      <c r="AD80" s="89"/>
      <c r="AE80" s="89"/>
      <c r="AG80" s="319"/>
      <c r="AH80" s="319"/>
      <c r="AI80" s="319"/>
      <c r="AJ80" s="319"/>
      <c r="AK80" s="319"/>
      <c r="AL80" s="320"/>
      <c r="AM80" s="320"/>
      <c r="AN80" s="320"/>
      <c r="AO80" s="329" t="s">
        <v>66</v>
      </c>
      <c r="AP80" s="329"/>
      <c r="AQ80" s="329"/>
      <c r="AR80" s="329"/>
      <c r="AS80" s="329"/>
      <c r="AT80" s="328" t="s">
        <v>184</v>
      </c>
      <c r="AU80" s="328"/>
      <c r="AV80" s="330">
        <f>CEILING(AV77*0.4+5,0.5)</f>
        <v>72</v>
      </c>
      <c r="AW80" s="330"/>
      <c r="AX80" s="330"/>
      <c r="AY80" s="330"/>
      <c r="AZ80" s="330">
        <f>CEILING(AZ77*0.4+5,0.5)</f>
        <v>75</v>
      </c>
      <c r="BA80" s="330"/>
      <c r="BB80" s="330"/>
      <c r="BC80" s="330"/>
      <c r="BD80" s="330">
        <f>CEILING(BD77*0.4+5,0.5)</f>
        <v>78.5</v>
      </c>
      <c r="BE80" s="330"/>
      <c r="BF80" s="330"/>
      <c r="BG80" s="330"/>
      <c r="BH80" s="330">
        <f>CEILING(BH77*0.4+5,0.5)</f>
        <v>81.5</v>
      </c>
      <c r="BI80" s="330"/>
      <c r="BJ80" s="330"/>
      <c r="BK80" s="330"/>
    </row>
    <row r="81" spans="1:63" ht="16.5" customHeight="1">
      <c r="A81" s="93"/>
      <c r="B81" s="93"/>
      <c r="C81" s="93"/>
      <c r="D81" s="93"/>
      <c r="E81" s="93"/>
      <c r="F81" s="165"/>
      <c r="G81" s="165"/>
      <c r="H81" s="165"/>
      <c r="I81" s="80"/>
      <c r="J81" s="80"/>
      <c r="K81" s="80"/>
      <c r="L81" s="80"/>
      <c r="M81" s="80"/>
      <c r="N81" s="81" t="s">
        <v>186</v>
      </c>
      <c r="O81" s="81"/>
      <c r="P81" s="89">
        <f>CEILING(P80*0.95,0.5)</f>
        <v>59</v>
      </c>
      <c r="Q81" s="89"/>
      <c r="R81" s="89"/>
      <c r="S81" s="89"/>
      <c r="T81" s="89">
        <f>CEILING(T80*0.95,0.5)</f>
        <v>61.5</v>
      </c>
      <c r="U81" s="89"/>
      <c r="V81" s="89"/>
      <c r="W81" s="89"/>
      <c r="X81" s="89">
        <f>CEILING(X80*0.95,0.5)</f>
        <v>64.5</v>
      </c>
      <c r="Y81" s="89"/>
      <c r="Z81" s="89"/>
      <c r="AA81" s="89"/>
      <c r="AB81" s="89">
        <f>CEILING(AB80*0.95,0.5)</f>
        <v>67</v>
      </c>
      <c r="AC81" s="89"/>
      <c r="AD81" s="89"/>
      <c r="AE81" s="89"/>
      <c r="AG81" s="319"/>
      <c r="AH81" s="319"/>
      <c r="AI81" s="319"/>
      <c r="AJ81" s="319"/>
      <c r="AK81" s="319"/>
      <c r="AL81" s="320"/>
      <c r="AM81" s="320"/>
      <c r="AN81" s="320"/>
      <c r="AO81" s="329"/>
      <c r="AP81" s="329"/>
      <c r="AQ81" s="329"/>
      <c r="AR81" s="329"/>
      <c r="AS81" s="329"/>
      <c r="AT81" s="328" t="s">
        <v>186</v>
      </c>
      <c r="AU81" s="328"/>
      <c r="AV81" s="330">
        <f>CEILING(AV80*0.95,0.5)</f>
        <v>68.5</v>
      </c>
      <c r="AW81" s="330"/>
      <c r="AX81" s="330"/>
      <c r="AY81" s="330"/>
      <c r="AZ81" s="330">
        <f>CEILING(AZ80*0.95,0.5)</f>
        <v>71.5</v>
      </c>
      <c r="BA81" s="330"/>
      <c r="BB81" s="330"/>
      <c r="BC81" s="330"/>
      <c r="BD81" s="330">
        <f>CEILING(BD80*0.95,0.5)</f>
        <v>75</v>
      </c>
      <c r="BE81" s="330"/>
      <c r="BF81" s="330"/>
      <c r="BG81" s="330"/>
      <c r="BH81" s="330">
        <f>CEILING(BH80*0.95,0.5)</f>
        <v>77.5</v>
      </c>
      <c r="BI81" s="330"/>
      <c r="BJ81" s="330"/>
      <c r="BK81" s="330"/>
    </row>
    <row r="82" spans="1:63" ht="16.5" customHeight="1">
      <c r="A82" s="93"/>
      <c r="B82" s="93"/>
      <c r="C82" s="93"/>
      <c r="D82" s="93"/>
      <c r="E82" s="93"/>
      <c r="F82" s="165"/>
      <c r="G82" s="165"/>
      <c r="H82" s="165"/>
      <c r="I82" s="80"/>
      <c r="J82" s="80"/>
      <c r="K82" s="80"/>
      <c r="L82" s="80"/>
      <c r="M82" s="80"/>
      <c r="N82" s="81" t="s">
        <v>96</v>
      </c>
      <c r="O82" s="81"/>
      <c r="P82" s="89">
        <f>CEILING(P79*0.35+5,0.5)</f>
        <v>55.5</v>
      </c>
      <c r="Q82" s="89"/>
      <c r="R82" s="89"/>
      <c r="S82" s="89"/>
      <c r="T82" s="89">
        <f>CEILING(T79*0.35+5,0.5)</f>
        <v>58</v>
      </c>
      <c r="U82" s="89"/>
      <c r="V82" s="89"/>
      <c r="W82" s="89"/>
      <c r="X82" s="89">
        <f>CEILING(X79*0.35+5,0.5)</f>
        <v>61</v>
      </c>
      <c r="Y82" s="89"/>
      <c r="Z82" s="89"/>
      <c r="AA82" s="89"/>
      <c r="AB82" s="89">
        <f>CEILING(AB79*0.35+5,0.5)</f>
        <v>63.5</v>
      </c>
      <c r="AC82" s="89"/>
      <c r="AD82" s="89"/>
      <c r="AE82" s="89"/>
      <c r="AG82" s="319"/>
      <c r="AH82" s="319"/>
      <c r="AI82" s="319"/>
      <c r="AJ82" s="319"/>
      <c r="AK82" s="319"/>
      <c r="AL82" s="320"/>
      <c r="AM82" s="320"/>
      <c r="AN82" s="320"/>
      <c r="AO82" s="329"/>
      <c r="AP82" s="329"/>
      <c r="AQ82" s="329"/>
      <c r="AR82" s="329"/>
      <c r="AS82" s="329"/>
      <c r="AT82" s="328" t="s">
        <v>96</v>
      </c>
      <c r="AU82" s="328"/>
      <c r="AV82" s="330">
        <f>CEILING(AV79*0.4+5,0.5)</f>
        <v>63</v>
      </c>
      <c r="AW82" s="330"/>
      <c r="AX82" s="330"/>
      <c r="AY82" s="330"/>
      <c r="AZ82" s="330">
        <f>CEILING(AZ79*0.4+5,0.5)</f>
        <v>66</v>
      </c>
      <c r="BA82" s="330"/>
      <c r="BB82" s="330"/>
      <c r="BC82" s="330"/>
      <c r="BD82" s="330">
        <f>CEILING(BD79*0.4+5,0.5)</f>
        <v>69.5</v>
      </c>
      <c r="BE82" s="330"/>
      <c r="BF82" s="330"/>
      <c r="BG82" s="330"/>
      <c r="BH82" s="330">
        <f>CEILING(BH79*0.4+5,0.5)</f>
        <v>72.5</v>
      </c>
      <c r="BI82" s="330"/>
      <c r="BJ82" s="330"/>
      <c r="BK82" s="330"/>
    </row>
    <row r="83" spans="1:63" ht="16.5" customHeight="1">
      <c r="A83" s="331">
        <v>1017</v>
      </c>
      <c r="B83" s="331"/>
      <c r="C83" s="331"/>
      <c r="D83" s="331"/>
      <c r="E83" s="331"/>
      <c r="F83" s="165">
        <v>4</v>
      </c>
      <c r="G83" s="165"/>
      <c r="H83" s="165"/>
      <c r="I83" s="95" t="s">
        <v>9</v>
      </c>
      <c r="J83" s="95"/>
      <c r="K83" s="95"/>
      <c r="L83" s="95"/>
      <c r="M83" s="95"/>
      <c r="N83" s="100" t="s">
        <v>184</v>
      </c>
      <c r="O83" s="100"/>
      <c r="P83" s="99">
        <f>P95+25</f>
        <v>196</v>
      </c>
      <c r="Q83" s="99"/>
      <c r="R83" s="99"/>
      <c r="S83" s="99"/>
      <c r="T83" s="99">
        <f>P83+30</f>
        <v>226</v>
      </c>
      <c r="U83" s="99"/>
      <c r="V83" s="99"/>
      <c r="W83" s="99"/>
      <c r="X83" s="99">
        <f>T83+30</f>
        <v>256</v>
      </c>
      <c r="Y83" s="99"/>
      <c r="Z83" s="99"/>
      <c r="AA83" s="99"/>
      <c r="AB83" s="99">
        <f>X83+30</f>
        <v>286</v>
      </c>
      <c r="AC83" s="99"/>
      <c r="AD83" s="99"/>
      <c r="AE83" s="99"/>
      <c r="AG83" s="9" t="s">
        <v>60</v>
      </c>
      <c r="AK83" s="44"/>
      <c r="AL83" s="27"/>
      <c r="AM83" s="27"/>
      <c r="AN83" s="27"/>
      <c r="AO83" s="28"/>
      <c r="AP83" s="28"/>
      <c r="AQ83" s="28"/>
      <c r="AR83" s="28"/>
      <c r="AS83" s="28"/>
      <c r="AT83" s="22"/>
      <c r="AU83" s="22"/>
      <c r="AV83" s="29"/>
      <c r="AW83" s="29"/>
      <c r="AX83" s="29"/>
      <c r="AY83" s="29"/>
      <c r="AZ83" s="29"/>
      <c r="BA83" s="29"/>
      <c r="BB83" s="29"/>
      <c r="BC83" s="29"/>
      <c r="BD83" s="29"/>
      <c r="BE83" s="29"/>
      <c r="BF83" s="29"/>
      <c r="BG83" s="29"/>
      <c r="BH83" s="29"/>
      <c r="BI83" s="29"/>
      <c r="BJ83" s="29"/>
      <c r="BK83" s="29"/>
    </row>
    <row r="84" spans="1:63" ht="16.5" customHeight="1">
      <c r="A84" s="331"/>
      <c r="B84" s="331"/>
      <c r="C84" s="331"/>
      <c r="D84" s="331"/>
      <c r="E84" s="331"/>
      <c r="F84" s="165"/>
      <c r="G84" s="165"/>
      <c r="H84" s="165"/>
      <c r="I84" s="95"/>
      <c r="J84" s="95"/>
      <c r="K84" s="95"/>
      <c r="L84" s="95"/>
      <c r="M84" s="95"/>
      <c r="N84" s="100" t="s">
        <v>186</v>
      </c>
      <c r="O84" s="100"/>
      <c r="P84" s="99">
        <f>CEILING(P83*0.95,0.5)</f>
        <v>186.5</v>
      </c>
      <c r="Q84" s="99"/>
      <c r="R84" s="99"/>
      <c r="S84" s="99"/>
      <c r="T84" s="99">
        <f>CEILING(T83*0.95,0.5)</f>
        <v>215</v>
      </c>
      <c r="U84" s="99"/>
      <c r="V84" s="99"/>
      <c r="W84" s="99"/>
      <c r="X84" s="99">
        <f>CEILING(X83*0.95,0.5)</f>
        <v>243.5</v>
      </c>
      <c r="Y84" s="99"/>
      <c r="Z84" s="99"/>
      <c r="AA84" s="99"/>
      <c r="AB84" s="99">
        <f>CEILING(AB83*0.95,0.5)</f>
        <v>272</v>
      </c>
      <c r="AC84" s="99"/>
      <c r="AD84" s="99"/>
      <c r="AE84" s="99"/>
      <c r="AG84" s="9" t="s">
        <v>81</v>
      </c>
      <c r="AK84" s="44"/>
      <c r="AL84" s="27"/>
      <c r="AM84" s="27"/>
      <c r="AN84" s="27"/>
      <c r="AO84" s="28"/>
      <c r="AP84" s="28"/>
      <c r="AQ84" s="28"/>
      <c r="AR84" s="28"/>
      <c r="AS84" s="28"/>
      <c r="AT84" s="22"/>
      <c r="AU84" s="22"/>
      <c r="AV84" s="29"/>
      <c r="AW84" s="29"/>
      <c r="AX84" s="29"/>
      <c r="AY84" s="29"/>
      <c r="AZ84" s="29"/>
      <c r="BA84" s="29"/>
      <c r="BB84" s="29"/>
      <c r="BC84" s="29"/>
      <c r="BD84" s="29"/>
      <c r="BE84" s="29"/>
      <c r="BF84" s="29"/>
      <c r="BG84" s="29"/>
      <c r="BH84" s="29"/>
      <c r="BI84" s="29"/>
    </row>
    <row r="85" spans="1:63" ht="16.5" customHeight="1">
      <c r="A85" s="331"/>
      <c r="B85" s="331"/>
      <c r="C85" s="331"/>
      <c r="D85" s="331"/>
      <c r="E85" s="331"/>
      <c r="F85" s="165"/>
      <c r="G85" s="165"/>
      <c r="H85" s="165"/>
      <c r="I85" s="95"/>
      <c r="J85" s="95"/>
      <c r="K85" s="95"/>
      <c r="L85" s="95"/>
      <c r="M85" s="95"/>
      <c r="N85" s="100" t="s">
        <v>96</v>
      </c>
      <c r="O85" s="100"/>
      <c r="P85" s="99">
        <f>P97+25</f>
        <v>173.5</v>
      </c>
      <c r="Q85" s="99"/>
      <c r="R85" s="99"/>
      <c r="S85" s="99"/>
      <c r="T85" s="99">
        <f>P85+30</f>
        <v>203.5</v>
      </c>
      <c r="U85" s="99"/>
      <c r="V85" s="99"/>
      <c r="W85" s="99"/>
      <c r="X85" s="99">
        <f>T85+30</f>
        <v>233.5</v>
      </c>
      <c r="Y85" s="99"/>
      <c r="Z85" s="99"/>
      <c r="AA85" s="99"/>
      <c r="AB85" s="99">
        <f>X85+30</f>
        <v>263.5</v>
      </c>
      <c r="AC85" s="99"/>
      <c r="AD85" s="99"/>
      <c r="AE85" s="99"/>
      <c r="AH85" s="45" t="s">
        <v>82</v>
      </c>
      <c r="AK85" s="44"/>
      <c r="AL85" s="27"/>
      <c r="AM85" s="27"/>
      <c r="AN85" s="27"/>
      <c r="AO85" s="28"/>
      <c r="AP85" s="28"/>
      <c r="AQ85" s="28"/>
      <c r="AR85" s="28"/>
      <c r="AS85" s="28"/>
      <c r="AT85" s="22"/>
      <c r="AU85" s="22"/>
      <c r="AV85" s="29"/>
      <c r="AW85" s="29"/>
      <c r="AX85" s="29"/>
      <c r="AY85" s="29"/>
      <c r="AZ85" s="29"/>
      <c r="BA85" s="29"/>
      <c r="BB85" s="29"/>
      <c r="BC85" s="29"/>
      <c r="BD85" s="29"/>
      <c r="BE85" s="29"/>
      <c r="BF85" s="29"/>
      <c r="BG85" s="29"/>
      <c r="BH85" s="29"/>
      <c r="BI85" s="29"/>
    </row>
    <row r="86" spans="1:63" ht="16.5" customHeight="1">
      <c r="A86" s="331"/>
      <c r="B86" s="331"/>
      <c r="C86" s="331"/>
      <c r="D86" s="331"/>
      <c r="E86" s="331"/>
      <c r="F86" s="165"/>
      <c r="G86" s="165"/>
      <c r="H86" s="165"/>
      <c r="I86" s="97" t="s">
        <v>193</v>
      </c>
      <c r="J86" s="97"/>
      <c r="K86" s="97"/>
      <c r="L86" s="97"/>
      <c r="M86" s="97"/>
      <c r="N86" s="98" t="s">
        <v>184</v>
      </c>
      <c r="O86" s="98"/>
      <c r="P86" s="96">
        <f>CEILING(P83*0.42+5,0.5)</f>
        <v>87.5</v>
      </c>
      <c r="Q86" s="96"/>
      <c r="R86" s="96"/>
      <c r="S86" s="96"/>
      <c r="T86" s="96">
        <f>CEILING(T83*0.42+5,0.5)</f>
        <v>100</v>
      </c>
      <c r="U86" s="96"/>
      <c r="V86" s="96"/>
      <c r="W86" s="96"/>
      <c r="X86" s="96">
        <f>CEILING(X83*0.42+5,0.5)</f>
        <v>113</v>
      </c>
      <c r="Y86" s="96"/>
      <c r="Z86" s="96"/>
      <c r="AA86" s="96"/>
      <c r="AB86" s="96">
        <f>CEILING(AB83*0.42+5,0.5)</f>
        <v>125.5</v>
      </c>
      <c r="AC86" s="96"/>
      <c r="AD86" s="96"/>
      <c r="AE86" s="96"/>
      <c r="AG86" s="9" t="s">
        <v>26</v>
      </c>
      <c r="AH86" s="15"/>
      <c r="AK86" s="44"/>
      <c r="AL86" s="27"/>
      <c r="AM86" s="27"/>
      <c r="AN86" s="27"/>
      <c r="AO86" s="28"/>
      <c r="AP86" s="28"/>
      <c r="AQ86" s="28"/>
      <c r="AR86" s="28"/>
      <c r="AS86" s="28"/>
      <c r="AT86" s="22"/>
      <c r="AU86" s="22"/>
      <c r="AV86" s="29"/>
      <c r="AW86" s="29"/>
      <c r="AX86" s="29"/>
      <c r="AY86" s="29"/>
      <c r="AZ86" s="29"/>
      <c r="BA86" s="29"/>
      <c r="BB86" s="29"/>
      <c r="BC86" s="29"/>
      <c r="BD86" s="29"/>
      <c r="BE86" s="29"/>
      <c r="BF86" s="29"/>
      <c r="BG86" s="29"/>
      <c r="BH86" s="29"/>
      <c r="BI86" s="29"/>
    </row>
    <row r="87" spans="1:63" ht="16.5" customHeight="1" thickBot="1">
      <c r="A87" s="331"/>
      <c r="B87" s="331"/>
      <c r="C87" s="331"/>
      <c r="D87" s="331"/>
      <c r="E87" s="331"/>
      <c r="F87" s="165"/>
      <c r="G87" s="165"/>
      <c r="H87" s="165"/>
      <c r="I87" s="97"/>
      <c r="J87" s="97"/>
      <c r="K87" s="97"/>
      <c r="L87" s="97"/>
      <c r="M87" s="97"/>
      <c r="N87" s="98" t="s">
        <v>186</v>
      </c>
      <c r="O87" s="98"/>
      <c r="P87" s="96">
        <f>CEILING(P86*0.95,0.5)</f>
        <v>83.5</v>
      </c>
      <c r="Q87" s="96"/>
      <c r="R87" s="96"/>
      <c r="S87" s="96"/>
      <c r="T87" s="96">
        <f>CEILING(T86*0.95,0.5)</f>
        <v>95</v>
      </c>
      <c r="U87" s="96"/>
      <c r="V87" s="96"/>
      <c r="W87" s="96"/>
      <c r="X87" s="96">
        <f>CEILING(X86*0.95,0.5)</f>
        <v>107.5</v>
      </c>
      <c r="Y87" s="96"/>
      <c r="Z87" s="96"/>
      <c r="AA87" s="96"/>
      <c r="AB87" s="96">
        <f>CEILING(AB86*0.95,0.5)</f>
        <v>119.5</v>
      </c>
      <c r="AC87" s="96"/>
      <c r="AD87" s="96"/>
      <c r="AE87" s="96"/>
      <c r="AG87" s="44"/>
      <c r="AK87" s="44"/>
      <c r="AL87" s="27"/>
      <c r="AM87" s="27"/>
      <c r="AN87" s="27"/>
      <c r="AO87" s="28"/>
      <c r="AP87" s="28"/>
      <c r="AQ87" s="28"/>
      <c r="AR87" s="28"/>
      <c r="AS87" s="28"/>
      <c r="AT87" s="22"/>
      <c r="AU87" s="22"/>
      <c r="AV87" s="29"/>
      <c r="AW87" s="29"/>
      <c r="AX87" s="29"/>
      <c r="AY87" s="29"/>
      <c r="AZ87" s="29"/>
      <c r="BA87" s="29"/>
      <c r="BB87" s="29"/>
      <c r="BC87" s="29"/>
      <c r="BD87" s="29"/>
      <c r="BE87" s="29"/>
      <c r="BF87" s="29"/>
      <c r="BG87" s="29"/>
      <c r="BH87" s="29"/>
      <c r="BI87" s="29"/>
    </row>
    <row r="88" spans="1:63" ht="16.5" customHeight="1" thickTop="1">
      <c r="A88" s="331"/>
      <c r="B88" s="331"/>
      <c r="C88" s="331"/>
      <c r="D88" s="331"/>
      <c r="E88" s="331"/>
      <c r="F88" s="165"/>
      <c r="G88" s="165"/>
      <c r="H88" s="165"/>
      <c r="I88" s="97"/>
      <c r="J88" s="97"/>
      <c r="K88" s="97"/>
      <c r="L88" s="97"/>
      <c r="M88" s="97"/>
      <c r="N88" s="98" t="s">
        <v>96</v>
      </c>
      <c r="O88" s="98"/>
      <c r="P88" s="96">
        <f>CEILING(P85*0.42+5,0.5)</f>
        <v>78</v>
      </c>
      <c r="Q88" s="96"/>
      <c r="R88" s="96"/>
      <c r="S88" s="96"/>
      <c r="T88" s="96">
        <f>CEILING(T85*0.42+5,0.5)</f>
        <v>90.5</v>
      </c>
      <c r="U88" s="96"/>
      <c r="V88" s="96"/>
      <c r="W88" s="96"/>
      <c r="X88" s="96">
        <f>CEILING(X85*0.42+5,0.5)</f>
        <v>103.5</v>
      </c>
      <c r="Y88" s="96"/>
      <c r="Z88" s="96"/>
      <c r="AA88" s="96"/>
      <c r="AB88" s="96">
        <f>CEILING(AB85*0.42+5,0.5)</f>
        <v>116</v>
      </c>
      <c r="AC88" s="96"/>
      <c r="AD88" s="96"/>
      <c r="AE88" s="96"/>
      <c r="AG88" s="90" t="s">
        <v>27</v>
      </c>
      <c r="AH88" s="91"/>
      <c r="AI88" s="91"/>
      <c r="AJ88" s="91"/>
      <c r="AK88" s="91"/>
      <c r="AL88" s="91"/>
      <c r="AM88" s="91"/>
      <c r="AN88" s="91"/>
      <c r="AO88" s="91"/>
      <c r="AP88" s="91"/>
      <c r="AQ88" s="91"/>
      <c r="AR88" s="91"/>
      <c r="AS88" s="91"/>
      <c r="AT88" s="91"/>
      <c r="AU88" s="91"/>
      <c r="AV88" s="91"/>
      <c r="AW88" s="91"/>
      <c r="AX88" s="91"/>
      <c r="AY88" s="91"/>
      <c r="AZ88" s="92"/>
    </row>
    <row r="89" spans="1:63" ht="16.5" customHeight="1">
      <c r="A89" s="331"/>
      <c r="B89" s="331"/>
      <c r="C89" s="331"/>
      <c r="D89" s="331"/>
      <c r="E89" s="331"/>
      <c r="F89" s="165"/>
      <c r="G89" s="165"/>
      <c r="H89" s="165"/>
      <c r="I89" s="95" t="s">
        <v>15</v>
      </c>
      <c r="J89" s="95"/>
      <c r="K89" s="95"/>
      <c r="L89" s="95"/>
      <c r="M89" s="95"/>
      <c r="N89" s="100" t="s">
        <v>184</v>
      </c>
      <c r="O89" s="100"/>
      <c r="P89" s="99">
        <f>P95+15</f>
        <v>186</v>
      </c>
      <c r="Q89" s="99"/>
      <c r="R89" s="99"/>
      <c r="S89" s="99"/>
      <c r="T89" s="99">
        <f>P89+15</f>
        <v>201</v>
      </c>
      <c r="U89" s="99"/>
      <c r="V89" s="99"/>
      <c r="W89" s="99"/>
      <c r="X89" s="99">
        <f>T89+15</f>
        <v>216</v>
      </c>
      <c r="Y89" s="99"/>
      <c r="Z89" s="99"/>
      <c r="AA89" s="99"/>
      <c r="AB89" s="99">
        <f>X89+15</f>
        <v>231</v>
      </c>
      <c r="AC89" s="99"/>
      <c r="AD89" s="99"/>
      <c r="AE89" s="99"/>
      <c r="AG89" s="186" t="s">
        <v>28</v>
      </c>
      <c r="AH89" s="187"/>
      <c r="AI89" s="187"/>
      <c r="AJ89" s="187"/>
      <c r="AK89" s="187"/>
      <c r="AL89" s="187"/>
      <c r="AM89" s="187"/>
      <c r="AN89" s="188"/>
      <c r="AO89" s="187" t="s">
        <v>29</v>
      </c>
      <c r="AP89" s="187"/>
      <c r="AQ89" s="187"/>
      <c r="AR89" s="187"/>
      <c r="AS89" s="187"/>
      <c r="AT89" s="187"/>
      <c r="AU89" s="187"/>
      <c r="AV89" s="187"/>
      <c r="AW89" s="187"/>
      <c r="AX89" s="187"/>
      <c r="AY89" s="187"/>
      <c r="AZ89" s="189"/>
    </row>
    <row r="90" spans="1:63" ht="16.5" customHeight="1">
      <c r="A90" s="331"/>
      <c r="B90" s="331"/>
      <c r="C90" s="331"/>
      <c r="D90" s="331"/>
      <c r="E90" s="331"/>
      <c r="F90" s="165"/>
      <c r="G90" s="165"/>
      <c r="H90" s="165"/>
      <c r="I90" s="95"/>
      <c r="J90" s="95"/>
      <c r="K90" s="95"/>
      <c r="L90" s="95"/>
      <c r="M90" s="95"/>
      <c r="N90" s="100" t="s">
        <v>186</v>
      </c>
      <c r="O90" s="100"/>
      <c r="P90" s="99">
        <f>CEILING(P89*0.95,0.5)</f>
        <v>177</v>
      </c>
      <c r="Q90" s="99"/>
      <c r="R90" s="99"/>
      <c r="S90" s="99"/>
      <c r="T90" s="99">
        <f>CEILING(T89*0.95,0.5)</f>
        <v>191</v>
      </c>
      <c r="U90" s="99"/>
      <c r="V90" s="99"/>
      <c r="W90" s="99"/>
      <c r="X90" s="99">
        <f>CEILING(X89*0.95,0.5)</f>
        <v>205.5</v>
      </c>
      <c r="Y90" s="99"/>
      <c r="Z90" s="99"/>
      <c r="AA90" s="99"/>
      <c r="AB90" s="99">
        <f>CEILING(AB89*0.95,0.5)</f>
        <v>219.5</v>
      </c>
      <c r="AC90" s="99"/>
      <c r="AD90" s="99"/>
      <c r="AE90" s="99"/>
      <c r="AG90" s="168" t="s">
        <v>71</v>
      </c>
      <c r="AH90" s="169"/>
      <c r="AI90" s="169"/>
      <c r="AJ90" s="169"/>
      <c r="AK90" s="169"/>
      <c r="AL90" s="169"/>
      <c r="AM90" s="169"/>
      <c r="AN90" s="170"/>
      <c r="AO90" s="169" t="s">
        <v>31</v>
      </c>
      <c r="AP90" s="169"/>
      <c r="AQ90" s="169"/>
      <c r="AR90" s="169"/>
      <c r="AS90" s="169"/>
      <c r="AT90" s="169"/>
      <c r="AU90" s="169"/>
      <c r="AV90" s="169"/>
      <c r="AW90" s="169"/>
      <c r="AX90" s="169"/>
      <c r="AY90" s="169"/>
      <c r="AZ90" s="171"/>
    </row>
    <row r="91" spans="1:63" ht="16.5" customHeight="1" thickBot="1">
      <c r="A91" s="331"/>
      <c r="B91" s="331"/>
      <c r="C91" s="331"/>
      <c r="D91" s="331"/>
      <c r="E91" s="331"/>
      <c r="F91" s="165"/>
      <c r="G91" s="165"/>
      <c r="H91" s="165"/>
      <c r="I91" s="95"/>
      <c r="J91" s="95"/>
      <c r="K91" s="95"/>
      <c r="L91" s="95"/>
      <c r="M91" s="95"/>
      <c r="N91" s="100" t="s">
        <v>96</v>
      </c>
      <c r="O91" s="100"/>
      <c r="P91" s="99">
        <f>P97+15</f>
        <v>163.5</v>
      </c>
      <c r="Q91" s="99"/>
      <c r="R91" s="99"/>
      <c r="S91" s="99"/>
      <c r="T91" s="99">
        <f>P91+15</f>
        <v>178.5</v>
      </c>
      <c r="U91" s="99"/>
      <c r="V91" s="99"/>
      <c r="W91" s="99"/>
      <c r="X91" s="99">
        <f>T91+15</f>
        <v>193.5</v>
      </c>
      <c r="Y91" s="99"/>
      <c r="Z91" s="99"/>
      <c r="AA91" s="99"/>
      <c r="AB91" s="99">
        <f>X91+15</f>
        <v>208.5</v>
      </c>
      <c r="AC91" s="99"/>
      <c r="AD91" s="99"/>
      <c r="AE91" s="99"/>
      <c r="AG91" s="85" t="s">
        <v>194</v>
      </c>
      <c r="AH91" s="86"/>
      <c r="AI91" s="86"/>
      <c r="AJ91" s="86"/>
      <c r="AK91" s="86"/>
      <c r="AL91" s="86"/>
      <c r="AM91" s="86"/>
      <c r="AN91" s="87"/>
      <c r="AO91" s="86" t="s">
        <v>31</v>
      </c>
      <c r="AP91" s="86"/>
      <c r="AQ91" s="86"/>
      <c r="AR91" s="86"/>
      <c r="AS91" s="86"/>
      <c r="AT91" s="86"/>
      <c r="AU91" s="86"/>
      <c r="AV91" s="86"/>
      <c r="AW91" s="86"/>
      <c r="AX91" s="86"/>
      <c r="AY91" s="86"/>
      <c r="AZ91" s="88"/>
    </row>
    <row r="92" spans="1:63" ht="16.5" customHeight="1" thickTop="1">
      <c r="A92" s="331"/>
      <c r="B92" s="331"/>
      <c r="C92" s="331"/>
      <c r="D92" s="331"/>
      <c r="E92" s="331"/>
      <c r="F92" s="165"/>
      <c r="G92" s="165"/>
      <c r="H92" s="165"/>
      <c r="I92" s="97" t="s">
        <v>195</v>
      </c>
      <c r="J92" s="97"/>
      <c r="K92" s="97"/>
      <c r="L92" s="97"/>
      <c r="M92" s="97"/>
      <c r="N92" s="98" t="s">
        <v>184</v>
      </c>
      <c r="O92" s="98"/>
      <c r="P92" s="96">
        <f>CEILING(P89*0.42+5,0.5)</f>
        <v>83.5</v>
      </c>
      <c r="Q92" s="96"/>
      <c r="R92" s="96"/>
      <c r="S92" s="96"/>
      <c r="T92" s="96">
        <f>CEILING(T89*0.42+5,0.5)</f>
        <v>89.5</v>
      </c>
      <c r="U92" s="96"/>
      <c r="V92" s="96"/>
      <c r="W92" s="96"/>
      <c r="X92" s="96">
        <f>CEILING(X89*0.42+5,0.5)</f>
        <v>96</v>
      </c>
      <c r="Y92" s="96"/>
      <c r="Z92" s="96"/>
      <c r="AA92" s="96"/>
      <c r="AB92" s="96">
        <f>CEILING(AB89*0.42+5,0.5)</f>
        <v>102.5</v>
      </c>
      <c r="AC92" s="96"/>
      <c r="AD92" s="96"/>
      <c r="AE92" s="96"/>
    </row>
    <row r="93" spans="1:63" ht="16.5" customHeight="1">
      <c r="A93" s="331"/>
      <c r="B93" s="331"/>
      <c r="C93" s="331"/>
      <c r="D93" s="331"/>
      <c r="E93" s="331"/>
      <c r="F93" s="165"/>
      <c r="G93" s="165"/>
      <c r="H93" s="165"/>
      <c r="I93" s="97"/>
      <c r="J93" s="97"/>
      <c r="K93" s="97"/>
      <c r="L93" s="97"/>
      <c r="M93" s="97"/>
      <c r="N93" s="98" t="s">
        <v>186</v>
      </c>
      <c r="O93" s="98"/>
      <c r="P93" s="96">
        <f>CEILING(P92*0.95,0.5)</f>
        <v>79.5</v>
      </c>
      <c r="Q93" s="96"/>
      <c r="R93" s="96"/>
      <c r="S93" s="96"/>
      <c r="T93" s="96">
        <f>CEILING(T92*0.95,0.5)</f>
        <v>85.5</v>
      </c>
      <c r="U93" s="96"/>
      <c r="V93" s="96"/>
      <c r="W93" s="96"/>
      <c r="X93" s="96">
        <f>CEILING(X92*0.95,0.5)</f>
        <v>91.5</v>
      </c>
      <c r="Y93" s="96"/>
      <c r="Z93" s="96"/>
      <c r="AA93" s="96"/>
      <c r="AB93" s="96">
        <f>CEILING(AB92*0.95,0.5)</f>
        <v>97.5</v>
      </c>
      <c r="AC93" s="96"/>
      <c r="AD93" s="96"/>
      <c r="AE93" s="96"/>
    </row>
    <row r="94" spans="1:63" ht="16.5" customHeight="1">
      <c r="A94" s="331"/>
      <c r="B94" s="331"/>
      <c r="C94" s="331"/>
      <c r="D94" s="331"/>
      <c r="E94" s="331"/>
      <c r="F94" s="165"/>
      <c r="G94" s="165"/>
      <c r="H94" s="165"/>
      <c r="I94" s="97"/>
      <c r="J94" s="97"/>
      <c r="K94" s="97"/>
      <c r="L94" s="97"/>
      <c r="M94" s="97"/>
      <c r="N94" s="98" t="s">
        <v>96</v>
      </c>
      <c r="O94" s="98"/>
      <c r="P94" s="96">
        <f>CEILING(P91*0.42+5,0.5)</f>
        <v>74</v>
      </c>
      <c r="Q94" s="96"/>
      <c r="R94" s="96"/>
      <c r="S94" s="96"/>
      <c r="T94" s="96">
        <f>CEILING(T91*0.42+5,0.5)</f>
        <v>80</v>
      </c>
      <c r="U94" s="96"/>
      <c r="V94" s="96"/>
      <c r="W94" s="96"/>
      <c r="X94" s="96">
        <f>CEILING(X91*0.42+5,0.5)</f>
        <v>86.5</v>
      </c>
      <c r="Y94" s="96"/>
      <c r="Z94" s="96"/>
      <c r="AA94" s="96"/>
      <c r="AB94" s="96">
        <f>CEILING(AB91*0.42+5,0.5)</f>
        <v>93</v>
      </c>
      <c r="AC94" s="96"/>
      <c r="AD94" s="96"/>
      <c r="AE94" s="96"/>
    </row>
    <row r="95" spans="1:63" ht="16.5" customHeight="1">
      <c r="A95" s="331"/>
      <c r="B95" s="331"/>
      <c r="C95" s="331"/>
      <c r="D95" s="331"/>
      <c r="E95" s="331"/>
      <c r="F95" s="165"/>
      <c r="G95" s="165"/>
      <c r="H95" s="165"/>
      <c r="I95" s="95" t="s">
        <v>18</v>
      </c>
      <c r="J95" s="95"/>
      <c r="K95" s="95"/>
      <c r="L95" s="95"/>
      <c r="M95" s="95"/>
      <c r="N95" s="100" t="s">
        <v>184</v>
      </c>
      <c r="O95" s="100"/>
      <c r="P95" s="101">
        <f>CEILING(131.5*1.3,0.5)</f>
        <v>171</v>
      </c>
      <c r="Q95" s="101"/>
      <c r="R95" s="101"/>
      <c r="S95" s="101"/>
      <c r="T95" s="99">
        <f>P95+10</f>
        <v>181</v>
      </c>
      <c r="U95" s="99"/>
      <c r="V95" s="99"/>
      <c r="W95" s="99"/>
      <c r="X95" s="99">
        <f>T95+10</f>
        <v>191</v>
      </c>
      <c r="Y95" s="99"/>
      <c r="Z95" s="99"/>
      <c r="AA95" s="99"/>
      <c r="AB95" s="99">
        <f>X95+10</f>
        <v>201</v>
      </c>
      <c r="AC95" s="99"/>
      <c r="AD95" s="99"/>
      <c r="AE95" s="99"/>
    </row>
    <row r="96" spans="1:63" ht="16.5" customHeight="1">
      <c r="A96" s="331"/>
      <c r="B96" s="331"/>
      <c r="C96" s="331"/>
      <c r="D96" s="331"/>
      <c r="E96" s="331"/>
      <c r="F96" s="165"/>
      <c r="G96" s="165"/>
      <c r="H96" s="165"/>
      <c r="I96" s="95"/>
      <c r="J96" s="95"/>
      <c r="K96" s="95"/>
      <c r="L96" s="95"/>
      <c r="M96" s="95"/>
      <c r="N96" s="100" t="s">
        <v>186</v>
      </c>
      <c r="O96" s="100"/>
      <c r="P96" s="99">
        <f>CEILING(P95*0.95,0.5)</f>
        <v>162.5</v>
      </c>
      <c r="Q96" s="99"/>
      <c r="R96" s="99"/>
      <c r="S96" s="99"/>
      <c r="T96" s="99">
        <f>CEILING(T95*0.95,0.5)</f>
        <v>172</v>
      </c>
      <c r="U96" s="99"/>
      <c r="V96" s="99"/>
      <c r="W96" s="99"/>
      <c r="X96" s="99">
        <f>CEILING(X95*0.95,0.5)</f>
        <v>181.5</v>
      </c>
      <c r="Y96" s="99"/>
      <c r="Z96" s="99"/>
      <c r="AA96" s="99"/>
      <c r="AB96" s="99">
        <f>CEILING(AB95*0.95,0.5)</f>
        <v>191</v>
      </c>
      <c r="AC96" s="99"/>
      <c r="AD96" s="99"/>
      <c r="AE96" s="99"/>
    </row>
    <row r="97" spans="1:63" ht="16.5" customHeight="1">
      <c r="A97" s="331"/>
      <c r="B97" s="331"/>
      <c r="C97" s="331"/>
      <c r="D97" s="331"/>
      <c r="E97" s="331"/>
      <c r="F97" s="165"/>
      <c r="G97" s="165"/>
      <c r="H97" s="165"/>
      <c r="I97" s="95"/>
      <c r="J97" s="95"/>
      <c r="K97" s="95"/>
      <c r="L97" s="95"/>
      <c r="M97" s="95"/>
      <c r="N97" s="100" t="s">
        <v>96</v>
      </c>
      <c r="O97" s="100"/>
      <c r="P97" s="101">
        <f>CEILING(114*1.3,0.5)</f>
        <v>148.5</v>
      </c>
      <c r="Q97" s="101"/>
      <c r="R97" s="101"/>
      <c r="S97" s="101"/>
      <c r="T97" s="99">
        <f>P97+10</f>
        <v>158.5</v>
      </c>
      <c r="U97" s="99"/>
      <c r="V97" s="99"/>
      <c r="W97" s="99"/>
      <c r="X97" s="99">
        <f>T97+10</f>
        <v>168.5</v>
      </c>
      <c r="Y97" s="99"/>
      <c r="Z97" s="99"/>
      <c r="AA97" s="99"/>
      <c r="AB97" s="99">
        <f>X97+10</f>
        <v>178.5</v>
      </c>
      <c r="AC97" s="99"/>
      <c r="AD97" s="99"/>
      <c r="AE97" s="99"/>
    </row>
    <row r="98" spans="1:63" ht="16.5" customHeight="1">
      <c r="A98" s="331"/>
      <c r="B98" s="331"/>
      <c r="C98" s="331"/>
      <c r="D98" s="331"/>
      <c r="E98" s="331"/>
      <c r="F98" s="165"/>
      <c r="G98" s="165"/>
      <c r="H98" s="165"/>
      <c r="I98" s="97" t="s">
        <v>56</v>
      </c>
      <c r="J98" s="97"/>
      <c r="K98" s="97"/>
      <c r="L98" s="97"/>
      <c r="M98" s="97"/>
      <c r="N98" s="98" t="s">
        <v>184</v>
      </c>
      <c r="O98" s="98"/>
      <c r="P98" s="96">
        <f>CEILING(P95*0.42+5,0.5)</f>
        <v>77</v>
      </c>
      <c r="Q98" s="96"/>
      <c r="R98" s="96"/>
      <c r="S98" s="96"/>
      <c r="T98" s="96">
        <f>CEILING(T95*0.42+5,0.5)</f>
        <v>81.5</v>
      </c>
      <c r="U98" s="96"/>
      <c r="V98" s="96"/>
      <c r="W98" s="96"/>
      <c r="X98" s="96">
        <f>CEILING(X95*0.42+5,0.5)</f>
        <v>85.5</v>
      </c>
      <c r="Y98" s="96"/>
      <c r="Z98" s="96"/>
      <c r="AA98" s="96"/>
      <c r="AB98" s="96">
        <f>CEILING(AB95*0.42+5,0.5)</f>
        <v>89.5</v>
      </c>
      <c r="AC98" s="96"/>
      <c r="AD98" s="96"/>
      <c r="AE98" s="96"/>
    </row>
    <row r="99" spans="1:63" ht="16.5" customHeight="1">
      <c r="A99" s="331"/>
      <c r="B99" s="331"/>
      <c r="C99" s="331"/>
      <c r="D99" s="331"/>
      <c r="E99" s="331"/>
      <c r="F99" s="165"/>
      <c r="G99" s="165"/>
      <c r="H99" s="165"/>
      <c r="I99" s="97"/>
      <c r="J99" s="97"/>
      <c r="K99" s="97"/>
      <c r="L99" s="97"/>
      <c r="M99" s="97"/>
      <c r="N99" s="98" t="s">
        <v>186</v>
      </c>
      <c r="O99" s="98"/>
      <c r="P99" s="96">
        <f>CEILING(P98*0.95,0.5)</f>
        <v>73.5</v>
      </c>
      <c r="Q99" s="96"/>
      <c r="R99" s="96"/>
      <c r="S99" s="96"/>
      <c r="T99" s="96">
        <f>CEILING(T98*0.95,0.5)</f>
        <v>77.5</v>
      </c>
      <c r="U99" s="96"/>
      <c r="V99" s="96"/>
      <c r="W99" s="96"/>
      <c r="X99" s="96">
        <f>CEILING(X98*0.95,0.5)</f>
        <v>81.5</v>
      </c>
      <c r="Y99" s="96"/>
      <c r="Z99" s="96"/>
      <c r="AA99" s="96"/>
      <c r="AB99" s="96">
        <f>CEILING(AB98*0.95,0.5)</f>
        <v>85.5</v>
      </c>
      <c r="AC99" s="96"/>
      <c r="AD99" s="96"/>
      <c r="AE99" s="96"/>
    </row>
    <row r="100" spans="1:63" ht="16.5" customHeight="1">
      <c r="A100" s="331"/>
      <c r="B100" s="331"/>
      <c r="C100" s="331"/>
      <c r="D100" s="331"/>
      <c r="E100" s="331"/>
      <c r="F100" s="165"/>
      <c r="G100" s="165"/>
      <c r="H100" s="165"/>
      <c r="I100" s="97"/>
      <c r="J100" s="97"/>
      <c r="K100" s="97"/>
      <c r="L100" s="97"/>
      <c r="M100" s="97"/>
      <c r="N100" s="98" t="s">
        <v>96</v>
      </c>
      <c r="O100" s="98"/>
      <c r="P100" s="96">
        <f>CEILING(P97*0.42+5,0.5)</f>
        <v>67.5</v>
      </c>
      <c r="Q100" s="96"/>
      <c r="R100" s="96"/>
      <c r="S100" s="96"/>
      <c r="T100" s="96">
        <f>CEILING(T97*0.42+5,0.5)</f>
        <v>72</v>
      </c>
      <c r="U100" s="96"/>
      <c r="V100" s="96"/>
      <c r="W100" s="96"/>
      <c r="X100" s="96">
        <f>CEILING(X97*0.42+5,0.5)</f>
        <v>76</v>
      </c>
      <c r="Y100" s="96"/>
      <c r="Z100" s="96"/>
      <c r="AA100" s="96"/>
      <c r="AB100" s="96">
        <f>CEILING(AB97*0.42+5,0.5)</f>
        <v>80</v>
      </c>
      <c r="AC100" s="96"/>
      <c r="AD100" s="96"/>
      <c r="AE100" s="96"/>
    </row>
    <row r="101" spans="1:63" ht="16.5" customHeight="1">
      <c r="A101" s="331"/>
      <c r="B101" s="331"/>
      <c r="C101" s="331"/>
      <c r="D101" s="331"/>
      <c r="E101" s="331"/>
      <c r="F101" s="165"/>
      <c r="G101" s="165"/>
      <c r="H101" s="165"/>
      <c r="I101" s="82" t="s">
        <v>21</v>
      </c>
      <c r="J101" s="82"/>
      <c r="K101" s="82"/>
      <c r="L101" s="82"/>
      <c r="M101" s="82"/>
      <c r="N101" s="84" t="s">
        <v>184</v>
      </c>
      <c r="O101" s="84"/>
      <c r="P101" s="83">
        <f>P95-4</f>
        <v>167</v>
      </c>
      <c r="Q101" s="83"/>
      <c r="R101" s="83"/>
      <c r="S101" s="83"/>
      <c r="T101" s="83">
        <f>P101+8</f>
        <v>175</v>
      </c>
      <c r="U101" s="83"/>
      <c r="V101" s="83"/>
      <c r="W101" s="83"/>
      <c r="X101" s="83">
        <f>T101+8</f>
        <v>183</v>
      </c>
      <c r="Y101" s="83"/>
      <c r="Z101" s="83"/>
      <c r="AA101" s="83"/>
      <c r="AB101" s="83">
        <f>X101+8</f>
        <v>191</v>
      </c>
      <c r="AC101" s="83"/>
      <c r="AD101" s="83"/>
      <c r="AE101" s="83"/>
    </row>
    <row r="102" spans="1:63" ht="16.5" customHeight="1">
      <c r="A102" s="331"/>
      <c r="B102" s="331"/>
      <c r="C102" s="331"/>
      <c r="D102" s="331"/>
      <c r="E102" s="331"/>
      <c r="F102" s="165"/>
      <c r="G102" s="165"/>
      <c r="H102" s="165"/>
      <c r="I102" s="82"/>
      <c r="J102" s="82"/>
      <c r="K102" s="82"/>
      <c r="L102" s="82"/>
      <c r="M102" s="82"/>
      <c r="N102" s="84" t="s">
        <v>186</v>
      </c>
      <c r="O102" s="84"/>
      <c r="P102" s="83">
        <f>CEILING(P101*0.95,0.5)</f>
        <v>159</v>
      </c>
      <c r="Q102" s="83"/>
      <c r="R102" s="83"/>
      <c r="S102" s="83"/>
      <c r="T102" s="83">
        <f>CEILING(T101*0.95,0.5)</f>
        <v>166.5</v>
      </c>
      <c r="U102" s="83"/>
      <c r="V102" s="83"/>
      <c r="W102" s="83"/>
      <c r="X102" s="83">
        <f>CEILING(X101*0.95,0.5)</f>
        <v>174</v>
      </c>
      <c r="Y102" s="83"/>
      <c r="Z102" s="83"/>
      <c r="AA102" s="83"/>
      <c r="AB102" s="83">
        <f>CEILING(AB101*0.95,0.5)</f>
        <v>181.5</v>
      </c>
      <c r="AC102" s="83"/>
      <c r="AD102" s="83"/>
      <c r="AE102" s="83"/>
    </row>
    <row r="103" spans="1:63" ht="16.5" customHeight="1">
      <c r="A103" s="331"/>
      <c r="B103" s="331"/>
      <c r="C103" s="331"/>
      <c r="D103" s="331"/>
      <c r="E103" s="331"/>
      <c r="F103" s="165"/>
      <c r="G103" s="165"/>
      <c r="H103" s="165"/>
      <c r="I103" s="82"/>
      <c r="J103" s="82"/>
      <c r="K103" s="82"/>
      <c r="L103" s="82"/>
      <c r="M103" s="82"/>
      <c r="N103" s="84" t="s">
        <v>96</v>
      </c>
      <c r="O103" s="84"/>
      <c r="P103" s="83">
        <f>P97-4</f>
        <v>144.5</v>
      </c>
      <c r="Q103" s="83"/>
      <c r="R103" s="83"/>
      <c r="S103" s="83"/>
      <c r="T103" s="83">
        <f>P103+8</f>
        <v>152.5</v>
      </c>
      <c r="U103" s="83"/>
      <c r="V103" s="83"/>
      <c r="W103" s="83"/>
      <c r="X103" s="83">
        <f>T103+8</f>
        <v>160.5</v>
      </c>
      <c r="Y103" s="83"/>
      <c r="Z103" s="83"/>
      <c r="AA103" s="83"/>
      <c r="AB103" s="83">
        <f>X103+8</f>
        <v>168.5</v>
      </c>
      <c r="AC103" s="83"/>
      <c r="AD103" s="83"/>
      <c r="AE103" s="83"/>
    </row>
    <row r="104" spans="1:63" ht="16.5" customHeight="1">
      <c r="A104" s="331"/>
      <c r="B104" s="331"/>
      <c r="C104" s="331"/>
      <c r="D104" s="331"/>
      <c r="E104" s="331"/>
      <c r="F104" s="165"/>
      <c r="G104" s="165"/>
      <c r="H104" s="165"/>
      <c r="I104" s="80" t="s">
        <v>196</v>
      </c>
      <c r="J104" s="80"/>
      <c r="K104" s="80"/>
      <c r="L104" s="80"/>
      <c r="M104" s="80"/>
      <c r="N104" s="81" t="s">
        <v>184</v>
      </c>
      <c r="O104" s="81"/>
      <c r="P104" s="89">
        <f>CEILING(P101*0.42+5,0.5)</f>
        <v>75.5</v>
      </c>
      <c r="Q104" s="89"/>
      <c r="R104" s="89"/>
      <c r="S104" s="89"/>
      <c r="T104" s="89">
        <f>CEILING(T101*0.42+5,0.5)</f>
        <v>78.5</v>
      </c>
      <c r="U104" s="89"/>
      <c r="V104" s="89"/>
      <c r="W104" s="89"/>
      <c r="X104" s="89">
        <f>CEILING(X101*0.42+5,0.5)</f>
        <v>82</v>
      </c>
      <c r="Y104" s="89"/>
      <c r="Z104" s="89"/>
      <c r="AA104" s="89"/>
      <c r="AB104" s="89">
        <f>CEILING(AB101*0.42+5,0.5)</f>
        <v>85.5</v>
      </c>
      <c r="AC104" s="89"/>
      <c r="AD104" s="89"/>
      <c r="AE104" s="89"/>
    </row>
    <row r="105" spans="1:63" ht="16.5" customHeight="1">
      <c r="A105" s="331"/>
      <c r="B105" s="331"/>
      <c r="C105" s="331"/>
      <c r="D105" s="331"/>
      <c r="E105" s="331"/>
      <c r="F105" s="165"/>
      <c r="G105" s="165"/>
      <c r="H105" s="165"/>
      <c r="I105" s="80"/>
      <c r="J105" s="80"/>
      <c r="K105" s="80"/>
      <c r="L105" s="80"/>
      <c r="M105" s="80"/>
      <c r="N105" s="81" t="s">
        <v>186</v>
      </c>
      <c r="O105" s="81"/>
      <c r="P105" s="89">
        <f>CEILING(P104*0.95,0.5)</f>
        <v>72</v>
      </c>
      <c r="Q105" s="89"/>
      <c r="R105" s="89"/>
      <c r="S105" s="89"/>
      <c r="T105" s="89">
        <f>CEILING(T104*0.95,0.5)</f>
        <v>75</v>
      </c>
      <c r="U105" s="89"/>
      <c r="V105" s="89"/>
      <c r="W105" s="89"/>
      <c r="X105" s="89">
        <f>CEILING(X104*0.95,0.5)</f>
        <v>78</v>
      </c>
      <c r="Y105" s="89"/>
      <c r="Z105" s="89"/>
      <c r="AA105" s="89"/>
      <c r="AB105" s="89">
        <f>CEILING(AB104*0.95,0.5)</f>
        <v>81.5</v>
      </c>
      <c r="AC105" s="89"/>
      <c r="AD105" s="89"/>
      <c r="AE105" s="89"/>
    </row>
    <row r="106" spans="1:63" ht="16.5" customHeight="1">
      <c r="A106" s="331"/>
      <c r="B106" s="331"/>
      <c r="C106" s="331"/>
      <c r="D106" s="331"/>
      <c r="E106" s="331"/>
      <c r="F106" s="167"/>
      <c r="G106" s="167"/>
      <c r="H106" s="167"/>
      <c r="I106" s="80"/>
      <c r="J106" s="80"/>
      <c r="K106" s="80"/>
      <c r="L106" s="80"/>
      <c r="M106" s="80"/>
      <c r="N106" s="81" t="s">
        <v>96</v>
      </c>
      <c r="O106" s="81"/>
      <c r="P106" s="89">
        <f>CEILING(P103*0.42+5,0.5)</f>
        <v>66</v>
      </c>
      <c r="Q106" s="89"/>
      <c r="R106" s="89"/>
      <c r="S106" s="89"/>
      <c r="T106" s="89">
        <f>CEILING(T103*0.42+5,0.5)</f>
        <v>69.5</v>
      </c>
      <c r="U106" s="89"/>
      <c r="V106" s="89"/>
      <c r="W106" s="89"/>
      <c r="X106" s="89">
        <f>CEILING(X103*0.42+5,0.5)</f>
        <v>72.5</v>
      </c>
      <c r="Y106" s="89"/>
      <c r="Z106" s="89"/>
      <c r="AA106" s="89"/>
      <c r="AB106" s="89">
        <f>CEILING(AB103*0.42+5,0.5)</f>
        <v>76</v>
      </c>
      <c r="AC106" s="89"/>
      <c r="AD106" s="89"/>
      <c r="AE106" s="89"/>
    </row>
    <row r="107" spans="1:63" ht="16.5" customHeight="1">
      <c r="A107" s="9"/>
    </row>
    <row r="108" spans="1:63" ht="16.5" customHeight="1">
      <c r="A108" s="9"/>
    </row>
    <row r="109" spans="1:63" ht="16.5" customHeight="1"/>
    <row r="110" spans="1:63" ht="16.5" customHeight="1"/>
    <row r="111" spans="1:63" ht="16.5" customHeight="1"/>
    <row r="112" spans="1:63" ht="16.5" customHeight="1">
      <c r="A112" s="98" t="s">
        <v>3</v>
      </c>
      <c r="B112" s="98"/>
      <c r="C112" s="98"/>
      <c r="D112" s="98"/>
      <c r="E112" s="98"/>
      <c r="F112" s="155" t="s">
        <v>4</v>
      </c>
      <c r="G112" s="155"/>
      <c r="H112" s="155"/>
      <c r="I112" s="98" t="s">
        <v>5</v>
      </c>
      <c r="J112" s="98"/>
      <c r="K112" s="98"/>
      <c r="L112" s="98"/>
      <c r="M112" s="98"/>
      <c r="N112" s="98"/>
      <c r="O112" s="98"/>
      <c r="P112" s="98" t="s">
        <v>6</v>
      </c>
      <c r="Q112" s="98"/>
      <c r="R112" s="98"/>
      <c r="S112" s="98"/>
      <c r="T112" s="98" t="s">
        <v>7</v>
      </c>
      <c r="U112" s="98"/>
      <c r="V112" s="98"/>
      <c r="W112" s="98"/>
      <c r="X112" s="98" t="s">
        <v>8</v>
      </c>
      <c r="Y112" s="98"/>
      <c r="Z112" s="98"/>
      <c r="AA112" s="98"/>
      <c r="AB112" s="98" t="s">
        <v>52</v>
      </c>
      <c r="AC112" s="98"/>
      <c r="AD112" s="98"/>
      <c r="AE112" s="98"/>
      <c r="AG112" s="98" t="s">
        <v>3</v>
      </c>
      <c r="AH112" s="98"/>
      <c r="AI112" s="98"/>
      <c r="AJ112" s="98"/>
      <c r="AK112" s="98"/>
      <c r="AL112" s="155" t="s">
        <v>4</v>
      </c>
      <c r="AM112" s="155"/>
      <c r="AN112" s="155"/>
      <c r="AO112" s="98" t="s">
        <v>5</v>
      </c>
      <c r="AP112" s="98"/>
      <c r="AQ112" s="98"/>
      <c r="AR112" s="98"/>
      <c r="AS112" s="98"/>
      <c r="AT112" s="98"/>
      <c r="AU112" s="98"/>
      <c r="AV112" s="98" t="s">
        <v>6</v>
      </c>
      <c r="AW112" s="98"/>
      <c r="AX112" s="98"/>
      <c r="AY112" s="98"/>
      <c r="AZ112" s="98" t="s">
        <v>7</v>
      </c>
      <c r="BA112" s="98"/>
      <c r="BB112" s="98"/>
      <c r="BC112" s="98"/>
      <c r="BD112" s="98" t="s">
        <v>8</v>
      </c>
      <c r="BE112" s="98"/>
      <c r="BF112" s="98"/>
      <c r="BG112" s="98"/>
      <c r="BH112" s="98" t="s">
        <v>52</v>
      </c>
      <c r="BI112" s="98"/>
      <c r="BJ112" s="98"/>
      <c r="BK112" s="98"/>
    </row>
    <row r="113" spans="1:63" ht="16.5" customHeight="1">
      <c r="A113" s="332" t="s">
        <v>197</v>
      </c>
      <c r="B113" s="332"/>
      <c r="C113" s="332"/>
      <c r="D113" s="332"/>
      <c r="E113" s="332"/>
      <c r="F113" s="94">
        <v>5</v>
      </c>
      <c r="G113" s="94"/>
      <c r="H113" s="94"/>
      <c r="I113" s="95" t="s">
        <v>9</v>
      </c>
      <c r="J113" s="95"/>
      <c r="K113" s="95"/>
      <c r="L113" s="95"/>
      <c r="M113" s="95"/>
      <c r="N113" s="100" t="s">
        <v>184</v>
      </c>
      <c r="O113" s="100"/>
      <c r="P113" s="99">
        <f>P125+25</f>
        <v>196</v>
      </c>
      <c r="Q113" s="99"/>
      <c r="R113" s="99"/>
      <c r="S113" s="99"/>
      <c r="T113" s="99">
        <f>P113+30</f>
        <v>226</v>
      </c>
      <c r="U113" s="99"/>
      <c r="V113" s="99"/>
      <c r="W113" s="99"/>
      <c r="X113" s="99">
        <f>T113+30</f>
        <v>256</v>
      </c>
      <c r="Y113" s="99"/>
      <c r="Z113" s="99"/>
      <c r="AA113" s="99"/>
      <c r="AB113" s="99">
        <f>X113+30</f>
        <v>286</v>
      </c>
      <c r="AC113" s="99"/>
      <c r="AD113" s="99"/>
      <c r="AE113" s="99"/>
      <c r="AG113" s="166" t="s">
        <v>198</v>
      </c>
      <c r="AH113" s="166"/>
      <c r="AI113" s="166"/>
      <c r="AJ113" s="166"/>
      <c r="AK113" s="166"/>
      <c r="AL113" s="94">
        <v>10</v>
      </c>
      <c r="AM113" s="94"/>
      <c r="AN113" s="94"/>
      <c r="AO113" s="95" t="s">
        <v>9</v>
      </c>
      <c r="AP113" s="95"/>
      <c r="AQ113" s="95"/>
      <c r="AR113" s="95"/>
      <c r="AS113" s="95"/>
      <c r="AT113" s="100" t="s">
        <v>184</v>
      </c>
      <c r="AU113" s="100"/>
      <c r="AV113" s="99">
        <f>AV125+25</f>
        <v>219.5</v>
      </c>
      <c r="AW113" s="99"/>
      <c r="AX113" s="99"/>
      <c r="AY113" s="99"/>
      <c r="AZ113" s="99">
        <f>AV113+30</f>
        <v>249.5</v>
      </c>
      <c r="BA113" s="99"/>
      <c r="BB113" s="99"/>
      <c r="BC113" s="99"/>
      <c r="BD113" s="99">
        <f>AZ113+30</f>
        <v>279.5</v>
      </c>
      <c r="BE113" s="99"/>
      <c r="BF113" s="99"/>
      <c r="BG113" s="99"/>
      <c r="BH113" s="99">
        <f>BD113+30</f>
        <v>309.5</v>
      </c>
      <c r="BI113" s="99"/>
      <c r="BJ113" s="99"/>
      <c r="BK113" s="99"/>
    </row>
    <row r="114" spans="1:63" ht="16.5" customHeight="1">
      <c r="A114" s="332"/>
      <c r="B114" s="332"/>
      <c r="C114" s="332"/>
      <c r="D114" s="332"/>
      <c r="E114" s="332"/>
      <c r="F114" s="94"/>
      <c r="G114" s="94"/>
      <c r="H114" s="94"/>
      <c r="I114" s="95"/>
      <c r="J114" s="95"/>
      <c r="K114" s="95"/>
      <c r="L114" s="95"/>
      <c r="M114" s="95"/>
      <c r="N114" s="100" t="s">
        <v>186</v>
      </c>
      <c r="O114" s="100"/>
      <c r="P114" s="99">
        <f>CEILING(P113*0.95,0.5)</f>
        <v>186.5</v>
      </c>
      <c r="Q114" s="99"/>
      <c r="R114" s="99"/>
      <c r="S114" s="99"/>
      <c r="T114" s="99">
        <f>CEILING(T113*0.95,0.5)</f>
        <v>215</v>
      </c>
      <c r="U114" s="99"/>
      <c r="V114" s="99"/>
      <c r="W114" s="99"/>
      <c r="X114" s="99">
        <f>CEILING(X113*0.95,0.5)</f>
        <v>243.5</v>
      </c>
      <c r="Y114" s="99"/>
      <c r="Z114" s="99"/>
      <c r="AA114" s="99"/>
      <c r="AB114" s="99">
        <f>CEILING(AB113*0.95,0.5)</f>
        <v>272</v>
      </c>
      <c r="AC114" s="99"/>
      <c r="AD114" s="99"/>
      <c r="AE114" s="99"/>
      <c r="AG114" s="166"/>
      <c r="AH114" s="166"/>
      <c r="AI114" s="166"/>
      <c r="AJ114" s="166"/>
      <c r="AK114" s="166"/>
      <c r="AL114" s="94"/>
      <c r="AM114" s="94"/>
      <c r="AN114" s="94"/>
      <c r="AO114" s="95"/>
      <c r="AP114" s="95"/>
      <c r="AQ114" s="95"/>
      <c r="AR114" s="95"/>
      <c r="AS114" s="95"/>
      <c r="AT114" s="100" t="s">
        <v>186</v>
      </c>
      <c r="AU114" s="100"/>
      <c r="AV114" s="99">
        <f>CEILING(AV113*0.95,0.5)</f>
        <v>209</v>
      </c>
      <c r="AW114" s="99"/>
      <c r="AX114" s="99"/>
      <c r="AY114" s="99"/>
      <c r="AZ114" s="99">
        <f>CEILING(AZ113*0.95,0.5)</f>
        <v>237.5</v>
      </c>
      <c r="BA114" s="99"/>
      <c r="BB114" s="99"/>
      <c r="BC114" s="99"/>
      <c r="BD114" s="99">
        <f>CEILING(BD113*0.95,0.5)</f>
        <v>266</v>
      </c>
      <c r="BE114" s="99"/>
      <c r="BF114" s="99"/>
      <c r="BG114" s="99"/>
      <c r="BH114" s="99">
        <f>CEILING(BH113*0.95,0.5)</f>
        <v>294.5</v>
      </c>
      <c r="BI114" s="99"/>
      <c r="BJ114" s="99"/>
      <c r="BK114" s="99"/>
    </row>
    <row r="115" spans="1:63" ht="16.5" customHeight="1">
      <c r="A115" s="332"/>
      <c r="B115" s="332"/>
      <c r="C115" s="332"/>
      <c r="D115" s="332"/>
      <c r="E115" s="332"/>
      <c r="F115" s="94"/>
      <c r="G115" s="94"/>
      <c r="H115" s="94"/>
      <c r="I115" s="95"/>
      <c r="J115" s="95"/>
      <c r="K115" s="95"/>
      <c r="L115" s="95"/>
      <c r="M115" s="95"/>
      <c r="N115" s="100" t="s">
        <v>96</v>
      </c>
      <c r="O115" s="100"/>
      <c r="P115" s="99">
        <f>P127+25</f>
        <v>173.5</v>
      </c>
      <c r="Q115" s="99"/>
      <c r="R115" s="99"/>
      <c r="S115" s="99"/>
      <c r="T115" s="99">
        <f>P115+30</f>
        <v>203.5</v>
      </c>
      <c r="U115" s="99"/>
      <c r="V115" s="99"/>
      <c r="W115" s="99"/>
      <c r="X115" s="99">
        <f>T115+30</f>
        <v>233.5</v>
      </c>
      <c r="Y115" s="99"/>
      <c r="Z115" s="99"/>
      <c r="AA115" s="99"/>
      <c r="AB115" s="99">
        <f>X115+30</f>
        <v>263.5</v>
      </c>
      <c r="AC115" s="99"/>
      <c r="AD115" s="99"/>
      <c r="AE115" s="99"/>
      <c r="AG115" s="166"/>
      <c r="AH115" s="166"/>
      <c r="AI115" s="166"/>
      <c r="AJ115" s="166"/>
      <c r="AK115" s="166"/>
      <c r="AL115" s="94"/>
      <c r="AM115" s="94"/>
      <c r="AN115" s="94"/>
      <c r="AO115" s="95"/>
      <c r="AP115" s="95"/>
      <c r="AQ115" s="95"/>
      <c r="AR115" s="95"/>
      <c r="AS115" s="95"/>
      <c r="AT115" s="100" t="s">
        <v>96</v>
      </c>
      <c r="AU115" s="100"/>
      <c r="AV115" s="99">
        <f>AV127+25</f>
        <v>197.5</v>
      </c>
      <c r="AW115" s="99"/>
      <c r="AX115" s="99"/>
      <c r="AY115" s="99"/>
      <c r="AZ115" s="99">
        <f>AV115+30</f>
        <v>227.5</v>
      </c>
      <c r="BA115" s="99"/>
      <c r="BB115" s="99"/>
      <c r="BC115" s="99"/>
      <c r="BD115" s="99">
        <f>AZ115+30</f>
        <v>257.5</v>
      </c>
      <c r="BE115" s="99"/>
      <c r="BF115" s="99"/>
      <c r="BG115" s="99"/>
      <c r="BH115" s="99">
        <f>BD115+30</f>
        <v>287.5</v>
      </c>
      <c r="BI115" s="99"/>
      <c r="BJ115" s="99"/>
      <c r="BK115" s="99"/>
    </row>
    <row r="116" spans="1:63" ht="16.5" customHeight="1">
      <c r="A116" s="332"/>
      <c r="B116" s="332"/>
      <c r="C116" s="332"/>
      <c r="D116" s="332"/>
      <c r="E116" s="332"/>
      <c r="F116" s="94"/>
      <c r="G116" s="94"/>
      <c r="H116" s="94"/>
      <c r="I116" s="97" t="s">
        <v>14</v>
      </c>
      <c r="J116" s="97"/>
      <c r="K116" s="97"/>
      <c r="L116" s="97"/>
      <c r="M116" s="97"/>
      <c r="N116" s="98" t="s">
        <v>184</v>
      </c>
      <c r="O116" s="98"/>
      <c r="P116" s="96">
        <f>CEILING(P113*0.47+5,0.5)</f>
        <v>97.5</v>
      </c>
      <c r="Q116" s="96"/>
      <c r="R116" s="96"/>
      <c r="S116" s="96"/>
      <c r="T116" s="96">
        <f>CEILING(T113*0.47+5,0.5)</f>
        <v>111.5</v>
      </c>
      <c r="U116" s="96"/>
      <c r="V116" s="96"/>
      <c r="W116" s="96"/>
      <c r="X116" s="96">
        <f>CEILING(X113*0.47+5,0.5)</f>
        <v>125.5</v>
      </c>
      <c r="Y116" s="96"/>
      <c r="Z116" s="96"/>
      <c r="AA116" s="96"/>
      <c r="AB116" s="96">
        <f>CEILING(AB113*0.47+5,0.5)</f>
        <v>139.5</v>
      </c>
      <c r="AC116" s="96"/>
      <c r="AD116" s="96"/>
      <c r="AE116" s="96"/>
      <c r="AG116" s="166"/>
      <c r="AH116" s="166"/>
      <c r="AI116" s="166"/>
      <c r="AJ116" s="166"/>
      <c r="AK116" s="166"/>
      <c r="AL116" s="94"/>
      <c r="AM116" s="94"/>
      <c r="AN116" s="94"/>
      <c r="AO116" s="97" t="s">
        <v>70</v>
      </c>
      <c r="AP116" s="97"/>
      <c r="AQ116" s="97"/>
      <c r="AR116" s="97"/>
      <c r="AS116" s="97"/>
      <c r="AT116" s="98" t="s">
        <v>184</v>
      </c>
      <c r="AU116" s="98"/>
      <c r="AV116" s="96">
        <f>CEILING(AV113*0.57+5,0.5)</f>
        <v>130.5</v>
      </c>
      <c r="AW116" s="96"/>
      <c r="AX116" s="96"/>
      <c r="AY116" s="96"/>
      <c r="AZ116" s="96">
        <f>CEILING(AZ113*0.57+5,0.5)</f>
        <v>147.5</v>
      </c>
      <c r="BA116" s="96"/>
      <c r="BB116" s="96"/>
      <c r="BC116" s="96"/>
      <c r="BD116" s="96">
        <f>CEILING(BD113*0.57+5,0.5)</f>
        <v>164.5</v>
      </c>
      <c r="BE116" s="96"/>
      <c r="BF116" s="96"/>
      <c r="BG116" s="96"/>
      <c r="BH116" s="96">
        <f>CEILING(BH113*0.57+5,0.5)</f>
        <v>181.5</v>
      </c>
      <c r="BI116" s="96"/>
      <c r="BJ116" s="96"/>
      <c r="BK116" s="96"/>
    </row>
    <row r="117" spans="1:63" ht="16.5" customHeight="1">
      <c r="A117" s="332"/>
      <c r="B117" s="332"/>
      <c r="C117" s="332"/>
      <c r="D117" s="332"/>
      <c r="E117" s="332"/>
      <c r="F117" s="94"/>
      <c r="G117" s="94"/>
      <c r="H117" s="94"/>
      <c r="I117" s="97"/>
      <c r="J117" s="97"/>
      <c r="K117" s="97"/>
      <c r="L117" s="97"/>
      <c r="M117" s="97"/>
      <c r="N117" s="98" t="s">
        <v>186</v>
      </c>
      <c r="O117" s="98"/>
      <c r="P117" s="96">
        <f>CEILING(P116*0.95,0.5)</f>
        <v>93</v>
      </c>
      <c r="Q117" s="96"/>
      <c r="R117" s="96"/>
      <c r="S117" s="96"/>
      <c r="T117" s="96">
        <f>CEILING(T116*0.95,0.5)</f>
        <v>106</v>
      </c>
      <c r="U117" s="96"/>
      <c r="V117" s="96"/>
      <c r="W117" s="96"/>
      <c r="X117" s="96">
        <f>CEILING(X116*0.95,0.5)</f>
        <v>119.5</v>
      </c>
      <c r="Y117" s="96"/>
      <c r="Z117" s="96"/>
      <c r="AA117" s="96"/>
      <c r="AB117" s="96">
        <f>CEILING(AB116*0.95,0.5)</f>
        <v>133</v>
      </c>
      <c r="AC117" s="96"/>
      <c r="AD117" s="96"/>
      <c r="AE117" s="96"/>
      <c r="AG117" s="166"/>
      <c r="AH117" s="166"/>
      <c r="AI117" s="166"/>
      <c r="AJ117" s="166"/>
      <c r="AK117" s="166"/>
      <c r="AL117" s="94"/>
      <c r="AM117" s="94"/>
      <c r="AN117" s="94"/>
      <c r="AO117" s="97"/>
      <c r="AP117" s="97"/>
      <c r="AQ117" s="97"/>
      <c r="AR117" s="97"/>
      <c r="AS117" s="97"/>
      <c r="AT117" s="98" t="s">
        <v>186</v>
      </c>
      <c r="AU117" s="98"/>
      <c r="AV117" s="96">
        <f>CEILING(AV116*0.95,0.5)</f>
        <v>124</v>
      </c>
      <c r="AW117" s="96"/>
      <c r="AX117" s="96"/>
      <c r="AY117" s="96"/>
      <c r="AZ117" s="96">
        <f>CEILING(AZ116*0.95,0.5)</f>
        <v>140.5</v>
      </c>
      <c r="BA117" s="96"/>
      <c r="BB117" s="96"/>
      <c r="BC117" s="96"/>
      <c r="BD117" s="96">
        <f>CEILING(BD116*0.95,0.5)</f>
        <v>156.5</v>
      </c>
      <c r="BE117" s="96"/>
      <c r="BF117" s="96"/>
      <c r="BG117" s="96"/>
      <c r="BH117" s="96">
        <f>CEILING(BH116*0.95,0.5)</f>
        <v>172.5</v>
      </c>
      <c r="BI117" s="96"/>
      <c r="BJ117" s="96"/>
      <c r="BK117" s="96"/>
    </row>
    <row r="118" spans="1:63" ht="16.5" customHeight="1">
      <c r="A118" s="332"/>
      <c r="B118" s="332"/>
      <c r="C118" s="332"/>
      <c r="D118" s="332"/>
      <c r="E118" s="332"/>
      <c r="F118" s="94"/>
      <c r="G118" s="94"/>
      <c r="H118" s="94"/>
      <c r="I118" s="97"/>
      <c r="J118" s="97"/>
      <c r="K118" s="97"/>
      <c r="L118" s="97"/>
      <c r="M118" s="97"/>
      <c r="N118" s="98" t="s">
        <v>96</v>
      </c>
      <c r="O118" s="98"/>
      <c r="P118" s="96">
        <f>CEILING(P115*0.47+5,0.5)</f>
        <v>87</v>
      </c>
      <c r="Q118" s="96"/>
      <c r="R118" s="96"/>
      <c r="S118" s="96"/>
      <c r="T118" s="96">
        <f>CEILING(T115*0.47+5,0.5)</f>
        <v>101</v>
      </c>
      <c r="U118" s="96"/>
      <c r="V118" s="96"/>
      <c r="W118" s="96"/>
      <c r="X118" s="96">
        <f>CEILING(X115*0.47+5,0.5)</f>
        <v>115</v>
      </c>
      <c r="Y118" s="96"/>
      <c r="Z118" s="96"/>
      <c r="AA118" s="96"/>
      <c r="AB118" s="96">
        <f>CEILING(AB115*0.47+5,0.5)</f>
        <v>129</v>
      </c>
      <c r="AC118" s="96"/>
      <c r="AD118" s="96"/>
      <c r="AE118" s="96"/>
      <c r="AG118" s="166"/>
      <c r="AH118" s="166"/>
      <c r="AI118" s="166"/>
      <c r="AJ118" s="166"/>
      <c r="AK118" s="166"/>
      <c r="AL118" s="94"/>
      <c r="AM118" s="94"/>
      <c r="AN118" s="94"/>
      <c r="AO118" s="97"/>
      <c r="AP118" s="97"/>
      <c r="AQ118" s="97"/>
      <c r="AR118" s="97"/>
      <c r="AS118" s="97"/>
      <c r="AT118" s="98" t="s">
        <v>96</v>
      </c>
      <c r="AU118" s="98"/>
      <c r="AV118" s="96">
        <f>CEILING(AV115*0.57+5,0.5)</f>
        <v>118</v>
      </c>
      <c r="AW118" s="96"/>
      <c r="AX118" s="96"/>
      <c r="AY118" s="96"/>
      <c r="AZ118" s="96">
        <f>CEILING(AZ115*0.57+5,0.5)</f>
        <v>135</v>
      </c>
      <c r="BA118" s="96"/>
      <c r="BB118" s="96"/>
      <c r="BC118" s="96"/>
      <c r="BD118" s="96">
        <f>CEILING(BD115*0.57+5,0.5)</f>
        <v>152</v>
      </c>
      <c r="BE118" s="96"/>
      <c r="BF118" s="96"/>
      <c r="BG118" s="96"/>
      <c r="BH118" s="96">
        <f>CEILING(BH115*0.57+5,0.5)</f>
        <v>169</v>
      </c>
      <c r="BI118" s="96"/>
      <c r="BJ118" s="96"/>
      <c r="BK118" s="96"/>
    </row>
    <row r="119" spans="1:63" ht="16.5" customHeight="1">
      <c r="A119" s="332"/>
      <c r="B119" s="332"/>
      <c r="C119" s="332"/>
      <c r="D119" s="332"/>
      <c r="E119" s="332"/>
      <c r="F119" s="94"/>
      <c r="G119" s="94"/>
      <c r="H119" s="94"/>
      <c r="I119" s="95" t="s">
        <v>15</v>
      </c>
      <c r="J119" s="95"/>
      <c r="K119" s="95"/>
      <c r="L119" s="95"/>
      <c r="M119" s="95"/>
      <c r="N119" s="100" t="s">
        <v>184</v>
      </c>
      <c r="O119" s="100"/>
      <c r="P119" s="99">
        <f>P125+15</f>
        <v>186</v>
      </c>
      <c r="Q119" s="99"/>
      <c r="R119" s="99"/>
      <c r="S119" s="99"/>
      <c r="T119" s="99">
        <f>P119+15</f>
        <v>201</v>
      </c>
      <c r="U119" s="99"/>
      <c r="V119" s="99"/>
      <c r="W119" s="99"/>
      <c r="X119" s="99">
        <f>T119+15</f>
        <v>216</v>
      </c>
      <c r="Y119" s="99"/>
      <c r="Z119" s="99"/>
      <c r="AA119" s="99"/>
      <c r="AB119" s="99">
        <f>X119+15</f>
        <v>231</v>
      </c>
      <c r="AC119" s="99"/>
      <c r="AD119" s="99"/>
      <c r="AE119" s="99"/>
      <c r="AG119" s="166"/>
      <c r="AH119" s="166"/>
      <c r="AI119" s="166"/>
      <c r="AJ119" s="166"/>
      <c r="AK119" s="166"/>
      <c r="AL119" s="94"/>
      <c r="AM119" s="94"/>
      <c r="AN119" s="94"/>
      <c r="AO119" s="95" t="s">
        <v>15</v>
      </c>
      <c r="AP119" s="95"/>
      <c r="AQ119" s="95"/>
      <c r="AR119" s="95"/>
      <c r="AS119" s="95"/>
      <c r="AT119" s="100" t="s">
        <v>184</v>
      </c>
      <c r="AU119" s="100"/>
      <c r="AV119" s="99">
        <f>AV125+15</f>
        <v>209.5</v>
      </c>
      <c r="AW119" s="99"/>
      <c r="AX119" s="99"/>
      <c r="AY119" s="99"/>
      <c r="AZ119" s="99">
        <f>AV119+15</f>
        <v>224.5</v>
      </c>
      <c r="BA119" s="99"/>
      <c r="BB119" s="99"/>
      <c r="BC119" s="99"/>
      <c r="BD119" s="99">
        <f>AZ119+15</f>
        <v>239.5</v>
      </c>
      <c r="BE119" s="99"/>
      <c r="BF119" s="99"/>
      <c r="BG119" s="99"/>
      <c r="BH119" s="99">
        <f>BD119+15</f>
        <v>254.5</v>
      </c>
      <c r="BI119" s="99"/>
      <c r="BJ119" s="99"/>
      <c r="BK119" s="99"/>
    </row>
    <row r="120" spans="1:63" ht="16.5" customHeight="1">
      <c r="A120" s="332"/>
      <c r="B120" s="332"/>
      <c r="C120" s="332"/>
      <c r="D120" s="332"/>
      <c r="E120" s="332"/>
      <c r="F120" s="94"/>
      <c r="G120" s="94"/>
      <c r="H120" s="94"/>
      <c r="I120" s="95"/>
      <c r="J120" s="95"/>
      <c r="K120" s="95"/>
      <c r="L120" s="95"/>
      <c r="M120" s="95"/>
      <c r="N120" s="100" t="s">
        <v>186</v>
      </c>
      <c r="O120" s="100"/>
      <c r="P120" s="99">
        <f>CEILING(P119*0.95,0.5)</f>
        <v>177</v>
      </c>
      <c r="Q120" s="99"/>
      <c r="R120" s="99"/>
      <c r="S120" s="99"/>
      <c r="T120" s="99">
        <f>CEILING(T119*0.95,0.5)</f>
        <v>191</v>
      </c>
      <c r="U120" s="99"/>
      <c r="V120" s="99"/>
      <c r="W120" s="99"/>
      <c r="X120" s="99">
        <f>CEILING(X119*0.95,0.5)</f>
        <v>205.5</v>
      </c>
      <c r="Y120" s="99"/>
      <c r="Z120" s="99"/>
      <c r="AA120" s="99"/>
      <c r="AB120" s="99">
        <f>CEILING(AB119*0.95,0.5)</f>
        <v>219.5</v>
      </c>
      <c r="AC120" s="99"/>
      <c r="AD120" s="99"/>
      <c r="AE120" s="99"/>
      <c r="AG120" s="166"/>
      <c r="AH120" s="166"/>
      <c r="AI120" s="166"/>
      <c r="AJ120" s="166"/>
      <c r="AK120" s="166"/>
      <c r="AL120" s="94"/>
      <c r="AM120" s="94"/>
      <c r="AN120" s="94"/>
      <c r="AO120" s="95"/>
      <c r="AP120" s="95"/>
      <c r="AQ120" s="95"/>
      <c r="AR120" s="95"/>
      <c r="AS120" s="95"/>
      <c r="AT120" s="100" t="s">
        <v>186</v>
      </c>
      <c r="AU120" s="100"/>
      <c r="AV120" s="99">
        <f>CEILING(AV119*0.95,0.5)</f>
        <v>199.5</v>
      </c>
      <c r="AW120" s="99"/>
      <c r="AX120" s="99"/>
      <c r="AY120" s="99"/>
      <c r="AZ120" s="99">
        <f>CEILING(AZ119*0.95,0.5)</f>
        <v>213.5</v>
      </c>
      <c r="BA120" s="99"/>
      <c r="BB120" s="99"/>
      <c r="BC120" s="99"/>
      <c r="BD120" s="99">
        <f>CEILING(BD119*0.95,0.5)</f>
        <v>228</v>
      </c>
      <c r="BE120" s="99"/>
      <c r="BF120" s="99"/>
      <c r="BG120" s="99"/>
      <c r="BH120" s="99">
        <f>CEILING(BH119*0.95,0.5)</f>
        <v>242</v>
      </c>
      <c r="BI120" s="99"/>
      <c r="BJ120" s="99"/>
      <c r="BK120" s="99"/>
    </row>
    <row r="121" spans="1:63" ht="16.5" customHeight="1">
      <c r="A121" s="332"/>
      <c r="B121" s="332"/>
      <c r="C121" s="332"/>
      <c r="D121" s="332"/>
      <c r="E121" s="332"/>
      <c r="F121" s="94"/>
      <c r="G121" s="94"/>
      <c r="H121" s="94"/>
      <c r="I121" s="95"/>
      <c r="J121" s="95"/>
      <c r="K121" s="95"/>
      <c r="L121" s="95"/>
      <c r="M121" s="95"/>
      <c r="N121" s="100" t="s">
        <v>96</v>
      </c>
      <c r="O121" s="100"/>
      <c r="P121" s="99">
        <f>P127+15</f>
        <v>163.5</v>
      </c>
      <c r="Q121" s="99"/>
      <c r="R121" s="99"/>
      <c r="S121" s="99"/>
      <c r="T121" s="99">
        <f>P121+15</f>
        <v>178.5</v>
      </c>
      <c r="U121" s="99"/>
      <c r="V121" s="99"/>
      <c r="W121" s="99"/>
      <c r="X121" s="99">
        <f>T121+15</f>
        <v>193.5</v>
      </c>
      <c r="Y121" s="99"/>
      <c r="Z121" s="99"/>
      <c r="AA121" s="99"/>
      <c r="AB121" s="99">
        <f>X121+15</f>
        <v>208.5</v>
      </c>
      <c r="AC121" s="99"/>
      <c r="AD121" s="99"/>
      <c r="AE121" s="99"/>
      <c r="AG121" s="166"/>
      <c r="AH121" s="166"/>
      <c r="AI121" s="166"/>
      <c r="AJ121" s="166"/>
      <c r="AK121" s="166"/>
      <c r="AL121" s="94"/>
      <c r="AM121" s="94"/>
      <c r="AN121" s="94"/>
      <c r="AO121" s="95"/>
      <c r="AP121" s="95"/>
      <c r="AQ121" s="95"/>
      <c r="AR121" s="95"/>
      <c r="AS121" s="95"/>
      <c r="AT121" s="100" t="s">
        <v>96</v>
      </c>
      <c r="AU121" s="100"/>
      <c r="AV121" s="99">
        <f>AV127+15</f>
        <v>187.5</v>
      </c>
      <c r="AW121" s="99"/>
      <c r="AX121" s="99"/>
      <c r="AY121" s="99"/>
      <c r="AZ121" s="99">
        <f>AV121+15</f>
        <v>202.5</v>
      </c>
      <c r="BA121" s="99"/>
      <c r="BB121" s="99"/>
      <c r="BC121" s="99"/>
      <c r="BD121" s="99">
        <f>AZ121+15</f>
        <v>217.5</v>
      </c>
      <c r="BE121" s="99"/>
      <c r="BF121" s="99"/>
      <c r="BG121" s="99"/>
      <c r="BH121" s="99">
        <f>BD121+15</f>
        <v>232.5</v>
      </c>
      <c r="BI121" s="99"/>
      <c r="BJ121" s="99"/>
      <c r="BK121" s="99"/>
    </row>
    <row r="122" spans="1:63" ht="16.5" customHeight="1">
      <c r="A122" s="332"/>
      <c r="B122" s="332"/>
      <c r="C122" s="332"/>
      <c r="D122" s="332"/>
      <c r="E122" s="332"/>
      <c r="F122" s="94"/>
      <c r="G122" s="94"/>
      <c r="H122" s="94"/>
      <c r="I122" s="97" t="s">
        <v>17</v>
      </c>
      <c r="J122" s="97"/>
      <c r="K122" s="97"/>
      <c r="L122" s="97"/>
      <c r="M122" s="97"/>
      <c r="N122" s="98" t="s">
        <v>184</v>
      </c>
      <c r="O122" s="98"/>
      <c r="P122" s="96">
        <f>CEILING(P119*0.47+5,0.5)</f>
        <v>92.5</v>
      </c>
      <c r="Q122" s="96"/>
      <c r="R122" s="96"/>
      <c r="S122" s="96"/>
      <c r="T122" s="96">
        <f>CEILING(T119*0.47+5,0.5)</f>
        <v>99.5</v>
      </c>
      <c r="U122" s="96"/>
      <c r="V122" s="96"/>
      <c r="W122" s="96"/>
      <c r="X122" s="96">
        <f>CEILING(X119*0.47+5,0.5)</f>
        <v>107</v>
      </c>
      <c r="Y122" s="96"/>
      <c r="Z122" s="96"/>
      <c r="AA122" s="96"/>
      <c r="AB122" s="96">
        <f>CEILING(AB119*0.47+5,0.5)</f>
        <v>114</v>
      </c>
      <c r="AC122" s="96"/>
      <c r="AD122" s="96"/>
      <c r="AE122" s="96"/>
      <c r="AG122" s="166"/>
      <c r="AH122" s="166"/>
      <c r="AI122" s="166"/>
      <c r="AJ122" s="166"/>
      <c r="AK122" s="166"/>
      <c r="AL122" s="94"/>
      <c r="AM122" s="94"/>
      <c r="AN122" s="94"/>
      <c r="AO122" s="97" t="s">
        <v>55</v>
      </c>
      <c r="AP122" s="97"/>
      <c r="AQ122" s="97"/>
      <c r="AR122" s="97"/>
      <c r="AS122" s="97"/>
      <c r="AT122" s="98" t="s">
        <v>184</v>
      </c>
      <c r="AU122" s="98"/>
      <c r="AV122" s="96">
        <f>CEILING(AV119*0.57+5,0.5)</f>
        <v>124.5</v>
      </c>
      <c r="AW122" s="96"/>
      <c r="AX122" s="96"/>
      <c r="AY122" s="96"/>
      <c r="AZ122" s="96">
        <f>CEILING(AZ119*0.57+5,0.5)</f>
        <v>133</v>
      </c>
      <c r="BA122" s="96"/>
      <c r="BB122" s="96"/>
      <c r="BC122" s="96"/>
      <c r="BD122" s="96">
        <f>CEILING(BD119*0.57+5,0.5)</f>
        <v>142</v>
      </c>
      <c r="BE122" s="96"/>
      <c r="BF122" s="96"/>
      <c r="BG122" s="96"/>
      <c r="BH122" s="96">
        <f>CEILING(BH119*0.57+5,0.5)</f>
        <v>150.5</v>
      </c>
      <c r="BI122" s="96"/>
      <c r="BJ122" s="96"/>
      <c r="BK122" s="96"/>
    </row>
    <row r="123" spans="1:63" ht="16.5" customHeight="1">
      <c r="A123" s="332"/>
      <c r="B123" s="332"/>
      <c r="C123" s="332"/>
      <c r="D123" s="332"/>
      <c r="E123" s="332"/>
      <c r="F123" s="94"/>
      <c r="G123" s="94"/>
      <c r="H123" s="94"/>
      <c r="I123" s="97"/>
      <c r="J123" s="97"/>
      <c r="K123" s="97"/>
      <c r="L123" s="97"/>
      <c r="M123" s="97"/>
      <c r="N123" s="98" t="s">
        <v>186</v>
      </c>
      <c r="O123" s="98"/>
      <c r="P123" s="96">
        <f>CEILING(P122*0.95,0.5)</f>
        <v>88</v>
      </c>
      <c r="Q123" s="96"/>
      <c r="R123" s="96"/>
      <c r="S123" s="96"/>
      <c r="T123" s="96">
        <f>CEILING(T122*0.95,0.5)</f>
        <v>95</v>
      </c>
      <c r="U123" s="96"/>
      <c r="V123" s="96"/>
      <c r="W123" s="96"/>
      <c r="X123" s="96">
        <f>CEILING(X122*0.95,0.5)</f>
        <v>102</v>
      </c>
      <c r="Y123" s="96"/>
      <c r="Z123" s="96"/>
      <c r="AA123" s="96"/>
      <c r="AB123" s="96">
        <f>CEILING(AB122*0.95,0.5)</f>
        <v>108.5</v>
      </c>
      <c r="AC123" s="96"/>
      <c r="AD123" s="96"/>
      <c r="AE123" s="96"/>
      <c r="AG123" s="166"/>
      <c r="AH123" s="166"/>
      <c r="AI123" s="166"/>
      <c r="AJ123" s="166"/>
      <c r="AK123" s="166"/>
      <c r="AL123" s="94"/>
      <c r="AM123" s="94"/>
      <c r="AN123" s="94"/>
      <c r="AO123" s="97"/>
      <c r="AP123" s="97"/>
      <c r="AQ123" s="97"/>
      <c r="AR123" s="97"/>
      <c r="AS123" s="97"/>
      <c r="AT123" s="98" t="s">
        <v>186</v>
      </c>
      <c r="AU123" s="98"/>
      <c r="AV123" s="96">
        <f>CEILING(AV122*0.95,0.5)</f>
        <v>118.5</v>
      </c>
      <c r="AW123" s="96"/>
      <c r="AX123" s="96"/>
      <c r="AY123" s="96"/>
      <c r="AZ123" s="96">
        <f>CEILING(AZ122*0.95,0.5)</f>
        <v>126.5</v>
      </c>
      <c r="BA123" s="96"/>
      <c r="BB123" s="96"/>
      <c r="BC123" s="96"/>
      <c r="BD123" s="96">
        <f>CEILING(BD122*0.95,0.5)</f>
        <v>135</v>
      </c>
      <c r="BE123" s="96"/>
      <c r="BF123" s="96"/>
      <c r="BG123" s="96"/>
      <c r="BH123" s="96">
        <f>CEILING(BH122*0.95,0.5)</f>
        <v>143</v>
      </c>
      <c r="BI123" s="96"/>
      <c r="BJ123" s="96"/>
      <c r="BK123" s="96"/>
    </row>
    <row r="124" spans="1:63" ht="16.5" customHeight="1">
      <c r="A124" s="332"/>
      <c r="B124" s="332"/>
      <c r="C124" s="332"/>
      <c r="D124" s="332"/>
      <c r="E124" s="332"/>
      <c r="F124" s="94"/>
      <c r="G124" s="94"/>
      <c r="H124" s="94"/>
      <c r="I124" s="97"/>
      <c r="J124" s="97"/>
      <c r="K124" s="97"/>
      <c r="L124" s="97"/>
      <c r="M124" s="97"/>
      <c r="N124" s="98" t="s">
        <v>96</v>
      </c>
      <c r="O124" s="98"/>
      <c r="P124" s="96">
        <f>CEILING(P121*0.47+5,0.5)</f>
        <v>82</v>
      </c>
      <c r="Q124" s="96"/>
      <c r="R124" s="96"/>
      <c r="S124" s="96"/>
      <c r="T124" s="96">
        <f>CEILING(T121*0.47+5,0.5)</f>
        <v>89</v>
      </c>
      <c r="U124" s="96"/>
      <c r="V124" s="96"/>
      <c r="W124" s="96"/>
      <c r="X124" s="96">
        <f>CEILING(X121*0.47+5,0.5)</f>
        <v>96</v>
      </c>
      <c r="Y124" s="96"/>
      <c r="Z124" s="96"/>
      <c r="AA124" s="96"/>
      <c r="AB124" s="96">
        <f>CEILING(AB121*0.47+5,0.5)</f>
        <v>103</v>
      </c>
      <c r="AC124" s="96"/>
      <c r="AD124" s="96"/>
      <c r="AE124" s="96"/>
      <c r="AG124" s="166"/>
      <c r="AH124" s="166"/>
      <c r="AI124" s="166"/>
      <c r="AJ124" s="166"/>
      <c r="AK124" s="166"/>
      <c r="AL124" s="94"/>
      <c r="AM124" s="94"/>
      <c r="AN124" s="94"/>
      <c r="AO124" s="97"/>
      <c r="AP124" s="97"/>
      <c r="AQ124" s="97"/>
      <c r="AR124" s="97"/>
      <c r="AS124" s="97"/>
      <c r="AT124" s="98" t="s">
        <v>96</v>
      </c>
      <c r="AU124" s="98"/>
      <c r="AV124" s="96">
        <f>CEILING(AV121*0.57+5,0.5)</f>
        <v>112</v>
      </c>
      <c r="AW124" s="96"/>
      <c r="AX124" s="96"/>
      <c r="AY124" s="96"/>
      <c r="AZ124" s="96">
        <f>CEILING(AZ121*0.57+5,0.5)</f>
        <v>120.5</v>
      </c>
      <c r="BA124" s="96"/>
      <c r="BB124" s="96"/>
      <c r="BC124" s="96"/>
      <c r="BD124" s="96">
        <f>CEILING(BD121*0.57+5,0.5)</f>
        <v>129</v>
      </c>
      <c r="BE124" s="96"/>
      <c r="BF124" s="96"/>
      <c r="BG124" s="96"/>
      <c r="BH124" s="96">
        <f>CEILING(BH121*0.57+5,0.5)</f>
        <v>138</v>
      </c>
      <c r="BI124" s="96"/>
      <c r="BJ124" s="96"/>
      <c r="BK124" s="96"/>
    </row>
    <row r="125" spans="1:63" ht="16.5" customHeight="1">
      <c r="A125" s="332"/>
      <c r="B125" s="332"/>
      <c r="C125" s="332"/>
      <c r="D125" s="332"/>
      <c r="E125" s="332"/>
      <c r="F125" s="94"/>
      <c r="G125" s="94"/>
      <c r="H125" s="94"/>
      <c r="I125" s="95" t="s">
        <v>18</v>
      </c>
      <c r="J125" s="95"/>
      <c r="K125" s="95"/>
      <c r="L125" s="95"/>
      <c r="M125" s="95"/>
      <c r="N125" s="100" t="s">
        <v>184</v>
      </c>
      <c r="O125" s="100"/>
      <c r="P125" s="101">
        <f>CEILING(131.5*1.3,0.5)</f>
        <v>171</v>
      </c>
      <c r="Q125" s="101"/>
      <c r="R125" s="101"/>
      <c r="S125" s="101"/>
      <c r="T125" s="99">
        <f>P125+10</f>
        <v>181</v>
      </c>
      <c r="U125" s="99"/>
      <c r="V125" s="99"/>
      <c r="W125" s="99"/>
      <c r="X125" s="99">
        <f>T125+10</f>
        <v>191</v>
      </c>
      <c r="Y125" s="99"/>
      <c r="Z125" s="99"/>
      <c r="AA125" s="99"/>
      <c r="AB125" s="99">
        <f>X125+10</f>
        <v>201</v>
      </c>
      <c r="AC125" s="99"/>
      <c r="AD125" s="99"/>
      <c r="AE125" s="99"/>
      <c r="AG125" s="166"/>
      <c r="AH125" s="166"/>
      <c r="AI125" s="166"/>
      <c r="AJ125" s="166"/>
      <c r="AK125" s="166"/>
      <c r="AL125" s="94"/>
      <c r="AM125" s="94"/>
      <c r="AN125" s="94"/>
      <c r="AO125" s="95" t="s">
        <v>18</v>
      </c>
      <c r="AP125" s="95"/>
      <c r="AQ125" s="95"/>
      <c r="AR125" s="95"/>
      <c r="AS125" s="95"/>
      <c r="AT125" s="100" t="s">
        <v>184</v>
      </c>
      <c r="AU125" s="100"/>
      <c r="AV125" s="101">
        <f>CEILING(149.5*1.3,0.5)</f>
        <v>194.5</v>
      </c>
      <c r="AW125" s="101"/>
      <c r="AX125" s="101"/>
      <c r="AY125" s="101"/>
      <c r="AZ125" s="99">
        <f>AV125+10</f>
        <v>204.5</v>
      </c>
      <c r="BA125" s="99"/>
      <c r="BB125" s="99"/>
      <c r="BC125" s="99"/>
      <c r="BD125" s="99">
        <f>AZ125+10</f>
        <v>214.5</v>
      </c>
      <c r="BE125" s="99"/>
      <c r="BF125" s="99"/>
      <c r="BG125" s="99"/>
      <c r="BH125" s="99">
        <f>BD125+10</f>
        <v>224.5</v>
      </c>
      <c r="BI125" s="99"/>
      <c r="BJ125" s="99"/>
      <c r="BK125" s="99"/>
    </row>
    <row r="126" spans="1:63" ht="16.5" customHeight="1">
      <c r="A126" s="332"/>
      <c r="B126" s="332"/>
      <c r="C126" s="332"/>
      <c r="D126" s="332"/>
      <c r="E126" s="332"/>
      <c r="F126" s="94"/>
      <c r="G126" s="94"/>
      <c r="H126" s="94"/>
      <c r="I126" s="95"/>
      <c r="J126" s="95"/>
      <c r="K126" s="95"/>
      <c r="L126" s="95"/>
      <c r="M126" s="95"/>
      <c r="N126" s="100" t="s">
        <v>186</v>
      </c>
      <c r="O126" s="100"/>
      <c r="P126" s="99">
        <f>CEILING(P125*0.95,0.5)</f>
        <v>162.5</v>
      </c>
      <c r="Q126" s="99"/>
      <c r="R126" s="99"/>
      <c r="S126" s="99"/>
      <c r="T126" s="99">
        <f>CEILING(T125*0.95,0.5)</f>
        <v>172</v>
      </c>
      <c r="U126" s="99"/>
      <c r="V126" s="99"/>
      <c r="W126" s="99"/>
      <c r="X126" s="99">
        <f>CEILING(X125*0.95,0.5)</f>
        <v>181.5</v>
      </c>
      <c r="Y126" s="99"/>
      <c r="Z126" s="99"/>
      <c r="AA126" s="99"/>
      <c r="AB126" s="99">
        <f>CEILING(AB125*0.95,0.5)</f>
        <v>191</v>
      </c>
      <c r="AC126" s="99"/>
      <c r="AD126" s="99"/>
      <c r="AE126" s="99"/>
      <c r="AG126" s="166"/>
      <c r="AH126" s="166"/>
      <c r="AI126" s="166"/>
      <c r="AJ126" s="166"/>
      <c r="AK126" s="166"/>
      <c r="AL126" s="94"/>
      <c r="AM126" s="94"/>
      <c r="AN126" s="94"/>
      <c r="AO126" s="95"/>
      <c r="AP126" s="95"/>
      <c r="AQ126" s="95"/>
      <c r="AR126" s="95"/>
      <c r="AS126" s="95"/>
      <c r="AT126" s="100" t="s">
        <v>186</v>
      </c>
      <c r="AU126" s="100"/>
      <c r="AV126" s="99">
        <f>CEILING(AV125*0.95,0.5)</f>
        <v>185</v>
      </c>
      <c r="AW126" s="99"/>
      <c r="AX126" s="99"/>
      <c r="AY126" s="99"/>
      <c r="AZ126" s="99">
        <f>CEILING(AZ125*0.95,0.5)</f>
        <v>194.5</v>
      </c>
      <c r="BA126" s="99"/>
      <c r="BB126" s="99"/>
      <c r="BC126" s="99"/>
      <c r="BD126" s="99">
        <f>CEILING(BD125*0.95,0.5)</f>
        <v>204</v>
      </c>
      <c r="BE126" s="99"/>
      <c r="BF126" s="99"/>
      <c r="BG126" s="99"/>
      <c r="BH126" s="99">
        <f>CEILING(BH125*0.95,0.5)</f>
        <v>213.5</v>
      </c>
      <c r="BI126" s="99"/>
      <c r="BJ126" s="99"/>
      <c r="BK126" s="99"/>
    </row>
    <row r="127" spans="1:63" ht="16.5" customHeight="1">
      <c r="A127" s="332"/>
      <c r="B127" s="332"/>
      <c r="C127" s="332"/>
      <c r="D127" s="332"/>
      <c r="E127" s="332"/>
      <c r="F127" s="94"/>
      <c r="G127" s="94"/>
      <c r="H127" s="94"/>
      <c r="I127" s="95"/>
      <c r="J127" s="95"/>
      <c r="K127" s="95"/>
      <c r="L127" s="95"/>
      <c r="M127" s="95"/>
      <c r="N127" s="100" t="s">
        <v>96</v>
      </c>
      <c r="O127" s="100"/>
      <c r="P127" s="101">
        <f>CEILING(114*1.3,0.5)</f>
        <v>148.5</v>
      </c>
      <c r="Q127" s="101"/>
      <c r="R127" s="101"/>
      <c r="S127" s="101"/>
      <c r="T127" s="99">
        <f>P127+10</f>
        <v>158.5</v>
      </c>
      <c r="U127" s="99"/>
      <c r="V127" s="99"/>
      <c r="W127" s="99"/>
      <c r="X127" s="99">
        <f>T127+10</f>
        <v>168.5</v>
      </c>
      <c r="Y127" s="99"/>
      <c r="Z127" s="99"/>
      <c r="AA127" s="99"/>
      <c r="AB127" s="99">
        <f>X127+10</f>
        <v>178.5</v>
      </c>
      <c r="AC127" s="99"/>
      <c r="AD127" s="99"/>
      <c r="AE127" s="99"/>
      <c r="AG127" s="166"/>
      <c r="AH127" s="166"/>
      <c r="AI127" s="166"/>
      <c r="AJ127" s="166"/>
      <c r="AK127" s="166"/>
      <c r="AL127" s="94"/>
      <c r="AM127" s="94"/>
      <c r="AN127" s="94"/>
      <c r="AO127" s="95"/>
      <c r="AP127" s="95"/>
      <c r="AQ127" s="95"/>
      <c r="AR127" s="95"/>
      <c r="AS127" s="95"/>
      <c r="AT127" s="100" t="s">
        <v>96</v>
      </c>
      <c r="AU127" s="100"/>
      <c r="AV127" s="101">
        <f>CEILING(132.5*1.3,0.5)</f>
        <v>172.5</v>
      </c>
      <c r="AW127" s="101"/>
      <c r="AX127" s="101"/>
      <c r="AY127" s="101"/>
      <c r="AZ127" s="99">
        <f>AV127+10</f>
        <v>182.5</v>
      </c>
      <c r="BA127" s="99"/>
      <c r="BB127" s="99"/>
      <c r="BC127" s="99"/>
      <c r="BD127" s="99">
        <f>AZ127+10</f>
        <v>192.5</v>
      </c>
      <c r="BE127" s="99"/>
      <c r="BF127" s="99"/>
      <c r="BG127" s="99"/>
      <c r="BH127" s="99">
        <f>BD127+10</f>
        <v>202.5</v>
      </c>
      <c r="BI127" s="99"/>
      <c r="BJ127" s="99"/>
      <c r="BK127" s="99"/>
    </row>
    <row r="128" spans="1:63" ht="16.5" customHeight="1">
      <c r="A128" s="332"/>
      <c r="B128" s="332"/>
      <c r="C128" s="332"/>
      <c r="D128" s="332"/>
      <c r="E128" s="332"/>
      <c r="F128" s="94"/>
      <c r="G128" s="94"/>
      <c r="H128" s="94"/>
      <c r="I128" s="97" t="s">
        <v>20</v>
      </c>
      <c r="J128" s="97"/>
      <c r="K128" s="97"/>
      <c r="L128" s="97"/>
      <c r="M128" s="97"/>
      <c r="N128" s="98" t="s">
        <v>184</v>
      </c>
      <c r="O128" s="98"/>
      <c r="P128" s="96">
        <f>CEILING(P125*0.47+5,0.5)</f>
        <v>85.5</v>
      </c>
      <c r="Q128" s="96"/>
      <c r="R128" s="96"/>
      <c r="S128" s="96"/>
      <c r="T128" s="96">
        <f>CEILING(T125*0.47+5,0.5)</f>
        <v>90.5</v>
      </c>
      <c r="U128" s="96"/>
      <c r="V128" s="96"/>
      <c r="W128" s="96"/>
      <c r="X128" s="96">
        <f>CEILING(X125*0.47+5,0.5)</f>
        <v>95</v>
      </c>
      <c r="Y128" s="96"/>
      <c r="Z128" s="96"/>
      <c r="AA128" s="96"/>
      <c r="AB128" s="96">
        <f>CEILING(AB125*0.47+5,0.5)</f>
        <v>99.5</v>
      </c>
      <c r="AC128" s="96"/>
      <c r="AD128" s="96"/>
      <c r="AE128" s="96"/>
      <c r="AG128" s="166"/>
      <c r="AH128" s="166"/>
      <c r="AI128" s="166"/>
      <c r="AJ128" s="166"/>
      <c r="AK128" s="166"/>
      <c r="AL128" s="94"/>
      <c r="AM128" s="94"/>
      <c r="AN128" s="94"/>
      <c r="AO128" s="97" t="s">
        <v>64</v>
      </c>
      <c r="AP128" s="97"/>
      <c r="AQ128" s="97"/>
      <c r="AR128" s="97"/>
      <c r="AS128" s="97"/>
      <c r="AT128" s="98" t="s">
        <v>184</v>
      </c>
      <c r="AU128" s="98"/>
      <c r="AV128" s="96">
        <f>CEILING(AV125*0.57+5,0.5)</f>
        <v>116</v>
      </c>
      <c r="AW128" s="96"/>
      <c r="AX128" s="96"/>
      <c r="AY128" s="96"/>
      <c r="AZ128" s="96">
        <f>CEILING(AZ125*0.57+5,0.5)</f>
        <v>122</v>
      </c>
      <c r="BA128" s="96"/>
      <c r="BB128" s="96"/>
      <c r="BC128" s="96"/>
      <c r="BD128" s="96">
        <f>CEILING(BD125*0.57+5,0.5)</f>
        <v>127.5</v>
      </c>
      <c r="BE128" s="96"/>
      <c r="BF128" s="96"/>
      <c r="BG128" s="96"/>
      <c r="BH128" s="96">
        <f>CEILING(BH125*0.57+5,0.5)</f>
        <v>133</v>
      </c>
      <c r="BI128" s="96"/>
      <c r="BJ128" s="96"/>
      <c r="BK128" s="96"/>
    </row>
    <row r="129" spans="1:63" ht="16.5" customHeight="1">
      <c r="A129" s="332"/>
      <c r="B129" s="332"/>
      <c r="C129" s="332"/>
      <c r="D129" s="332"/>
      <c r="E129" s="332"/>
      <c r="F129" s="94"/>
      <c r="G129" s="94"/>
      <c r="H129" s="94"/>
      <c r="I129" s="97"/>
      <c r="J129" s="97"/>
      <c r="K129" s="97"/>
      <c r="L129" s="97"/>
      <c r="M129" s="97"/>
      <c r="N129" s="98" t="s">
        <v>186</v>
      </c>
      <c r="O129" s="98"/>
      <c r="P129" s="96">
        <f>CEILING(P128*0.95,0.5)</f>
        <v>81.5</v>
      </c>
      <c r="Q129" s="96"/>
      <c r="R129" s="96"/>
      <c r="S129" s="96"/>
      <c r="T129" s="96">
        <f>CEILING(T128*0.95,0.5)</f>
        <v>86</v>
      </c>
      <c r="U129" s="96"/>
      <c r="V129" s="96"/>
      <c r="W129" s="96"/>
      <c r="X129" s="96">
        <f>CEILING(X128*0.95,0.5)</f>
        <v>90.5</v>
      </c>
      <c r="Y129" s="96"/>
      <c r="Z129" s="96"/>
      <c r="AA129" s="96"/>
      <c r="AB129" s="96">
        <f>CEILING(AB128*0.95,0.5)</f>
        <v>95</v>
      </c>
      <c r="AC129" s="96"/>
      <c r="AD129" s="96"/>
      <c r="AE129" s="96"/>
      <c r="AG129" s="166"/>
      <c r="AH129" s="166"/>
      <c r="AI129" s="166"/>
      <c r="AJ129" s="166"/>
      <c r="AK129" s="166"/>
      <c r="AL129" s="94"/>
      <c r="AM129" s="94"/>
      <c r="AN129" s="94"/>
      <c r="AO129" s="97"/>
      <c r="AP129" s="97"/>
      <c r="AQ129" s="97"/>
      <c r="AR129" s="97"/>
      <c r="AS129" s="97"/>
      <c r="AT129" s="98" t="s">
        <v>186</v>
      </c>
      <c r="AU129" s="98"/>
      <c r="AV129" s="96">
        <f>CEILING(AV128*0.95,0.5)</f>
        <v>110.5</v>
      </c>
      <c r="AW129" s="96"/>
      <c r="AX129" s="96"/>
      <c r="AY129" s="96"/>
      <c r="AZ129" s="96">
        <f>CEILING(AZ128*0.95,0.5)</f>
        <v>116</v>
      </c>
      <c r="BA129" s="96"/>
      <c r="BB129" s="96"/>
      <c r="BC129" s="96"/>
      <c r="BD129" s="96">
        <f>CEILING(BD128*0.95,0.5)</f>
        <v>121.5</v>
      </c>
      <c r="BE129" s="96"/>
      <c r="BF129" s="96"/>
      <c r="BG129" s="96"/>
      <c r="BH129" s="96">
        <f>CEILING(BH128*0.95,0.5)</f>
        <v>126.5</v>
      </c>
      <c r="BI129" s="96"/>
      <c r="BJ129" s="96"/>
      <c r="BK129" s="96"/>
    </row>
    <row r="130" spans="1:63" ht="16.5" customHeight="1">
      <c r="A130" s="332"/>
      <c r="B130" s="332"/>
      <c r="C130" s="332"/>
      <c r="D130" s="332"/>
      <c r="E130" s="332"/>
      <c r="F130" s="94"/>
      <c r="G130" s="94"/>
      <c r="H130" s="94"/>
      <c r="I130" s="97"/>
      <c r="J130" s="97"/>
      <c r="K130" s="97"/>
      <c r="L130" s="97"/>
      <c r="M130" s="97"/>
      <c r="N130" s="98" t="s">
        <v>96</v>
      </c>
      <c r="O130" s="98"/>
      <c r="P130" s="96">
        <f>CEILING(P127*0.47+5,0.5)</f>
        <v>75</v>
      </c>
      <c r="Q130" s="96"/>
      <c r="R130" s="96"/>
      <c r="S130" s="96"/>
      <c r="T130" s="96">
        <f>CEILING(T127*0.47+5,0.5)</f>
        <v>79.5</v>
      </c>
      <c r="U130" s="96"/>
      <c r="V130" s="96"/>
      <c r="W130" s="96"/>
      <c r="X130" s="96">
        <f>CEILING(X127*0.47+5,0.5)</f>
        <v>84.5</v>
      </c>
      <c r="Y130" s="96"/>
      <c r="Z130" s="96"/>
      <c r="AA130" s="96"/>
      <c r="AB130" s="96">
        <f>CEILING(AB127*0.47+5,0.5)</f>
        <v>89</v>
      </c>
      <c r="AC130" s="96"/>
      <c r="AD130" s="96"/>
      <c r="AE130" s="96"/>
      <c r="AG130" s="166"/>
      <c r="AH130" s="166"/>
      <c r="AI130" s="166"/>
      <c r="AJ130" s="166"/>
      <c r="AK130" s="166"/>
      <c r="AL130" s="94"/>
      <c r="AM130" s="94"/>
      <c r="AN130" s="94"/>
      <c r="AO130" s="97"/>
      <c r="AP130" s="97"/>
      <c r="AQ130" s="97"/>
      <c r="AR130" s="97"/>
      <c r="AS130" s="97"/>
      <c r="AT130" s="98" t="s">
        <v>96</v>
      </c>
      <c r="AU130" s="98"/>
      <c r="AV130" s="96">
        <f>CEILING(AV127*0.57+5,0.5)</f>
        <v>103.5</v>
      </c>
      <c r="AW130" s="96"/>
      <c r="AX130" s="96"/>
      <c r="AY130" s="96"/>
      <c r="AZ130" s="96">
        <f>CEILING(AZ127*0.57+5,0.5)</f>
        <v>109.5</v>
      </c>
      <c r="BA130" s="96"/>
      <c r="BB130" s="96"/>
      <c r="BC130" s="96"/>
      <c r="BD130" s="96">
        <f>CEILING(BD127*0.57+5,0.5)</f>
        <v>115</v>
      </c>
      <c r="BE130" s="96"/>
      <c r="BF130" s="96"/>
      <c r="BG130" s="96"/>
      <c r="BH130" s="96">
        <f>CEILING(BH127*0.57+5,0.5)</f>
        <v>120.5</v>
      </c>
      <c r="BI130" s="96"/>
      <c r="BJ130" s="96"/>
      <c r="BK130" s="96"/>
    </row>
    <row r="131" spans="1:63" ht="16.5" customHeight="1">
      <c r="A131" s="332"/>
      <c r="B131" s="332"/>
      <c r="C131" s="332"/>
      <c r="D131" s="332"/>
      <c r="E131" s="332"/>
      <c r="F131" s="94"/>
      <c r="G131" s="94"/>
      <c r="H131" s="94"/>
      <c r="I131" s="82" t="s">
        <v>21</v>
      </c>
      <c r="J131" s="82"/>
      <c r="K131" s="82"/>
      <c r="L131" s="82"/>
      <c r="M131" s="82"/>
      <c r="N131" s="84" t="s">
        <v>184</v>
      </c>
      <c r="O131" s="84"/>
      <c r="P131" s="83">
        <f>P125-4</f>
        <v>167</v>
      </c>
      <c r="Q131" s="83"/>
      <c r="R131" s="83"/>
      <c r="S131" s="83"/>
      <c r="T131" s="83">
        <f>P131+8</f>
        <v>175</v>
      </c>
      <c r="U131" s="83"/>
      <c r="V131" s="83"/>
      <c r="W131" s="83"/>
      <c r="X131" s="83">
        <f>T131+8</f>
        <v>183</v>
      </c>
      <c r="Y131" s="83"/>
      <c r="Z131" s="83"/>
      <c r="AA131" s="83"/>
      <c r="AB131" s="83">
        <f>X131+8</f>
        <v>191</v>
      </c>
      <c r="AC131" s="83"/>
      <c r="AD131" s="83"/>
      <c r="AE131" s="83"/>
      <c r="AG131" s="166"/>
      <c r="AH131" s="166"/>
      <c r="AI131" s="166"/>
      <c r="AJ131" s="166"/>
      <c r="AK131" s="166"/>
      <c r="AL131" s="94"/>
      <c r="AM131" s="94"/>
      <c r="AN131" s="94"/>
      <c r="AO131" s="82" t="s">
        <v>21</v>
      </c>
      <c r="AP131" s="333"/>
      <c r="AQ131" s="333"/>
      <c r="AR131" s="333"/>
      <c r="AS131" s="333"/>
      <c r="AT131" s="84" t="s">
        <v>184</v>
      </c>
      <c r="AU131" s="84"/>
      <c r="AV131" s="83">
        <f>AV125-4</f>
        <v>190.5</v>
      </c>
      <c r="AW131" s="83"/>
      <c r="AX131" s="83"/>
      <c r="AY131" s="83"/>
      <c r="AZ131" s="83">
        <f>AV131+8</f>
        <v>198.5</v>
      </c>
      <c r="BA131" s="83"/>
      <c r="BB131" s="83"/>
      <c r="BC131" s="83"/>
      <c r="BD131" s="83">
        <f>AZ131+8</f>
        <v>206.5</v>
      </c>
      <c r="BE131" s="83"/>
      <c r="BF131" s="83"/>
      <c r="BG131" s="83"/>
      <c r="BH131" s="83">
        <f>BD131+8</f>
        <v>214.5</v>
      </c>
      <c r="BI131" s="83"/>
      <c r="BJ131" s="83"/>
      <c r="BK131" s="83"/>
    </row>
    <row r="132" spans="1:63" ht="16.5" customHeight="1">
      <c r="A132" s="332"/>
      <c r="B132" s="332"/>
      <c r="C132" s="332"/>
      <c r="D132" s="332"/>
      <c r="E132" s="332"/>
      <c r="F132" s="94"/>
      <c r="G132" s="94"/>
      <c r="H132" s="94"/>
      <c r="I132" s="82"/>
      <c r="J132" s="82"/>
      <c r="K132" s="82"/>
      <c r="L132" s="82"/>
      <c r="M132" s="82"/>
      <c r="N132" s="84" t="s">
        <v>186</v>
      </c>
      <c r="O132" s="84"/>
      <c r="P132" s="83">
        <f>CEILING(P131*0.95,0.5)</f>
        <v>159</v>
      </c>
      <c r="Q132" s="83"/>
      <c r="R132" s="83"/>
      <c r="S132" s="83"/>
      <c r="T132" s="83">
        <f>CEILING(T131*0.95,0.5)</f>
        <v>166.5</v>
      </c>
      <c r="U132" s="83"/>
      <c r="V132" s="83"/>
      <c r="W132" s="83"/>
      <c r="X132" s="83">
        <f>CEILING(X131*0.95,0.5)</f>
        <v>174</v>
      </c>
      <c r="Y132" s="83"/>
      <c r="Z132" s="83"/>
      <c r="AA132" s="83"/>
      <c r="AB132" s="83">
        <f>CEILING(AB131*0.95,0.5)</f>
        <v>181.5</v>
      </c>
      <c r="AC132" s="83"/>
      <c r="AD132" s="83"/>
      <c r="AE132" s="83"/>
      <c r="AG132" s="166"/>
      <c r="AH132" s="166"/>
      <c r="AI132" s="166"/>
      <c r="AJ132" s="166"/>
      <c r="AK132" s="166"/>
      <c r="AL132" s="94"/>
      <c r="AM132" s="94"/>
      <c r="AN132" s="94"/>
      <c r="AO132" s="333"/>
      <c r="AP132" s="333"/>
      <c r="AQ132" s="333"/>
      <c r="AR132" s="333"/>
      <c r="AS132" s="333"/>
      <c r="AT132" s="84" t="s">
        <v>186</v>
      </c>
      <c r="AU132" s="84"/>
      <c r="AV132" s="83">
        <f>CEILING(AV131*0.95,0.5)</f>
        <v>181</v>
      </c>
      <c r="AW132" s="83"/>
      <c r="AX132" s="83"/>
      <c r="AY132" s="83"/>
      <c r="AZ132" s="83">
        <f>CEILING(AZ131*0.95,0.5)</f>
        <v>189</v>
      </c>
      <c r="BA132" s="83"/>
      <c r="BB132" s="83"/>
      <c r="BC132" s="83"/>
      <c r="BD132" s="83">
        <f>CEILING(BD131*0.95,0.5)</f>
        <v>196.5</v>
      </c>
      <c r="BE132" s="83"/>
      <c r="BF132" s="83"/>
      <c r="BG132" s="83"/>
      <c r="BH132" s="83">
        <f>CEILING(BH131*0.95,0.5)</f>
        <v>204</v>
      </c>
      <c r="BI132" s="83"/>
      <c r="BJ132" s="83"/>
      <c r="BK132" s="83"/>
    </row>
    <row r="133" spans="1:63" ht="16.5" customHeight="1">
      <c r="A133" s="332"/>
      <c r="B133" s="332"/>
      <c r="C133" s="332"/>
      <c r="D133" s="332"/>
      <c r="E133" s="332"/>
      <c r="F133" s="94"/>
      <c r="G133" s="94"/>
      <c r="H133" s="94"/>
      <c r="I133" s="82"/>
      <c r="J133" s="82"/>
      <c r="K133" s="82"/>
      <c r="L133" s="82"/>
      <c r="M133" s="82"/>
      <c r="N133" s="84" t="s">
        <v>96</v>
      </c>
      <c r="O133" s="84"/>
      <c r="P133" s="83">
        <f>P127-4</f>
        <v>144.5</v>
      </c>
      <c r="Q133" s="83"/>
      <c r="R133" s="83"/>
      <c r="S133" s="83"/>
      <c r="T133" s="83">
        <f>P133+8</f>
        <v>152.5</v>
      </c>
      <c r="U133" s="83"/>
      <c r="V133" s="83"/>
      <c r="W133" s="83"/>
      <c r="X133" s="83">
        <f>T133+8</f>
        <v>160.5</v>
      </c>
      <c r="Y133" s="83"/>
      <c r="Z133" s="83"/>
      <c r="AA133" s="83"/>
      <c r="AB133" s="83">
        <f>X133+8</f>
        <v>168.5</v>
      </c>
      <c r="AC133" s="83"/>
      <c r="AD133" s="83"/>
      <c r="AE133" s="83"/>
      <c r="AG133" s="166"/>
      <c r="AH133" s="166"/>
      <c r="AI133" s="166"/>
      <c r="AJ133" s="166"/>
      <c r="AK133" s="166"/>
      <c r="AL133" s="94"/>
      <c r="AM133" s="94"/>
      <c r="AN133" s="94"/>
      <c r="AO133" s="333"/>
      <c r="AP133" s="333"/>
      <c r="AQ133" s="333"/>
      <c r="AR133" s="333"/>
      <c r="AS133" s="333"/>
      <c r="AT133" s="84" t="s">
        <v>96</v>
      </c>
      <c r="AU133" s="84"/>
      <c r="AV133" s="83">
        <f>AV127-4</f>
        <v>168.5</v>
      </c>
      <c r="AW133" s="83"/>
      <c r="AX133" s="83"/>
      <c r="AY133" s="83"/>
      <c r="AZ133" s="83">
        <f>AV133+8</f>
        <v>176.5</v>
      </c>
      <c r="BA133" s="83"/>
      <c r="BB133" s="83"/>
      <c r="BC133" s="83"/>
      <c r="BD133" s="83">
        <f>AZ133+8</f>
        <v>184.5</v>
      </c>
      <c r="BE133" s="83"/>
      <c r="BF133" s="83"/>
      <c r="BG133" s="83"/>
      <c r="BH133" s="83">
        <f>BD133+8</f>
        <v>192.5</v>
      </c>
      <c r="BI133" s="83"/>
      <c r="BJ133" s="83"/>
      <c r="BK133" s="83"/>
    </row>
    <row r="134" spans="1:63" ht="16.5" customHeight="1">
      <c r="A134" s="332"/>
      <c r="B134" s="332"/>
      <c r="C134" s="332"/>
      <c r="D134" s="332"/>
      <c r="E134" s="332"/>
      <c r="F134" s="94"/>
      <c r="G134" s="94"/>
      <c r="H134" s="94"/>
      <c r="I134" s="80" t="s">
        <v>23</v>
      </c>
      <c r="J134" s="80"/>
      <c r="K134" s="80"/>
      <c r="L134" s="80"/>
      <c r="M134" s="80"/>
      <c r="N134" s="81" t="s">
        <v>184</v>
      </c>
      <c r="O134" s="81"/>
      <c r="P134" s="89">
        <f>CEILING(P131*0.47+5,0.5)</f>
        <v>83.5</v>
      </c>
      <c r="Q134" s="89"/>
      <c r="R134" s="89"/>
      <c r="S134" s="89"/>
      <c r="T134" s="89">
        <f>CEILING(T131*0.47+5,0.5)</f>
        <v>87.5</v>
      </c>
      <c r="U134" s="89"/>
      <c r="V134" s="89"/>
      <c r="W134" s="89"/>
      <c r="X134" s="89">
        <f>CEILING(X131*0.47+5,0.5)</f>
        <v>91.5</v>
      </c>
      <c r="Y134" s="89"/>
      <c r="Z134" s="89"/>
      <c r="AA134" s="89"/>
      <c r="AB134" s="89">
        <f>CEILING(AB131*0.47+5,0.5)</f>
        <v>95</v>
      </c>
      <c r="AC134" s="89"/>
      <c r="AD134" s="89"/>
      <c r="AE134" s="89"/>
      <c r="AG134" s="166"/>
      <c r="AH134" s="166"/>
      <c r="AI134" s="166"/>
      <c r="AJ134" s="166"/>
      <c r="AK134" s="166"/>
      <c r="AL134" s="94"/>
      <c r="AM134" s="94"/>
      <c r="AN134" s="94"/>
      <c r="AO134" s="80" t="s">
        <v>75</v>
      </c>
      <c r="AP134" s="333"/>
      <c r="AQ134" s="333"/>
      <c r="AR134" s="333"/>
      <c r="AS134" s="333"/>
      <c r="AT134" s="81" t="s">
        <v>184</v>
      </c>
      <c r="AU134" s="81"/>
      <c r="AV134" s="89">
        <f>CEILING(AV131*0.57+5,0.5)</f>
        <v>114</v>
      </c>
      <c r="AW134" s="89"/>
      <c r="AX134" s="89"/>
      <c r="AY134" s="89"/>
      <c r="AZ134" s="89">
        <f>CEILING(AZ131*0.57+5,0.5)</f>
        <v>118.5</v>
      </c>
      <c r="BA134" s="89"/>
      <c r="BB134" s="89"/>
      <c r="BC134" s="89"/>
      <c r="BD134" s="89">
        <f>CEILING(BD131*0.57+5,0.5)</f>
        <v>123</v>
      </c>
      <c r="BE134" s="89"/>
      <c r="BF134" s="89"/>
      <c r="BG134" s="89"/>
      <c r="BH134" s="89">
        <f>CEILING(BH131*0.57+5,0.5)</f>
        <v>127.5</v>
      </c>
      <c r="BI134" s="89"/>
      <c r="BJ134" s="89"/>
      <c r="BK134" s="89"/>
    </row>
    <row r="135" spans="1:63" ht="16.5" customHeight="1">
      <c r="A135" s="332"/>
      <c r="B135" s="332"/>
      <c r="C135" s="332"/>
      <c r="D135" s="332"/>
      <c r="E135" s="332"/>
      <c r="F135" s="94"/>
      <c r="G135" s="94"/>
      <c r="H135" s="94"/>
      <c r="I135" s="80"/>
      <c r="J135" s="80"/>
      <c r="K135" s="80"/>
      <c r="L135" s="80"/>
      <c r="M135" s="80"/>
      <c r="N135" s="81" t="s">
        <v>186</v>
      </c>
      <c r="O135" s="81"/>
      <c r="P135" s="89">
        <f>CEILING(P134*0.95,0.5)</f>
        <v>79.5</v>
      </c>
      <c r="Q135" s="89"/>
      <c r="R135" s="89"/>
      <c r="S135" s="89"/>
      <c r="T135" s="89">
        <f>CEILING(T134*0.95,0.5)</f>
        <v>83.5</v>
      </c>
      <c r="U135" s="89"/>
      <c r="V135" s="89"/>
      <c r="W135" s="89"/>
      <c r="X135" s="89">
        <f>CEILING(X134*0.95,0.5)</f>
        <v>87</v>
      </c>
      <c r="Y135" s="89"/>
      <c r="Z135" s="89"/>
      <c r="AA135" s="89"/>
      <c r="AB135" s="89">
        <f>CEILING(AB134*0.95,0.5)</f>
        <v>90.5</v>
      </c>
      <c r="AC135" s="89"/>
      <c r="AD135" s="89"/>
      <c r="AE135" s="89"/>
      <c r="AG135" s="166"/>
      <c r="AH135" s="166"/>
      <c r="AI135" s="166"/>
      <c r="AJ135" s="166"/>
      <c r="AK135" s="166"/>
      <c r="AL135" s="94"/>
      <c r="AM135" s="94"/>
      <c r="AN135" s="94"/>
      <c r="AO135" s="333"/>
      <c r="AP135" s="333"/>
      <c r="AQ135" s="333"/>
      <c r="AR135" s="333"/>
      <c r="AS135" s="333"/>
      <c r="AT135" s="81" t="s">
        <v>186</v>
      </c>
      <c r="AU135" s="81"/>
      <c r="AV135" s="89">
        <f>CEILING(AV134*0.95,0.5)</f>
        <v>108.5</v>
      </c>
      <c r="AW135" s="89"/>
      <c r="AX135" s="89"/>
      <c r="AY135" s="89"/>
      <c r="AZ135" s="89">
        <f>CEILING(AZ134*0.95,0.5)</f>
        <v>113</v>
      </c>
      <c r="BA135" s="89"/>
      <c r="BB135" s="89"/>
      <c r="BC135" s="89"/>
      <c r="BD135" s="89">
        <f>CEILING(BD134*0.95,0.5)</f>
        <v>117</v>
      </c>
      <c r="BE135" s="89"/>
      <c r="BF135" s="89"/>
      <c r="BG135" s="89"/>
      <c r="BH135" s="89">
        <f>CEILING(BH134*0.95,0.5)</f>
        <v>121.5</v>
      </c>
      <c r="BI135" s="89"/>
      <c r="BJ135" s="89"/>
      <c r="BK135" s="89"/>
    </row>
    <row r="136" spans="1:63" ht="16.5" customHeight="1">
      <c r="A136" s="332"/>
      <c r="B136" s="332"/>
      <c r="C136" s="332"/>
      <c r="D136" s="332"/>
      <c r="E136" s="332"/>
      <c r="F136" s="94"/>
      <c r="G136" s="94"/>
      <c r="H136" s="94"/>
      <c r="I136" s="80"/>
      <c r="J136" s="80"/>
      <c r="K136" s="80"/>
      <c r="L136" s="80"/>
      <c r="M136" s="80"/>
      <c r="N136" s="81" t="s">
        <v>96</v>
      </c>
      <c r="O136" s="81"/>
      <c r="P136" s="89">
        <f>CEILING(P133*0.47+5,0.5)</f>
        <v>73</v>
      </c>
      <c r="Q136" s="89"/>
      <c r="R136" s="89"/>
      <c r="S136" s="89"/>
      <c r="T136" s="89">
        <f>CEILING(T133*0.47+5,0.5)</f>
        <v>77</v>
      </c>
      <c r="U136" s="89"/>
      <c r="V136" s="89"/>
      <c r="W136" s="89"/>
      <c r="X136" s="89">
        <f>CEILING(X133*0.47+5,0.5)</f>
        <v>80.5</v>
      </c>
      <c r="Y136" s="89"/>
      <c r="Z136" s="89"/>
      <c r="AA136" s="89"/>
      <c r="AB136" s="89">
        <f>CEILING(AB133*0.47+5,0.5)</f>
        <v>84.5</v>
      </c>
      <c r="AC136" s="89"/>
      <c r="AD136" s="89"/>
      <c r="AE136" s="89"/>
      <c r="AG136" s="166"/>
      <c r="AH136" s="166"/>
      <c r="AI136" s="166"/>
      <c r="AJ136" s="166"/>
      <c r="AK136" s="166"/>
      <c r="AL136" s="94"/>
      <c r="AM136" s="94"/>
      <c r="AN136" s="94"/>
      <c r="AO136" s="333"/>
      <c r="AP136" s="333"/>
      <c r="AQ136" s="333"/>
      <c r="AR136" s="333"/>
      <c r="AS136" s="333"/>
      <c r="AT136" s="81" t="s">
        <v>96</v>
      </c>
      <c r="AU136" s="81"/>
      <c r="AV136" s="89">
        <f>CEILING(AV133*0.57+5,0.5)</f>
        <v>101.5</v>
      </c>
      <c r="AW136" s="89"/>
      <c r="AX136" s="89"/>
      <c r="AY136" s="89"/>
      <c r="AZ136" s="89">
        <f>CEILING(AZ133*0.57+5,0.5)</f>
        <v>106</v>
      </c>
      <c r="BA136" s="89"/>
      <c r="BB136" s="89"/>
      <c r="BC136" s="89"/>
      <c r="BD136" s="89">
        <f>CEILING(BD133*0.57+5,0.5)</f>
        <v>110.5</v>
      </c>
      <c r="BE136" s="89"/>
      <c r="BF136" s="89"/>
      <c r="BG136" s="89"/>
      <c r="BH136" s="89">
        <f>CEILING(BH133*0.57+5,0.5)</f>
        <v>115</v>
      </c>
      <c r="BI136" s="89"/>
      <c r="BJ136" s="89"/>
      <c r="BK136" s="89"/>
    </row>
    <row r="137" spans="1:63" ht="16.5" customHeight="1">
      <c r="A137" s="9" t="s">
        <v>60</v>
      </c>
      <c r="B137" s="65"/>
      <c r="C137" s="65"/>
      <c r="D137" s="65"/>
      <c r="E137" s="65"/>
      <c r="F137" s="27"/>
      <c r="G137" s="27"/>
      <c r="H137" s="27"/>
      <c r="I137" s="28"/>
      <c r="J137" s="28"/>
      <c r="K137" s="28"/>
      <c r="L137" s="28"/>
      <c r="M137" s="28"/>
      <c r="N137" s="22"/>
      <c r="O137" s="22"/>
      <c r="P137" s="29"/>
      <c r="Q137" s="29"/>
      <c r="R137" s="29"/>
      <c r="S137" s="29"/>
      <c r="T137" s="29"/>
      <c r="U137" s="29"/>
      <c r="V137" s="29"/>
      <c r="W137" s="29"/>
      <c r="X137" s="29"/>
      <c r="Y137" s="29"/>
      <c r="Z137" s="29"/>
      <c r="AA137" s="29"/>
      <c r="AB137" s="29"/>
      <c r="AC137" s="29"/>
      <c r="AD137" s="29"/>
      <c r="AE137" s="29"/>
      <c r="AG137" s="66"/>
      <c r="AH137" s="66"/>
      <c r="AI137" s="67"/>
      <c r="AJ137" s="66"/>
      <c r="AK137" s="66"/>
      <c r="AL137" s="27"/>
      <c r="AM137" s="27"/>
      <c r="AN137" s="27"/>
      <c r="AO137" s="28"/>
      <c r="AP137" s="28"/>
      <c r="AQ137" s="28"/>
      <c r="AR137" s="28"/>
      <c r="AS137" s="28"/>
      <c r="AT137" s="22"/>
      <c r="AU137" s="22"/>
      <c r="AV137" s="29"/>
      <c r="AW137" s="29"/>
      <c r="AX137" s="29"/>
      <c r="AY137" s="29"/>
      <c r="AZ137" s="29"/>
      <c r="BA137" s="29"/>
      <c r="BB137" s="29"/>
      <c r="BC137" s="29"/>
      <c r="BD137" s="29"/>
      <c r="BE137" s="29"/>
      <c r="BF137" s="29"/>
      <c r="BG137" s="29"/>
      <c r="BH137" s="29"/>
      <c r="BI137" s="29"/>
      <c r="BJ137" s="29"/>
      <c r="BK137" s="29"/>
    </row>
    <row r="138" spans="1:63" ht="16.5" customHeight="1">
      <c r="A138" s="9" t="s">
        <v>25</v>
      </c>
    </row>
    <row r="139" spans="1:63" ht="16.5" customHeight="1">
      <c r="A139" s="9" t="s">
        <v>26</v>
      </c>
    </row>
    <row r="140" spans="1:63" ht="16.5" customHeight="1" thickBot="1">
      <c r="A140" s="9"/>
    </row>
    <row r="141" spans="1:63" ht="16.5" customHeight="1" thickTop="1">
      <c r="A141" s="90" t="s">
        <v>27</v>
      </c>
      <c r="B141" s="91"/>
      <c r="C141" s="91"/>
      <c r="D141" s="91"/>
      <c r="E141" s="91"/>
      <c r="F141" s="91"/>
      <c r="G141" s="91"/>
      <c r="H141" s="91"/>
      <c r="I141" s="91"/>
      <c r="J141" s="91"/>
      <c r="K141" s="91"/>
      <c r="L141" s="91"/>
      <c r="M141" s="91"/>
      <c r="N141" s="91"/>
      <c r="O141" s="91"/>
      <c r="P141" s="91"/>
      <c r="Q141" s="91"/>
      <c r="R141" s="91"/>
      <c r="S141" s="91"/>
      <c r="T141" s="92"/>
      <c r="AQ141" s="14"/>
      <c r="AR141" s="14"/>
      <c r="AS141" s="14"/>
      <c r="AT141" s="14"/>
      <c r="AU141" s="14"/>
      <c r="AV141" s="14"/>
      <c r="AW141" s="14"/>
      <c r="AX141" s="14"/>
      <c r="AY141" s="14"/>
      <c r="AZ141" s="14"/>
      <c r="BA141" s="14"/>
      <c r="BB141" s="14"/>
      <c r="BC141" s="14"/>
      <c r="BD141" s="14"/>
      <c r="BE141" s="14"/>
      <c r="BF141" s="14"/>
      <c r="BG141" s="14"/>
      <c r="BH141" s="14"/>
      <c r="BI141" s="14"/>
      <c r="BJ141" s="14"/>
    </row>
    <row r="142" spans="1:63" ht="16.5" customHeight="1">
      <c r="A142" s="334" t="s">
        <v>30</v>
      </c>
      <c r="B142" s="335"/>
      <c r="C142" s="335"/>
      <c r="D142" s="335"/>
      <c r="E142" s="335"/>
      <c r="F142" s="335"/>
      <c r="G142" s="335"/>
      <c r="H142" s="336"/>
      <c r="I142" s="335" t="s">
        <v>31</v>
      </c>
      <c r="J142" s="335"/>
      <c r="K142" s="335"/>
      <c r="L142" s="335"/>
      <c r="M142" s="335"/>
      <c r="N142" s="335"/>
      <c r="O142" s="335"/>
      <c r="P142" s="335"/>
      <c r="Q142" s="335"/>
      <c r="R142" s="335"/>
      <c r="S142" s="335"/>
      <c r="T142" s="337"/>
    </row>
    <row r="143" spans="1:63" ht="16.5" customHeight="1" thickBot="1">
      <c r="A143" s="159" t="s">
        <v>199</v>
      </c>
      <c r="B143" s="160"/>
      <c r="C143" s="160"/>
      <c r="D143" s="160"/>
      <c r="E143" s="160"/>
      <c r="F143" s="160"/>
      <c r="G143" s="160"/>
      <c r="H143" s="161"/>
      <c r="I143" s="160" t="s">
        <v>74</v>
      </c>
      <c r="J143" s="160"/>
      <c r="K143" s="160"/>
      <c r="L143" s="160"/>
      <c r="M143" s="160"/>
      <c r="N143" s="160"/>
      <c r="O143" s="160"/>
      <c r="P143" s="160"/>
      <c r="Q143" s="160"/>
      <c r="R143" s="160"/>
      <c r="S143" s="160"/>
      <c r="T143" s="162"/>
    </row>
    <row r="144" spans="1:63" ht="16.5" customHeight="1" thickTop="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149999999999999" customHeight="1"/>
    <row r="164" ht="16.149999999999999"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row r="310" ht="15.6" customHeight="1"/>
    <row r="311" ht="15.6" customHeight="1"/>
    <row r="312" ht="15.6" customHeight="1"/>
    <row r="313" ht="15.6" customHeight="1"/>
    <row r="314" ht="15.6" customHeight="1"/>
    <row r="315" ht="15.6" customHeight="1"/>
    <row r="316" ht="15.6" customHeight="1"/>
    <row r="317" ht="15.6" customHeight="1"/>
    <row r="318" ht="15.6" customHeight="1"/>
    <row r="319" ht="15.6" customHeight="1"/>
    <row r="320" ht="15.6" customHeight="1"/>
    <row r="321" ht="15.6" customHeight="1"/>
    <row r="322" ht="15.6" customHeight="1"/>
    <row r="323" ht="15.6" customHeight="1"/>
    <row r="324" ht="15.6" customHeight="1"/>
    <row r="325" ht="15.6" customHeight="1"/>
    <row r="326" ht="15.6" customHeight="1"/>
    <row r="327" ht="15.6" customHeight="1"/>
    <row r="328" ht="15.6" customHeight="1"/>
    <row r="329" ht="15.6" customHeight="1"/>
    <row r="330" ht="15.6" customHeight="1"/>
    <row r="331" ht="15.6" customHeight="1"/>
    <row r="332" ht="15.6" customHeight="1"/>
    <row r="333" ht="15.6" customHeight="1"/>
    <row r="334" ht="15.6" customHeight="1"/>
    <row r="335" ht="15.6" customHeight="1"/>
    <row r="336" ht="15.6" customHeight="1"/>
    <row r="337" ht="15.6" customHeight="1"/>
    <row r="338" ht="15.6" customHeight="1"/>
    <row r="339" ht="15.6" customHeight="1"/>
    <row r="340" ht="15.6" customHeight="1"/>
    <row r="341" ht="15.6" customHeight="1"/>
    <row r="342" ht="15.6" customHeight="1"/>
    <row r="343" ht="15.6" customHeight="1"/>
    <row r="344" ht="15.6" customHeight="1"/>
    <row r="345" ht="15.6" customHeight="1"/>
    <row r="346" ht="15.6" customHeight="1"/>
    <row r="347" ht="15.6" customHeight="1"/>
    <row r="348" ht="15.6" customHeight="1"/>
    <row r="349" ht="15.6" customHeight="1"/>
    <row r="350" ht="15.6" customHeight="1"/>
    <row r="351" ht="15.6" customHeight="1"/>
    <row r="352" ht="15.6" customHeight="1"/>
    <row r="353" ht="15.6" customHeight="1"/>
    <row r="354" ht="15.6" customHeight="1"/>
    <row r="355" ht="15.6" customHeight="1"/>
    <row r="356" ht="15.6" customHeight="1"/>
    <row r="357" ht="15.6" customHeight="1"/>
    <row r="358" ht="15.6" customHeight="1"/>
    <row r="359" ht="15.6" customHeight="1"/>
    <row r="360" ht="15.6" customHeight="1"/>
    <row r="361" ht="15.6" customHeight="1"/>
    <row r="362" ht="15.6" customHeight="1"/>
    <row r="363" ht="15.6" customHeight="1"/>
    <row r="364" ht="15.6" customHeight="1"/>
    <row r="365" ht="15.6" customHeight="1"/>
    <row r="366" ht="15.6" customHeight="1"/>
  </sheetData>
  <mergeCells count="1072">
    <mergeCell ref="BD131:BG131"/>
    <mergeCell ref="BH131:BK131"/>
    <mergeCell ref="AV132:AY132"/>
    <mergeCell ref="AZ132:BC132"/>
    <mergeCell ref="BD132:BG132"/>
    <mergeCell ref="BH132:BK132"/>
    <mergeCell ref="A143:H143"/>
    <mergeCell ref="I143:T143"/>
    <mergeCell ref="AV136:AY136"/>
    <mergeCell ref="AZ136:BC136"/>
    <mergeCell ref="BD136:BG136"/>
    <mergeCell ref="BH136:BK136"/>
    <mergeCell ref="A141:T141"/>
    <mergeCell ref="A142:H142"/>
    <mergeCell ref="I142:T142"/>
    <mergeCell ref="N136:O136"/>
    <mergeCell ref="P136:S136"/>
    <mergeCell ref="T136:W136"/>
    <mergeCell ref="X136:AA136"/>
    <mergeCell ref="AB136:AE136"/>
    <mergeCell ref="AT136:AU136"/>
    <mergeCell ref="N135:O135"/>
    <mergeCell ref="P135:S135"/>
    <mergeCell ref="I134:M136"/>
    <mergeCell ref="N134:O134"/>
    <mergeCell ref="P134:S134"/>
    <mergeCell ref="T134:W134"/>
    <mergeCell ref="X134:AA134"/>
    <mergeCell ref="AB134:AE134"/>
    <mergeCell ref="AB132:AE132"/>
    <mergeCell ref="AT132:AU132"/>
    <mergeCell ref="AO131:AS133"/>
    <mergeCell ref="AT131:AU131"/>
    <mergeCell ref="T135:W135"/>
    <mergeCell ref="X135:AA135"/>
    <mergeCell ref="AB135:AE135"/>
    <mergeCell ref="AT135:AU135"/>
    <mergeCell ref="AO134:AS136"/>
    <mergeCell ref="AT134:AU134"/>
    <mergeCell ref="AV134:AY134"/>
    <mergeCell ref="AV128:AY128"/>
    <mergeCell ref="AZ128:BC128"/>
    <mergeCell ref="BD128:BG128"/>
    <mergeCell ref="BH128:BK128"/>
    <mergeCell ref="AV129:AY129"/>
    <mergeCell ref="AZ129:BC129"/>
    <mergeCell ref="BD129:BG129"/>
    <mergeCell ref="BH129:BK129"/>
    <mergeCell ref="AV133:AY133"/>
    <mergeCell ref="AZ133:BC133"/>
    <mergeCell ref="BD133:BG133"/>
    <mergeCell ref="BH133:BK133"/>
    <mergeCell ref="AZ134:BC134"/>
    <mergeCell ref="BD134:BG134"/>
    <mergeCell ref="BH134:BK134"/>
    <mergeCell ref="AV135:AY135"/>
    <mergeCell ref="AZ135:BC135"/>
    <mergeCell ref="BD135:BG135"/>
    <mergeCell ref="BH135:BK135"/>
    <mergeCell ref="AV131:AY131"/>
    <mergeCell ref="AZ131:BC131"/>
    <mergeCell ref="BD130:BG130"/>
    <mergeCell ref="BH130:BK130"/>
    <mergeCell ref="I131:M133"/>
    <mergeCell ref="N131:O131"/>
    <mergeCell ref="P131:S131"/>
    <mergeCell ref="T131:W131"/>
    <mergeCell ref="X131:AA131"/>
    <mergeCell ref="AB131:AE131"/>
    <mergeCell ref="N130:O130"/>
    <mergeCell ref="P130:S130"/>
    <mergeCell ref="T130:W130"/>
    <mergeCell ref="X130:AA130"/>
    <mergeCell ref="AB130:AE130"/>
    <mergeCell ref="AT130:AU130"/>
    <mergeCell ref="N129:O129"/>
    <mergeCell ref="P129:S129"/>
    <mergeCell ref="T129:W129"/>
    <mergeCell ref="X129:AA129"/>
    <mergeCell ref="AB129:AE129"/>
    <mergeCell ref="AT129:AU129"/>
    <mergeCell ref="AO128:AS130"/>
    <mergeCell ref="AT128:AU128"/>
    <mergeCell ref="N133:O133"/>
    <mergeCell ref="P133:S133"/>
    <mergeCell ref="T133:W133"/>
    <mergeCell ref="X133:AA133"/>
    <mergeCell ref="AB133:AE133"/>
    <mergeCell ref="AT133:AU133"/>
    <mergeCell ref="N132:O132"/>
    <mergeCell ref="P132:S132"/>
    <mergeCell ref="T132:W132"/>
    <mergeCell ref="X132:AA132"/>
    <mergeCell ref="BD127:BG127"/>
    <mergeCell ref="BH127:BK127"/>
    <mergeCell ref="I128:M130"/>
    <mergeCell ref="N128:O128"/>
    <mergeCell ref="P128:S128"/>
    <mergeCell ref="T128:W128"/>
    <mergeCell ref="X128:AA128"/>
    <mergeCell ref="AB128:AE128"/>
    <mergeCell ref="N127:O127"/>
    <mergeCell ref="P127:S127"/>
    <mergeCell ref="T127:W127"/>
    <mergeCell ref="X127:AA127"/>
    <mergeCell ref="AB127:AE127"/>
    <mergeCell ref="AT127:AU127"/>
    <mergeCell ref="N126:O126"/>
    <mergeCell ref="P126:S126"/>
    <mergeCell ref="T126:W126"/>
    <mergeCell ref="X126:AA126"/>
    <mergeCell ref="AB126:AE126"/>
    <mergeCell ref="AT126:AU126"/>
    <mergeCell ref="AO125:AS127"/>
    <mergeCell ref="AT125:AU125"/>
    <mergeCell ref="AV125:AY125"/>
    <mergeCell ref="AZ125:BC125"/>
    <mergeCell ref="BD125:BG125"/>
    <mergeCell ref="BH125:BK125"/>
    <mergeCell ref="AV126:AY126"/>
    <mergeCell ref="AZ126:BC126"/>
    <mergeCell ref="BD126:BG126"/>
    <mergeCell ref="BH126:BK126"/>
    <mergeCell ref="AV130:AY130"/>
    <mergeCell ref="AZ130:BC130"/>
    <mergeCell ref="I125:M127"/>
    <mergeCell ref="N125:O125"/>
    <mergeCell ref="P125:S125"/>
    <mergeCell ref="T125:W125"/>
    <mergeCell ref="X125:AA125"/>
    <mergeCell ref="AB125:AE125"/>
    <mergeCell ref="N124:O124"/>
    <mergeCell ref="P124:S124"/>
    <mergeCell ref="T124:W124"/>
    <mergeCell ref="X124:AA124"/>
    <mergeCell ref="AB124:AE124"/>
    <mergeCell ref="AT124:AU124"/>
    <mergeCell ref="N123:O123"/>
    <mergeCell ref="P123:S123"/>
    <mergeCell ref="T123:W123"/>
    <mergeCell ref="X123:AA123"/>
    <mergeCell ref="AB123:AE123"/>
    <mergeCell ref="AT123:AU123"/>
    <mergeCell ref="AO122:AS124"/>
    <mergeCell ref="AT122:AU122"/>
    <mergeCell ref="I122:M124"/>
    <mergeCell ref="N122:O122"/>
    <mergeCell ref="P122:S122"/>
    <mergeCell ref="T122:W122"/>
    <mergeCell ref="X122:AA122"/>
    <mergeCell ref="AB122:AE122"/>
    <mergeCell ref="N120:O120"/>
    <mergeCell ref="P120:S120"/>
    <mergeCell ref="T120:W120"/>
    <mergeCell ref="X120:AA120"/>
    <mergeCell ref="AB120:AE120"/>
    <mergeCell ref="AT120:AU120"/>
    <mergeCell ref="AV118:AY118"/>
    <mergeCell ref="AZ118:BC118"/>
    <mergeCell ref="BD118:BG118"/>
    <mergeCell ref="BH118:BK118"/>
    <mergeCell ref="I119:M121"/>
    <mergeCell ref="N119:O119"/>
    <mergeCell ref="P119:S119"/>
    <mergeCell ref="T119:W119"/>
    <mergeCell ref="X119:AA119"/>
    <mergeCell ref="AB119:AE119"/>
    <mergeCell ref="AV121:AY121"/>
    <mergeCell ref="AZ121:BC121"/>
    <mergeCell ref="BD121:BG121"/>
    <mergeCell ref="BH121:BK121"/>
    <mergeCell ref="AV120:AY120"/>
    <mergeCell ref="AZ120:BC120"/>
    <mergeCell ref="BD120:BG120"/>
    <mergeCell ref="BH120:BK120"/>
    <mergeCell ref="N121:O121"/>
    <mergeCell ref="P121:S121"/>
    <mergeCell ref="T121:W121"/>
    <mergeCell ref="X121:AA121"/>
    <mergeCell ref="AB121:AE121"/>
    <mergeCell ref="AT121:AU121"/>
    <mergeCell ref="N118:O118"/>
    <mergeCell ref="P118:S118"/>
    <mergeCell ref="AB117:AE117"/>
    <mergeCell ref="AT117:AU117"/>
    <mergeCell ref="AV119:AY119"/>
    <mergeCell ref="AZ119:BC119"/>
    <mergeCell ref="BD119:BG119"/>
    <mergeCell ref="BH119:BK119"/>
    <mergeCell ref="AG113:AK136"/>
    <mergeCell ref="AL113:AN136"/>
    <mergeCell ref="AO113:AS115"/>
    <mergeCell ref="AT113:AU113"/>
    <mergeCell ref="AO116:AS118"/>
    <mergeCell ref="AT116:AU116"/>
    <mergeCell ref="AO119:AS121"/>
    <mergeCell ref="AT119:AU119"/>
    <mergeCell ref="AV115:AY115"/>
    <mergeCell ref="AZ115:BC115"/>
    <mergeCell ref="BD115:BG115"/>
    <mergeCell ref="BH115:BK115"/>
    <mergeCell ref="AV124:AY124"/>
    <mergeCell ref="AZ124:BC124"/>
    <mergeCell ref="BD124:BG124"/>
    <mergeCell ref="BH124:BK124"/>
    <mergeCell ref="AV122:AY122"/>
    <mergeCell ref="AZ122:BC122"/>
    <mergeCell ref="BD122:BG122"/>
    <mergeCell ref="BH122:BK122"/>
    <mergeCell ref="AV123:AY123"/>
    <mergeCell ref="AZ123:BC123"/>
    <mergeCell ref="BD123:BG123"/>
    <mergeCell ref="BH123:BK123"/>
    <mergeCell ref="AV127:AY127"/>
    <mergeCell ref="AZ127:BC127"/>
    <mergeCell ref="I116:M118"/>
    <mergeCell ref="N116:O116"/>
    <mergeCell ref="P116:S116"/>
    <mergeCell ref="T116:W116"/>
    <mergeCell ref="X116:AA116"/>
    <mergeCell ref="AB116:AE116"/>
    <mergeCell ref="AV114:AY114"/>
    <mergeCell ref="AZ114:BC114"/>
    <mergeCell ref="BD114:BG114"/>
    <mergeCell ref="BH114:BK114"/>
    <mergeCell ref="N115:O115"/>
    <mergeCell ref="P115:S115"/>
    <mergeCell ref="T115:W115"/>
    <mergeCell ref="X115:AA115"/>
    <mergeCell ref="AB115:AE115"/>
    <mergeCell ref="AT115:AU115"/>
    <mergeCell ref="AV117:AY117"/>
    <mergeCell ref="AZ117:BC117"/>
    <mergeCell ref="BD117:BG117"/>
    <mergeCell ref="BH117:BK117"/>
    <mergeCell ref="T118:W118"/>
    <mergeCell ref="X118:AA118"/>
    <mergeCell ref="AB118:AE118"/>
    <mergeCell ref="AT118:AU118"/>
    <mergeCell ref="AV116:AY116"/>
    <mergeCell ref="AZ116:BC116"/>
    <mergeCell ref="BD116:BG116"/>
    <mergeCell ref="BH116:BK116"/>
    <mergeCell ref="N117:O117"/>
    <mergeCell ref="P117:S117"/>
    <mergeCell ref="T117:W117"/>
    <mergeCell ref="X117:AA117"/>
    <mergeCell ref="BD112:BG112"/>
    <mergeCell ref="BH112:BK112"/>
    <mergeCell ref="A113:E136"/>
    <mergeCell ref="F113:H136"/>
    <mergeCell ref="I113:M115"/>
    <mergeCell ref="N113:O113"/>
    <mergeCell ref="P113:S113"/>
    <mergeCell ref="T113:W113"/>
    <mergeCell ref="X112:AA112"/>
    <mergeCell ref="AB112:AE112"/>
    <mergeCell ref="AG112:AK112"/>
    <mergeCell ref="AL112:AN112"/>
    <mergeCell ref="AO112:AS112"/>
    <mergeCell ref="AT112:AU112"/>
    <mergeCell ref="A112:E112"/>
    <mergeCell ref="F112:H112"/>
    <mergeCell ref="I112:M112"/>
    <mergeCell ref="N112:O112"/>
    <mergeCell ref="P112:S112"/>
    <mergeCell ref="T112:W112"/>
    <mergeCell ref="AV113:AY113"/>
    <mergeCell ref="AZ113:BC113"/>
    <mergeCell ref="BD113:BG113"/>
    <mergeCell ref="BH113:BK113"/>
    <mergeCell ref="N114:O114"/>
    <mergeCell ref="P114:S114"/>
    <mergeCell ref="T114:W114"/>
    <mergeCell ref="X114:AA114"/>
    <mergeCell ref="AB114:AE114"/>
    <mergeCell ref="AT114:AU114"/>
    <mergeCell ref="X113:AA113"/>
    <mergeCell ref="AB113:AE113"/>
    <mergeCell ref="N103:O103"/>
    <mergeCell ref="P103:S103"/>
    <mergeCell ref="T103:W103"/>
    <mergeCell ref="X103:AA103"/>
    <mergeCell ref="AB103:AE103"/>
    <mergeCell ref="I101:M103"/>
    <mergeCell ref="N101:O101"/>
    <mergeCell ref="P101:S101"/>
    <mergeCell ref="T101:W101"/>
    <mergeCell ref="X101:AA101"/>
    <mergeCell ref="AB101:AE101"/>
    <mergeCell ref="N102:O102"/>
    <mergeCell ref="P102:S102"/>
    <mergeCell ref="T102:W102"/>
    <mergeCell ref="X102:AA102"/>
    <mergeCell ref="AV112:AY112"/>
    <mergeCell ref="AZ112:BC112"/>
    <mergeCell ref="N97:O97"/>
    <mergeCell ref="P97:S97"/>
    <mergeCell ref="T97:W97"/>
    <mergeCell ref="X97:AA97"/>
    <mergeCell ref="AB97:AE97"/>
    <mergeCell ref="I95:M97"/>
    <mergeCell ref="N95:O95"/>
    <mergeCell ref="P95:S95"/>
    <mergeCell ref="T95:W95"/>
    <mergeCell ref="X95:AA95"/>
    <mergeCell ref="AB95:AE95"/>
    <mergeCell ref="N96:O96"/>
    <mergeCell ref="P96:S96"/>
    <mergeCell ref="T96:W96"/>
    <mergeCell ref="X96:AA96"/>
    <mergeCell ref="AB105:AE105"/>
    <mergeCell ref="N106:O106"/>
    <mergeCell ref="P106:S106"/>
    <mergeCell ref="T106:W106"/>
    <mergeCell ref="X106:AA106"/>
    <mergeCell ref="AB106:AE106"/>
    <mergeCell ref="I104:M106"/>
    <mergeCell ref="N104:O104"/>
    <mergeCell ref="P104:S104"/>
    <mergeCell ref="T104:W104"/>
    <mergeCell ref="X104:AA104"/>
    <mergeCell ref="AB104:AE104"/>
    <mergeCell ref="N105:O105"/>
    <mergeCell ref="P105:S105"/>
    <mergeCell ref="T105:W105"/>
    <mergeCell ref="X105:AA105"/>
    <mergeCell ref="AB102:AE102"/>
    <mergeCell ref="N94:O94"/>
    <mergeCell ref="P94:S94"/>
    <mergeCell ref="T94:W94"/>
    <mergeCell ref="X94:AA94"/>
    <mergeCell ref="AB94:AE94"/>
    <mergeCell ref="AB91:AE91"/>
    <mergeCell ref="AG91:AN91"/>
    <mergeCell ref="AO91:AZ91"/>
    <mergeCell ref="I92:M94"/>
    <mergeCell ref="N92:O92"/>
    <mergeCell ref="P92:S92"/>
    <mergeCell ref="T92:W92"/>
    <mergeCell ref="X92:AA92"/>
    <mergeCell ref="AB92:AE92"/>
    <mergeCell ref="N93:O93"/>
    <mergeCell ref="AB99:AE99"/>
    <mergeCell ref="N100:O100"/>
    <mergeCell ref="P100:S100"/>
    <mergeCell ref="T100:W100"/>
    <mergeCell ref="X100:AA100"/>
    <mergeCell ref="AB100:AE100"/>
    <mergeCell ref="I98:M100"/>
    <mergeCell ref="N98:O98"/>
    <mergeCell ref="P98:S98"/>
    <mergeCell ref="T98:W98"/>
    <mergeCell ref="X98:AA98"/>
    <mergeCell ref="AB98:AE98"/>
    <mergeCell ref="N99:O99"/>
    <mergeCell ref="P99:S99"/>
    <mergeCell ref="T99:W99"/>
    <mergeCell ref="X99:AA99"/>
    <mergeCell ref="AB96:AE96"/>
    <mergeCell ref="T90:W90"/>
    <mergeCell ref="X90:AA90"/>
    <mergeCell ref="AB90:AE90"/>
    <mergeCell ref="AG90:AN90"/>
    <mergeCell ref="AO90:AZ90"/>
    <mergeCell ref="I89:M91"/>
    <mergeCell ref="N89:O89"/>
    <mergeCell ref="P89:S89"/>
    <mergeCell ref="T89:W89"/>
    <mergeCell ref="X89:AA89"/>
    <mergeCell ref="AB89:AE89"/>
    <mergeCell ref="N91:O91"/>
    <mergeCell ref="P91:S91"/>
    <mergeCell ref="T91:W91"/>
    <mergeCell ref="X91:AA91"/>
    <mergeCell ref="P93:S93"/>
    <mergeCell ref="T93:W93"/>
    <mergeCell ref="X93:AA93"/>
    <mergeCell ref="AB93:AE93"/>
    <mergeCell ref="A83:E106"/>
    <mergeCell ref="F83:H106"/>
    <mergeCell ref="I83:M85"/>
    <mergeCell ref="N83:O83"/>
    <mergeCell ref="P83:S83"/>
    <mergeCell ref="T83:W83"/>
    <mergeCell ref="N82:O82"/>
    <mergeCell ref="P82:S82"/>
    <mergeCell ref="T82:W82"/>
    <mergeCell ref="X82:AA82"/>
    <mergeCell ref="AB82:AE82"/>
    <mergeCell ref="AT82:AU82"/>
    <mergeCell ref="I80:M82"/>
    <mergeCell ref="N88:O88"/>
    <mergeCell ref="P88:S88"/>
    <mergeCell ref="T88:W88"/>
    <mergeCell ref="X88:AA88"/>
    <mergeCell ref="AB88:AE88"/>
    <mergeCell ref="AG88:AZ88"/>
    <mergeCell ref="AB86:AE86"/>
    <mergeCell ref="N87:O87"/>
    <mergeCell ref="P87:S87"/>
    <mergeCell ref="T87:W87"/>
    <mergeCell ref="X87:AA87"/>
    <mergeCell ref="AB87:AE87"/>
    <mergeCell ref="N85:O85"/>
    <mergeCell ref="P85:S85"/>
    <mergeCell ref="T85:W85"/>
    <mergeCell ref="AG89:AN89"/>
    <mergeCell ref="AO89:AZ89"/>
    <mergeCell ref="N90:O90"/>
    <mergeCell ref="P90:S90"/>
    <mergeCell ref="I86:M88"/>
    <mergeCell ref="N86:O86"/>
    <mergeCell ref="P86:S86"/>
    <mergeCell ref="T86:W86"/>
    <mergeCell ref="X86:AA86"/>
    <mergeCell ref="X83:AA83"/>
    <mergeCell ref="AB83:AE83"/>
    <mergeCell ref="N84:O84"/>
    <mergeCell ref="P84:S84"/>
    <mergeCell ref="T84:W84"/>
    <mergeCell ref="X84:AA84"/>
    <mergeCell ref="AB84:AE84"/>
    <mergeCell ref="X85:AA85"/>
    <mergeCell ref="AB85:AE85"/>
    <mergeCell ref="I77:M79"/>
    <mergeCell ref="N77:O77"/>
    <mergeCell ref="P77:S77"/>
    <mergeCell ref="T77:W77"/>
    <mergeCell ref="X77:AA77"/>
    <mergeCell ref="AB77:AE77"/>
    <mergeCell ref="N81:O81"/>
    <mergeCell ref="P81:S81"/>
    <mergeCell ref="T81:W81"/>
    <mergeCell ref="X81:AA81"/>
    <mergeCell ref="AB81:AE81"/>
    <mergeCell ref="N78:O78"/>
    <mergeCell ref="P78:S78"/>
    <mergeCell ref="T78:W78"/>
    <mergeCell ref="X78:AA78"/>
    <mergeCell ref="AB78:AE78"/>
    <mergeCell ref="AT81:AU81"/>
    <mergeCell ref="AO80:AS82"/>
    <mergeCell ref="AT80:AU80"/>
    <mergeCell ref="AV80:AY80"/>
    <mergeCell ref="AZ80:BC80"/>
    <mergeCell ref="BD80:BG80"/>
    <mergeCell ref="BH80:BK80"/>
    <mergeCell ref="AV81:AY81"/>
    <mergeCell ref="AZ81:BC81"/>
    <mergeCell ref="BD81:BG81"/>
    <mergeCell ref="BH81:BK81"/>
    <mergeCell ref="AV79:AY79"/>
    <mergeCell ref="AZ79:BC79"/>
    <mergeCell ref="BD79:BG79"/>
    <mergeCell ref="BH79:BK79"/>
    <mergeCell ref="N80:O80"/>
    <mergeCell ref="P80:S80"/>
    <mergeCell ref="T80:W80"/>
    <mergeCell ref="X80:AA80"/>
    <mergeCell ref="AB80:AE80"/>
    <mergeCell ref="N79:O79"/>
    <mergeCell ref="P79:S79"/>
    <mergeCell ref="T79:W79"/>
    <mergeCell ref="X79:AA79"/>
    <mergeCell ref="AB79:AE79"/>
    <mergeCell ref="AT79:AU79"/>
    <mergeCell ref="AV82:AY82"/>
    <mergeCell ref="AZ82:BC82"/>
    <mergeCell ref="BD82:BG82"/>
    <mergeCell ref="BH82:BK82"/>
    <mergeCell ref="AT78:AU78"/>
    <mergeCell ref="AO77:AS79"/>
    <mergeCell ref="AT77:AU77"/>
    <mergeCell ref="AV77:AY77"/>
    <mergeCell ref="AZ77:BC77"/>
    <mergeCell ref="BD77:BG77"/>
    <mergeCell ref="BH77:BK77"/>
    <mergeCell ref="AV78:AY78"/>
    <mergeCell ref="AZ78:BC78"/>
    <mergeCell ref="BD78:BG78"/>
    <mergeCell ref="BH78:BK78"/>
    <mergeCell ref="AV76:AY76"/>
    <mergeCell ref="AZ76:BC76"/>
    <mergeCell ref="BD76:BG76"/>
    <mergeCell ref="BH76:BK76"/>
    <mergeCell ref="I74:M76"/>
    <mergeCell ref="N74:O74"/>
    <mergeCell ref="P74:S74"/>
    <mergeCell ref="T74:W74"/>
    <mergeCell ref="X74:AA74"/>
    <mergeCell ref="AB74:AE74"/>
    <mergeCell ref="AV74:AY74"/>
    <mergeCell ref="AZ74:BC74"/>
    <mergeCell ref="BD74:BG74"/>
    <mergeCell ref="BH74:BK74"/>
    <mergeCell ref="N73:O73"/>
    <mergeCell ref="P73:S73"/>
    <mergeCell ref="T73:W73"/>
    <mergeCell ref="X73:AA73"/>
    <mergeCell ref="AB73:AE73"/>
    <mergeCell ref="AT73:AU73"/>
    <mergeCell ref="I71:M73"/>
    <mergeCell ref="N76:O76"/>
    <mergeCell ref="P76:S76"/>
    <mergeCell ref="T76:W76"/>
    <mergeCell ref="X76:AA76"/>
    <mergeCell ref="AB76:AE76"/>
    <mergeCell ref="AT76:AU76"/>
    <mergeCell ref="N75:O75"/>
    <mergeCell ref="P75:S75"/>
    <mergeCell ref="T75:W75"/>
    <mergeCell ref="X75:AA75"/>
    <mergeCell ref="AB75:AE75"/>
    <mergeCell ref="AT75:AU75"/>
    <mergeCell ref="AO74:AS76"/>
    <mergeCell ref="AT74:AU74"/>
    <mergeCell ref="N72:O72"/>
    <mergeCell ref="P72:S72"/>
    <mergeCell ref="T72:W72"/>
    <mergeCell ref="X72:AA72"/>
    <mergeCell ref="AB72:AE72"/>
    <mergeCell ref="AO68:AS70"/>
    <mergeCell ref="AT68:AU68"/>
    <mergeCell ref="AV68:AY68"/>
    <mergeCell ref="AZ68:BC68"/>
    <mergeCell ref="BD68:BG68"/>
    <mergeCell ref="BH68:BK68"/>
    <mergeCell ref="AV69:AY69"/>
    <mergeCell ref="AZ69:BC69"/>
    <mergeCell ref="BD69:BG69"/>
    <mergeCell ref="BH69:BK69"/>
    <mergeCell ref="AV75:AY75"/>
    <mergeCell ref="AZ75:BC75"/>
    <mergeCell ref="BD75:BG75"/>
    <mergeCell ref="BH75:BK75"/>
    <mergeCell ref="AV73:AY73"/>
    <mergeCell ref="AZ73:BC73"/>
    <mergeCell ref="BD73:BG73"/>
    <mergeCell ref="BH73:BK73"/>
    <mergeCell ref="AT72:AU72"/>
    <mergeCell ref="AO71:AS73"/>
    <mergeCell ref="AT71:AU71"/>
    <mergeCell ref="AV71:AY71"/>
    <mergeCell ref="AZ71:BC71"/>
    <mergeCell ref="BD71:BG71"/>
    <mergeCell ref="BH71:BK71"/>
    <mergeCell ref="AV72:AY72"/>
    <mergeCell ref="AZ72:BC72"/>
    <mergeCell ref="BD72:BG72"/>
    <mergeCell ref="BH72:BK72"/>
    <mergeCell ref="AV70:AY70"/>
    <mergeCell ref="AZ70:BC70"/>
    <mergeCell ref="BD70:BG70"/>
    <mergeCell ref="BH70:BK70"/>
    <mergeCell ref="N71:O71"/>
    <mergeCell ref="P71:S71"/>
    <mergeCell ref="T71:W71"/>
    <mergeCell ref="X71:AA71"/>
    <mergeCell ref="AB71:AE71"/>
    <mergeCell ref="N70:O70"/>
    <mergeCell ref="P70:S70"/>
    <mergeCell ref="T70:W70"/>
    <mergeCell ref="X70:AA70"/>
    <mergeCell ref="AB70:AE70"/>
    <mergeCell ref="AT70:AU70"/>
    <mergeCell ref="AV65:AY65"/>
    <mergeCell ref="AZ65:BC65"/>
    <mergeCell ref="BD65:BG65"/>
    <mergeCell ref="BH65:BK65"/>
    <mergeCell ref="N66:O66"/>
    <mergeCell ref="P66:S66"/>
    <mergeCell ref="T66:W66"/>
    <mergeCell ref="X66:AA66"/>
    <mergeCell ref="AB66:AE66"/>
    <mergeCell ref="AT66:AU66"/>
    <mergeCell ref="N69:O69"/>
    <mergeCell ref="P69:S69"/>
    <mergeCell ref="T69:W69"/>
    <mergeCell ref="X69:AA69"/>
    <mergeCell ref="AB69:AE69"/>
    <mergeCell ref="AT69:AU69"/>
    <mergeCell ref="AV67:AY67"/>
    <mergeCell ref="AZ67:BC67"/>
    <mergeCell ref="BD67:BG67"/>
    <mergeCell ref="BH67:BK67"/>
    <mergeCell ref="I65:M67"/>
    <mergeCell ref="N65:O65"/>
    <mergeCell ref="P65:S65"/>
    <mergeCell ref="T65:W65"/>
    <mergeCell ref="X65:AA65"/>
    <mergeCell ref="AB65:AE65"/>
    <mergeCell ref="AV63:AY63"/>
    <mergeCell ref="AZ63:BC63"/>
    <mergeCell ref="BD63:BG63"/>
    <mergeCell ref="BH63:BK63"/>
    <mergeCell ref="N64:O64"/>
    <mergeCell ref="P64:S64"/>
    <mergeCell ref="T64:W64"/>
    <mergeCell ref="X64:AA64"/>
    <mergeCell ref="AB64:AE64"/>
    <mergeCell ref="AT64:AU64"/>
    <mergeCell ref="I68:M70"/>
    <mergeCell ref="N68:O68"/>
    <mergeCell ref="P68:S68"/>
    <mergeCell ref="T68:W68"/>
    <mergeCell ref="X68:AA68"/>
    <mergeCell ref="AB68:AE68"/>
    <mergeCell ref="AV66:AY66"/>
    <mergeCell ref="AZ66:BC66"/>
    <mergeCell ref="BD66:BG66"/>
    <mergeCell ref="BH66:BK66"/>
    <mergeCell ref="N67:O67"/>
    <mergeCell ref="P67:S67"/>
    <mergeCell ref="T67:W67"/>
    <mergeCell ref="X67:AA67"/>
    <mergeCell ref="AB67:AE67"/>
    <mergeCell ref="AT67:AU67"/>
    <mergeCell ref="BD61:BG61"/>
    <mergeCell ref="BH61:BK61"/>
    <mergeCell ref="I62:M64"/>
    <mergeCell ref="N62:O62"/>
    <mergeCell ref="P62:S62"/>
    <mergeCell ref="T62:W62"/>
    <mergeCell ref="X62:AA62"/>
    <mergeCell ref="AB62:AE62"/>
    <mergeCell ref="AV64:AY64"/>
    <mergeCell ref="AZ64:BC64"/>
    <mergeCell ref="BD64:BG64"/>
    <mergeCell ref="BH64:BK64"/>
    <mergeCell ref="P61:S61"/>
    <mergeCell ref="T61:W61"/>
    <mergeCell ref="X61:AA61"/>
    <mergeCell ref="AB61:AE61"/>
    <mergeCell ref="AT61:AU61"/>
    <mergeCell ref="AV59:AY59"/>
    <mergeCell ref="AZ59:BC59"/>
    <mergeCell ref="BD59:BG59"/>
    <mergeCell ref="BH59:BK59"/>
    <mergeCell ref="N60:O60"/>
    <mergeCell ref="P60:S60"/>
    <mergeCell ref="T60:W60"/>
    <mergeCell ref="X60:AA60"/>
    <mergeCell ref="AB60:AE60"/>
    <mergeCell ref="AT60:AU60"/>
    <mergeCell ref="X59:AA59"/>
    <mergeCell ref="AB59:AE59"/>
    <mergeCell ref="AG59:AK82"/>
    <mergeCell ref="AL59:AN82"/>
    <mergeCell ref="AO59:AS61"/>
    <mergeCell ref="AT59:AU59"/>
    <mergeCell ref="AO62:AS64"/>
    <mergeCell ref="AT62:AU62"/>
    <mergeCell ref="AO65:AS67"/>
    <mergeCell ref="AT65:AU65"/>
    <mergeCell ref="AV62:AY62"/>
    <mergeCell ref="AZ62:BC62"/>
    <mergeCell ref="BD62:BG62"/>
    <mergeCell ref="BH62:BK62"/>
    <mergeCell ref="N63:O63"/>
    <mergeCell ref="P63:S63"/>
    <mergeCell ref="T63:W63"/>
    <mergeCell ref="X63:AA63"/>
    <mergeCell ref="AB63:AE63"/>
    <mergeCell ref="AT63:AU63"/>
    <mergeCell ref="AV61:AY61"/>
    <mergeCell ref="AZ61:BC61"/>
    <mergeCell ref="BH38:BK38"/>
    <mergeCell ref="AV39:AY39"/>
    <mergeCell ref="AZ39:BC39"/>
    <mergeCell ref="BD39:BG39"/>
    <mergeCell ref="BH39:BK39"/>
    <mergeCell ref="AV58:AY58"/>
    <mergeCell ref="AZ58:BC58"/>
    <mergeCell ref="BD58:BG58"/>
    <mergeCell ref="BH58:BK58"/>
    <mergeCell ref="A59:E82"/>
    <mergeCell ref="F59:H82"/>
    <mergeCell ref="I59:M61"/>
    <mergeCell ref="N59:O59"/>
    <mergeCell ref="P59:S59"/>
    <mergeCell ref="T59:W59"/>
    <mergeCell ref="X58:AA58"/>
    <mergeCell ref="AB58:AE58"/>
    <mergeCell ref="AG58:AK58"/>
    <mergeCell ref="AL58:AN58"/>
    <mergeCell ref="AO58:AS58"/>
    <mergeCell ref="AT58:AU58"/>
    <mergeCell ref="A58:E58"/>
    <mergeCell ref="F58:H58"/>
    <mergeCell ref="I58:M58"/>
    <mergeCell ref="N58:O58"/>
    <mergeCell ref="P58:S58"/>
    <mergeCell ref="T58:W58"/>
    <mergeCell ref="AV60:AY60"/>
    <mergeCell ref="AZ60:BC60"/>
    <mergeCell ref="BD60:BG60"/>
    <mergeCell ref="BH60:BK60"/>
    <mergeCell ref="N61:O61"/>
    <mergeCell ref="AV35:AY35"/>
    <mergeCell ref="AZ35:BC35"/>
    <mergeCell ref="BD35:BG35"/>
    <mergeCell ref="BH35:BK35"/>
    <mergeCell ref="AV36:AY36"/>
    <mergeCell ref="AZ36:BC36"/>
    <mergeCell ref="BD36:BG36"/>
    <mergeCell ref="BH36:BK36"/>
    <mergeCell ref="AV40:AY40"/>
    <mergeCell ref="AZ40:BC40"/>
    <mergeCell ref="BD40:BG40"/>
    <mergeCell ref="BH40:BK40"/>
    <mergeCell ref="A45:T45"/>
    <mergeCell ref="A46:H46"/>
    <mergeCell ref="I46:T46"/>
    <mergeCell ref="N40:O40"/>
    <mergeCell ref="P40:S40"/>
    <mergeCell ref="T40:W40"/>
    <mergeCell ref="X40:AA40"/>
    <mergeCell ref="AB40:AE40"/>
    <mergeCell ref="AT40:AU40"/>
    <mergeCell ref="N39:O39"/>
    <mergeCell ref="P39:S39"/>
    <mergeCell ref="T39:W39"/>
    <mergeCell ref="X39:AA39"/>
    <mergeCell ref="AB39:AE39"/>
    <mergeCell ref="AT39:AU39"/>
    <mergeCell ref="AO38:AS40"/>
    <mergeCell ref="AT38:AU38"/>
    <mergeCell ref="AV38:AY38"/>
    <mergeCell ref="AZ38:BC38"/>
    <mergeCell ref="BD38:BG38"/>
    <mergeCell ref="AV32:AY32"/>
    <mergeCell ref="AZ32:BC32"/>
    <mergeCell ref="BD32:BG32"/>
    <mergeCell ref="BH32:BK32"/>
    <mergeCell ref="AV33:AY33"/>
    <mergeCell ref="AZ33:BC33"/>
    <mergeCell ref="BD33:BG33"/>
    <mergeCell ref="BH33:BK33"/>
    <mergeCell ref="AV37:AY37"/>
    <mergeCell ref="AZ37:BC37"/>
    <mergeCell ref="BD37:BG37"/>
    <mergeCell ref="BH37:BK37"/>
    <mergeCell ref="I38:M40"/>
    <mergeCell ref="N38:O38"/>
    <mergeCell ref="P38:S38"/>
    <mergeCell ref="T38:W38"/>
    <mergeCell ref="X38:AA38"/>
    <mergeCell ref="AB38:AE38"/>
    <mergeCell ref="N37:O37"/>
    <mergeCell ref="P37:S37"/>
    <mergeCell ref="T37:W37"/>
    <mergeCell ref="X37:AA37"/>
    <mergeCell ref="AB37:AE37"/>
    <mergeCell ref="AT37:AU37"/>
    <mergeCell ref="N36:O36"/>
    <mergeCell ref="P36:S36"/>
    <mergeCell ref="T36:W36"/>
    <mergeCell ref="X36:AA36"/>
    <mergeCell ref="AB36:AE36"/>
    <mergeCell ref="AT36:AU36"/>
    <mergeCell ref="AO35:AS37"/>
    <mergeCell ref="AT35:AU35"/>
    <mergeCell ref="AV29:AY29"/>
    <mergeCell ref="AZ29:BC29"/>
    <mergeCell ref="BD29:BG29"/>
    <mergeCell ref="BH29:BK29"/>
    <mergeCell ref="AV30:AY30"/>
    <mergeCell ref="AZ30:BC30"/>
    <mergeCell ref="BD30:BG30"/>
    <mergeCell ref="BH30:BK30"/>
    <mergeCell ref="AV34:AY34"/>
    <mergeCell ref="AZ34:BC34"/>
    <mergeCell ref="BD34:BG34"/>
    <mergeCell ref="BH34:BK34"/>
    <mergeCell ref="I35:M37"/>
    <mergeCell ref="N35:O35"/>
    <mergeCell ref="P35:S35"/>
    <mergeCell ref="T35:W35"/>
    <mergeCell ref="X35:AA35"/>
    <mergeCell ref="AB35:AE35"/>
    <mergeCell ref="N34:O34"/>
    <mergeCell ref="P34:S34"/>
    <mergeCell ref="T34:W34"/>
    <mergeCell ref="X34:AA34"/>
    <mergeCell ref="AB34:AE34"/>
    <mergeCell ref="AT34:AU34"/>
    <mergeCell ref="N33:O33"/>
    <mergeCell ref="P33:S33"/>
    <mergeCell ref="T33:W33"/>
    <mergeCell ref="X33:AA33"/>
    <mergeCell ref="AB33:AE33"/>
    <mergeCell ref="AT33:AU33"/>
    <mergeCell ref="AO32:AS34"/>
    <mergeCell ref="AT32:AU32"/>
    <mergeCell ref="AO26:AS28"/>
    <mergeCell ref="AT26:AU26"/>
    <mergeCell ref="I26:M28"/>
    <mergeCell ref="N26:O26"/>
    <mergeCell ref="P26:S26"/>
    <mergeCell ref="T26:W26"/>
    <mergeCell ref="X26:AA26"/>
    <mergeCell ref="AB26:AE26"/>
    <mergeCell ref="AV31:AY31"/>
    <mergeCell ref="AZ31:BC31"/>
    <mergeCell ref="BD31:BG31"/>
    <mergeCell ref="BH31:BK31"/>
    <mergeCell ref="I32:M34"/>
    <mergeCell ref="N32:O32"/>
    <mergeCell ref="P32:S32"/>
    <mergeCell ref="T32:W32"/>
    <mergeCell ref="X32:AA32"/>
    <mergeCell ref="AB32:AE32"/>
    <mergeCell ref="N31:O31"/>
    <mergeCell ref="P31:S31"/>
    <mergeCell ref="T31:W31"/>
    <mergeCell ref="X31:AA31"/>
    <mergeCell ref="AB31:AE31"/>
    <mergeCell ref="AT31:AU31"/>
    <mergeCell ref="N30:O30"/>
    <mergeCell ref="P30:S30"/>
    <mergeCell ref="T30:W30"/>
    <mergeCell ref="X30:AA30"/>
    <mergeCell ref="AB30:AE30"/>
    <mergeCell ref="AT30:AU30"/>
    <mergeCell ref="AO29:AS31"/>
    <mergeCell ref="AT29:AU29"/>
    <mergeCell ref="AB25:AE25"/>
    <mergeCell ref="AT25:AU25"/>
    <mergeCell ref="AV28:AY28"/>
    <mergeCell ref="AZ28:BC28"/>
    <mergeCell ref="BD28:BG28"/>
    <mergeCell ref="BH28:BK28"/>
    <mergeCell ref="AV26:AY26"/>
    <mergeCell ref="AZ26:BC26"/>
    <mergeCell ref="BD26:BG26"/>
    <mergeCell ref="BH26:BK26"/>
    <mergeCell ref="AV27:AY27"/>
    <mergeCell ref="AZ27:BC27"/>
    <mergeCell ref="BD27:BG27"/>
    <mergeCell ref="BH27:BK27"/>
    <mergeCell ref="I29:M31"/>
    <mergeCell ref="N29:O29"/>
    <mergeCell ref="P29:S29"/>
    <mergeCell ref="T29:W29"/>
    <mergeCell ref="X29:AA29"/>
    <mergeCell ref="AB29:AE29"/>
    <mergeCell ref="N28:O28"/>
    <mergeCell ref="P28:S28"/>
    <mergeCell ref="T28:W28"/>
    <mergeCell ref="X28:AA28"/>
    <mergeCell ref="AB28:AE28"/>
    <mergeCell ref="AT28:AU28"/>
    <mergeCell ref="N27:O27"/>
    <mergeCell ref="P27:S27"/>
    <mergeCell ref="T27:W27"/>
    <mergeCell ref="X27:AA27"/>
    <mergeCell ref="AB27:AE27"/>
    <mergeCell ref="AT27:AU27"/>
    <mergeCell ref="AV23:AY23"/>
    <mergeCell ref="AZ23:BC23"/>
    <mergeCell ref="BD23:BG23"/>
    <mergeCell ref="BH23:BK23"/>
    <mergeCell ref="N24:O24"/>
    <mergeCell ref="P24:S24"/>
    <mergeCell ref="T24:W24"/>
    <mergeCell ref="X24:AA24"/>
    <mergeCell ref="AB24:AE24"/>
    <mergeCell ref="AT24:AU24"/>
    <mergeCell ref="AV22:AY22"/>
    <mergeCell ref="AZ22:BC22"/>
    <mergeCell ref="BD22:BG22"/>
    <mergeCell ref="BH22:BK22"/>
    <mergeCell ref="I23:M25"/>
    <mergeCell ref="N23:O23"/>
    <mergeCell ref="P23:S23"/>
    <mergeCell ref="T23:W23"/>
    <mergeCell ref="X23:AA23"/>
    <mergeCell ref="AB23:AE23"/>
    <mergeCell ref="AV25:AY25"/>
    <mergeCell ref="AZ25:BC25"/>
    <mergeCell ref="BD25:BG25"/>
    <mergeCell ref="BH25:BK25"/>
    <mergeCell ref="AV24:AY24"/>
    <mergeCell ref="AZ24:BC24"/>
    <mergeCell ref="BD24:BG24"/>
    <mergeCell ref="BH24:BK24"/>
    <mergeCell ref="N25:O25"/>
    <mergeCell ref="P25:S25"/>
    <mergeCell ref="T25:W25"/>
    <mergeCell ref="X25:AA25"/>
    <mergeCell ref="BD21:BG21"/>
    <mergeCell ref="BH21:BK21"/>
    <mergeCell ref="N22:O22"/>
    <mergeCell ref="P22:S22"/>
    <mergeCell ref="T22:W22"/>
    <mergeCell ref="X22:AA22"/>
    <mergeCell ref="AB22:AE22"/>
    <mergeCell ref="AT22:AU22"/>
    <mergeCell ref="AV20:AY20"/>
    <mergeCell ref="AZ20:BC20"/>
    <mergeCell ref="BD20:BG20"/>
    <mergeCell ref="BH20:BK20"/>
    <mergeCell ref="N21:O21"/>
    <mergeCell ref="P21:S21"/>
    <mergeCell ref="T21:W21"/>
    <mergeCell ref="X21:AA21"/>
    <mergeCell ref="AB21:AE21"/>
    <mergeCell ref="AT21:AU21"/>
    <mergeCell ref="X17:AA17"/>
    <mergeCell ref="AB17:AE17"/>
    <mergeCell ref="AG17:AK40"/>
    <mergeCell ref="AL17:AN40"/>
    <mergeCell ref="AO17:AS19"/>
    <mergeCell ref="AT17:AU17"/>
    <mergeCell ref="AO20:AS22"/>
    <mergeCell ref="AT20:AU20"/>
    <mergeCell ref="AO23:AS25"/>
    <mergeCell ref="AT23:AU23"/>
    <mergeCell ref="AV19:AY19"/>
    <mergeCell ref="AZ19:BC19"/>
    <mergeCell ref="BD19:BG19"/>
    <mergeCell ref="BH19:BK19"/>
    <mergeCell ref="I20:M22"/>
    <mergeCell ref="N20:O20"/>
    <mergeCell ref="P20:S20"/>
    <mergeCell ref="T20:W20"/>
    <mergeCell ref="X20:AA20"/>
    <mergeCell ref="AB20:AE20"/>
    <mergeCell ref="AV18:AY18"/>
    <mergeCell ref="AZ18:BC18"/>
    <mergeCell ref="BD18:BG18"/>
    <mergeCell ref="BH18:BK18"/>
    <mergeCell ref="N19:O19"/>
    <mergeCell ref="P19:S19"/>
    <mergeCell ref="T19:W19"/>
    <mergeCell ref="X19:AA19"/>
    <mergeCell ref="AB19:AE19"/>
    <mergeCell ref="AT19:AU19"/>
    <mergeCell ref="AV21:AY21"/>
    <mergeCell ref="AZ21:BC21"/>
    <mergeCell ref="AV16:AY16"/>
    <mergeCell ref="AZ16:BC16"/>
    <mergeCell ref="BD16:BG16"/>
    <mergeCell ref="BH16:BK16"/>
    <mergeCell ref="A17:E40"/>
    <mergeCell ref="F17:H40"/>
    <mergeCell ref="I17:M19"/>
    <mergeCell ref="N17:O17"/>
    <mergeCell ref="P17:S17"/>
    <mergeCell ref="T17:W17"/>
    <mergeCell ref="X16:AA16"/>
    <mergeCell ref="AB16:AE16"/>
    <mergeCell ref="AG16:AK16"/>
    <mergeCell ref="AL16:AN16"/>
    <mergeCell ref="AO16:AS16"/>
    <mergeCell ref="AT16:AU16"/>
    <mergeCell ref="A16:E16"/>
    <mergeCell ref="F16:H16"/>
    <mergeCell ref="I16:M16"/>
    <mergeCell ref="N16:O16"/>
    <mergeCell ref="P16:S16"/>
    <mergeCell ref="T16:W16"/>
    <mergeCell ref="AV17:AY17"/>
    <mergeCell ref="AZ17:BC17"/>
    <mergeCell ref="BD17:BG17"/>
    <mergeCell ref="BH17:BK17"/>
    <mergeCell ref="N18:O18"/>
    <mergeCell ref="P18:S18"/>
    <mergeCell ref="T18:W18"/>
    <mergeCell ref="X18:AA18"/>
    <mergeCell ref="AB18:AE18"/>
    <mergeCell ref="AT18:AU18"/>
    <mergeCell ref="AB14:AC14"/>
    <mergeCell ref="AD14:AJ14"/>
    <mergeCell ref="AK14:AL14"/>
    <mergeCell ref="AM14:AS14"/>
    <mergeCell ref="AT14:AU14"/>
    <mergeCell ref="AV14:BB14"/>
    <mergeCell ref="A14:B14"/>
    <mergeCell ref="C14:I14"/>
    <mergeCell ref="J14:K14"/>
    <mergeCell ref="L14:R14"/>
    <mergeCell ref="S14:T14"/>
    <mergeCell ref="U14:AA14"/>
    <mergeCell ref="AK13:AL13"/>
    <mergeCell ref="AM13:AS13"/>
    <mergeCell ref="AT13:AU13"/>
    <mergeCell ref="AV13:BB13"/>
    <mergeCell ref="BC13:BD13"/>
    <mergeCell ref="BE13:BK13"/>
    <mergeCell ref="BC12:BD12"/>
    <mergeCell ref="BE12:BK12"/>
    <mergeCell ref="A13:B13"/>
    <mergeCell ref="C13:I13"/>
    <mergeCell ref="J13:K13"/>
    <mergeCell ref="L13:R13"/>
    <mergeCell ref="S13:T13"/>
    <mergeCell ref="U13:AA13"/>
    <mergeCell ref="AB13:AC13"/>
    <mergeCell ref="AD13:AJ13"/>
    <mergeCell ref="AB12:AC12"/>
    <mergeCell ref="AD12:AJ12"/>
    <mergeCell ref="AK12:AL12"/>
    <mergeCell ref="AM12:AS12"/>
    <mergeCell ref="AT12:AU12"/>
    <mergeCell ref="AV12:BB12"/>
    <mergeCell ref="A12:B12"/>
    <mergeCell ref="C12:I12"/>
    <mergeCell ref="J12:K12"/>
    <mergeCell ref="L12:R12"/>
    <mergeCell ref="S12:T12"/>
    <mergeCell ref="U12:AA12"/>
    <mergeCell ref="AK11:AL11"/>
    <mergeCell ref="AM11:AS11"/>
    <mergeCell ref="AT11:AU11"/>
    <mergeCell ref="AV11:BB11"/>
    <mergeCell ref="BC11:BD11"/>
    <mergeCell ref="BE11:BK11"/>
    <mergeCell ref="BC10:BD10"/>
    <mergeCell ref="BE10:BK10"/>
    <mergeCell ref="A11:B11"/>
    <mergeCell ref="C11:I11"/>
    <mergeCell ref="J11:K11"/>
    <mergeCell ref="L11:R11"/>
    <mergeCell ref="S11:T11"/>
    <mergeCell ref="U11:AA11"/>
    <mergeCell ref="AB11:AC11"/>
    <mergeCell ref="AD11:AJ11"/>
    <mergeCell ref="AB10:AC10"/>
    <mergeCell ref="AD10:AJ10"/>
    <mergeCell ref="AK10:AL10"/>
    <mergeCell ref="AM10:AS10"/>
    <mergeCell ref="AT10:AU10"/>
    <mergeCell ref="AV10:BB10"/>
    <mergeCell ref="A10:B10"/>
    <mergeCell ref="C10:I10"/>
    <mergeCell ref="J10:K10"/>
    <mergeCell ref="L10:R10"/>
    <mergeCell ref="S10:T10"/>
    <mergeCell ref="U10:AA10"/>
    <mergeCell ref="A3:K4"/>
    <mergeCell ref="L3:AE6"/>
    <mergeCell ref="A5:K6"/>
    <mergeCell ref="A8:B8"/>
    <mergeCell ref="C8:I8"/>
    <mergeCell ref="J8:K8"/>
    <mergeCell ref="L8:R8"/>
    <mergeCell ref="S8:T8"/>
    <mergeCell ref="U8:AA8"/>
    <mergeCell ref="AK9:AL9"/>
    <mergeCell ref="AM9:AS9"/>
    <mergeCell ref="AT9:AU9"/>
    <mergeCell ref="AV9:BB9"/>
    <mergeCell ref="BC9:BD9"/>
    <mergeCell ref="BE9:BK9"/>
    <mergeCell ref="BC8:BD8"/>
    <mergeCell ref="BE8:BK8"/>
    <mergeCell ref="A9:B9"/>
    <mergeCell ref="C9:I9"/>
    <mergeCell ref="J9:K9"/>
    <mergeCell ref="L9:R9"/>
    <mergeCell ref="S9:T9"/>
    <mergeCell ref="U9:AA9"/>
    <mergeCell ref="AB9:AC9"/>
    <mergeCell ref="AD9:AJ9"/>
    <mergeCell ref="AB8:AC8"/>
    <mergeCell ref="AD8:AJ8"/>
    <mergeCell ref="AK8:AL8"/>
    <mergeCell ref="AM8:AS8"/>
    <mergeCell ref="AT8:AU8"/>
    <mergeCell ref="AV8:BB8"/>
  </mergeCells>
  <phoneticPr fontId="2"/>
  <pageMargins left="0.39370078740157483" right="0.39370078740157483" top="0.59055118110236227" bottom="0.39370078740157483" header="0.51181102362204722" footer="0.19685039370078741"/>
  <pageSetup paperSize="9" scale="90" firstPageNumber="16" orientation="portrait" useFirstPageNumber="1" r:id="rId1"/>
  <headerFooter alignWithMargins="0">
    <oddFooter>&amp;C20260511臨時改定価格_SP_ポリポリ&amp;R&amp;P/&amp;N</oddFooter>
  </headerFooter>
  <rowBreaks count="3" manualBreakCount="3">
    <brk id="54" max="62" man="1"/>
    <brk id="108" max="62" man="1"/>
    <brk id="164" max="62"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9487-937E-479C-897D-FF3F52E37E82}">
  <sheetPr>
    <tabColor indexed="10"/>
  </sheetPr>
  <dimension ref="A1:BM288"/>
  <sheetViews>
    <sheetView view="pageBreakPreview" zoomScaleSheetLayoutView="100" workbookViewId="0">
      <selection activeCell="BS8" sqref="BS8"/>
    </sheetView>
  </sheetViews>
  <sheetFormatPr defaultColWidth="8.875" defaultRowHeight="13.5"/>
  <cols>
    <col min="1" max="99" width="1.625" style="1" customWidth="1"/>
    <col min="100" max="16384" width="8.875" style="1"/>
  </cols>
  <sheetData>
    <row r="1" spans="1:65"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5" ht="16.5" customHeight="1">
      <c r="A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row>
    <row r="3" spans="1:65" ht="16.5" customHeight="1"/>
    <row r="4" spans="1:65" ht="16.5" customHeight="1">
      <c r="A4" s="109" t="s">
        <v>0</v>
      </c>
      <c r="B4" s="110"/>
      <c r="C4" s="110"/>
      <c r="D4" s="110"/>
      <c r="E4" s="110"/>
      <c r="F4" s="110"/>
      <c r="G4" s="110"/>
      <c r="H4" s="110"/>
      <c r="I4" s="110"/>
      <c r="J4" s="110"/>
      <c r="K4" s="172"/>
      <c r="L4" s="338" t="s">
        <v>200</v>
      </c>
      <c r="M4" s="339"/>
      <c r="N4" s="339"/>
      <c r="O4" s="339"/>
      <c r="P4" s="339"/>
      <c r="Q4" s="339"/>
      <c r="R4" s="339"/>
      <c r="S4" s="339"/>
      <c r="T4" s="339"/>
      <c r="U4" s="339"/>
      <c r="V4" s="339"/>
      <c r="W4" s="339"/>
      <c r="X4" s="339"/>
      <c r="Y4" s="339"/>
      <c r="Z4" s="4"/>
      <c r="AA4" s="4"/>
      <c r="AB4" s="305">
        <v>608</v>
      </c>
      <c r="AC4" s="306"/>
      <c r="AD4" s="307" t="s">
        <v>201</v>
      </c>
      <c r="AE4" s="308"/>
      <c r="AF4" s="308"/>
      <c r="AG4" s="308"/>
      <c r="AH4" s="308"/>
      <c r="AI4" s="308"/>
      <c r="AJ4" s="309"/>
      <c r="AK4" s="305">
        <v>846</v>
      </c>
      <c r="AL4" s="306"/>
      <c r="AM4" s="307" t="s">
        <v>202</v>
      </c>
      <c r="AN4" s="308"/>
      <c r="AO4" s="308"/>
      <c r="AP4" s="308"/>
      <c r="AQ4" s="308"/>
      <c r="AR4" s="308"/>
      <c r="AS4" s="309"/>
      <c r="AT4" s="344">
        <v>966</v>
      </c>
      <c r="AU4" s="345"/>
      <c r="AV4" s="346" t="s">
        <v>203</v>
      </c>
      <c r="AW4" s="347"/>
      <c r="AX4" s="347"/>
      <c r="AY4" s="347"/>
      <c r="AZ4" s="347"/>
      <c r="BA4" s="347"/>
      <c r="BB4" s="348"/>
      <c r="BC4" s="21"/>
      <c r="BD4" s="3"/>
      <c r="BE4" s="3"/>
      <c r="BF4" s="3"/>
      <c r="BG4" s="3"/>
      <c r="BH4" s="3"/>
      <c r="BI4" s="3"/>
      <c r="BJ4" s="3"/>
      <c r="BK4" s="3"/>
    </row>
    <row r="5" spans="1:65" ht="16.5" customHeight="1">
      <c r="A5" s="111"/>
      <c r="B5" s="112"/>
      <c r="C5" s="112"/>
      <c r="D5" s="112"/>
      <c r="E5" s="112"/>
      <c r="F5" s="112"/>
      <c r="G5" s="112"/>
      <c r="H5" s="112"/>
      <c r="I5" s="112"/>
      <c r="J5" s="112"/>
      <c r="K5" s="173"/>
      <c r="L5" s="340"/>
      <c r="M5" s="341"/>
      <c r="N5" s="341"/>
      <c r="O5" s="341"/>
      <c r="P5" s="341"/>
      <c r="Q5" s="341"/>
      <c r="R5" s="341"/>
      <c r="S5" s="341"/>
      <c r="T5" s="341"/>
      <c r="U5" s="341"/>
      <c r="V5" s="341"/>
      <c r="W5" s="341"/>
      <c r="X5" s="341"/>
      <c r="Y5" s="341"/>
      <c r="Z5" s="4"/>
      <c r="AA5" s="4"/>
      <c r="AB5" s="143">
        <v>609</v>
      </c>
      <c r="AC5" s="144"/>
      <c r="AD5" s="145" t="s">
        <v>204</v>
      </c>
      <c r="AE5" s="146"/>
      <c r="AF5" s="146"/>
      <c r="AG5" s="146"/>
      <c r="AH5" s="146"/>
      <c r="AI5" s="146"/>
      <c r="AJ5" s="147"/>
      <c r="AK5" s="143">
        <v>875</v>
      </c>
      <c r="AL5" s="144"/>
      <c r="AM5" s="145" t="s">
        <v>205</v>
      </c>
      <c r="AN5" s="146"/>
      <c r="AO5" s="146"/>
      <c r="AP5" s="146"/>
      <c r="AQ5" s="146"/>
      <c r="AR5" s="146"/>
      <c r="AS5" s="147"/>
      <c r="AT5" s="354">
        <v>967</v>
      </c>
      <c r="AU5" s="355"/>
      <c r="AV5" s="356" t="s">
        <v>206</v>
      </c>
      <c r="AW5" s="357"/>
      <c r="AX5" s="357"/>
      <c r="AY5" s="357"/>
      <c r="AZ5" s="357"/>
      <c r="BA5" s="357"/>
      <c r="BB5" s="358"/>
      <c r="BC5" s="21"/>
      <c r="BD5" s="3"/>
      <c r="BE5" s="3"/>
      <c r="BF5" s="3"/>
      <c r="BG5" s="3"/>
      <c r="BH5" s="3"/>
      <c r="BI5" s="3"/>
      <c r="BJ5" s="3"/>
      <c r="BK5" s="3"/>
    </row>
    <row r="6" spans="1:65" ht="16.5" customHeight="1">
      <c r="A6" s="180" t="s">
        <v>2</v>
      </c>
      <c r="B6" s="181"/>
      <c r="C6" s="181"/>
      <c r="D6" s="181"/>
      <c r="E6" s="181"/>
      <c r="F6" s="181"/>
      <c r="G6" s="181"/>
      <c r="H6" s="181"/>
      <c r="I6" s="181"/>
      <c r="J6" s="181"/>
      <c r="K6" s="182"/>
      <c r="L6" s="340"/>
      <c r="M6" s="341"/>
      <c r="N6" s="341"/>
      <c r="O6" s="341"/>
      <c r="P6" s="341"/>
      <c r="Q6" s="341"/>
      <c r="R6" s="341"/>
      <c r="S6" s="341"/>
      <c r="T6" s="341"/>
      <c r="U6" s="341"/>
      <c r="V6" s="341"/>
      <c r="W6" s="341"/>
      <c r="X6" s="341"/>
      <c r="Y6" s="341"/>
      <c r="Z6" s="4"/>
      <c r="AA6" s="4"/>
      <c r="AB6" s="143">
        <v>734</v>
      </c>
      <c r="AC6" s="144"/>
      <c r="AD6" s="145" t="s">
        <v>207</v>
      </c>
      <c r="AE6" s="146"/>
      <c r="AF6" s="146"/>
      <c r="AG6" s="146"/>
      <c r="AH6" s="146"/>
      <c r="AI6" s="146"/>
      <c r="AJ6" s="147"/>
      <c r="AK6" s="143">
        <v>884</v>
      </c>
      <c r="AL6" s="144"/>
      <c r="AM6" s="145" t="s">
        <v>208</v>
      </c>
      <c r="AN6" s="146"/>
      <c r="AO6" s="146"/>
      <c r="AP6" s="146"/>
      <c r="AQ6" s="146"/>
      <c r="AR6" s="146"/>
      <c r="AS6" s="147"/>
      <c r="AT6" s="68"/>
      <c r="AU6" s="69"/>
      <c r="AV6" s="69"/>
      <c r="AW6" s="69"/>
      <c r="AX6" s="69"/>
      <c r="AY6" s="69"/>
      <c r="AZ6" s="69"/>
      <c r="BA6" s="69"/>
      <c r="BB6" s="69"/>
      <c r="BC6" s="3"/>
      <c r="BD6" s="3"/>
      <c r="BE6" s="3"/>
      <c r="BF6" s="3"/>
      <c r="BG6" s="3"/>
      <c r="BH6" s="3"/>
      <c r="BI6" s="3"/>
      <c r="BJ6" s="3"/>
      <c r="BK6" s="3"/>
    </row>
    <row r="7" spans="1:65" ht="16.5" customHeight="1">
      <c r="A7" s="106"/>
      <c r="B7" s="107"/>
      <c r="C7" s="107"/>
      <c r="D7" s="107"/>
      <c r="E7" s="107"/>
      <c r="F7" s="107"/>
      <c r="G7" s="107"/>
      <c r="H7" s="107"/>
      <c r="I7" s="107"/>
      <c r="J7" s="107"/>
      <c r="K7" s="108"/>
      <c r="L7" s="342"/>
      <c r="M7" s="343"/>
      <c r="N7" s="343"/>
      <c r="O7" s="343"/>
      <c r="P7" s="343"/>
      <c r="Q7" s="343"/>
      <c r="R7" s="343"/>
      <c r="S7" s="343"/>
      <c r="T7" s="343"/>
      <c r="U7" s="343"/>
      <c r="V7" s="343"/>
      <c r="W7" s="343"/>
      <c r="X7" s="343"/>
      <c r="Y7" s="343"/>
      <c r="Z7" s="4"/>
      <c r="AA7" s="4"/>
      <c r="AB7" s="143">
        <v>828</v>
      </c>
      <c r="AC7" s="144"/>
      <c r="AD7" s="349" t="s">
        <v>209</v>
      </c>
      <c r="AE7" s="350"/>
      <c r="AF7" s="350"/>
      <c r="AG7" s="350"/>
      <c r="AH7" s="350"/>
      <c r="AI7" s="350"/>
      <c r="AJ7" s="351"/>
      <c r="AK7" s="143">
        <v>914</v>
      </c>
      <c r="AL7" s="144"/>
      <c r="AM7" s="145" t="s">
        <v>210</v>
      </c>
      <c r="AN7" s="146"/>
      <c r="AO7" s="146"/>
      <c r="AP7" s="146"/>
      <c r="AQ7" s="146"/>
      <c r="AR7" s="146"/>
      <c r="AS7" s="147"/>
    </row>
    <row r="8" spans="1:65" ht="16.5" customHeight="1">
      <c r="AB8" s="153">
        <v>843</v>
      </c>
      <c r="AC8" s="154"/>
      <c r="AD8" s="311" t="s">
        <v>211</v>
      </c>
      <c r="AE8" s="312"/>
      <c r="AF8" s="312"/>
      <c r="AG8" s="312"/>
      <c r="AH8" s="312"/>
      <c r="AI8" s="312"/>
      <c r="AJ8" s="313"/>
      <c r="AK8" s="153">
        <v>932</v>
      </c>
      <c r="AL8" s="154"/>
      <c r="AM8" s="311" t="s">
        <v>212</v>
      </c>
      <c r="AN8" s="312"/>
      <c r="AO8" s="312"/>
      <c r="AP8" s="312"/>
      <c r="AQ8" s="312"/>
      <c r="AR8" s="312"/>
      <c r="AS8" s="313"/>
    </row>
    <row r="9" spans="1:65" s="46" customFormat="1" ht="16.5" customHeight="1">
      <c r="A9" s="1"/>
      <c r="B9" s="1"/>
      <c r="C9" s="1"/>
      <c r="D9" s="1"/>
      <c r="E9" s="1"/>
      <c r="F9" s="1"/>
      <c r="G9" s="1"/>
      <c r="H9" s="1"/>
      <c r="I9" s="1"/>
      <c r="J9" s="1"/>
      <c r="K9" s="1"/>
      <c r="L9" s="1"/>
      <c r="M9" s="1"/>
      <c r="N9" s="1"/>
      <c r="O9" s="12"/>
      <c r="P9" s="14"/>
      <c r="Q9" s="14"/>
      <c r="R9" s="14"/>
      <c r="S9" s="14"/>
      <c r="T9" s="14"/>
      <c r="U9" s="14"/>
      <c r="V9" s="14"/>
      <c r="W9" s="14"/>
      <c r="X9" s="14"/>
      <c r="Y9" s="14"/>
      <c r="Z9" s="14"/>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row>
    <row r="10" spans="1:65" s="46" customFormat="1" ht="16.5" customHeight="1">
      <c r="A10" s="98" t="s">
        <v>3</v>
      </c>
      <c r="B10" s="98"/>
      <c r="C10" s="98"/>
      <c r="D10" s="98"/>
      <c r="E10" s="98"/>
      <c r="F10" s="155" t="s">
        <v>4</v>
      </c>
      <c r="G10" s="155"/>
      <c r="H10" s="155"/>
      <c r="I10" s="98" t="s">
        <v>5</v>
      </c>
      <c r="J10" s="98"/>
      <c r="K10" s="98"/>
      <c r="L10" s="98"/>
      <c r="M10" s="98"/>
      <c r="N10" s="98"/>
      <c r="O10" s="98"/>
      <c r="P10" s="98" t="s">
        <v>6</v>
      </c>
      <c r="Q10" s="98"/>
      <c r="R10" s="98"/>
      <c r="S10" s="98"/>
      <c r="T10" s="98" t="s">
        <v>7</v>
      </c>
      <c r="U10" s="98"/>
      <c r="V10" s="98"/>
      <c r="W10" s="98"/>
      <c r="X10" s="98" t="s">
        <v>8</v>
      </c>
      <c r="Y10" s="98"/>
      <c r="Z10" s="98"/>
      <c r="AA10" s="98"/>
      <c r="AB10" s="98" t="s">
        <v>52</v>
      </c>
      <c r="AC10" s="98"/>
      <c r="AD10" s="98"/>
      <c r="AE10" s="98"/>
      <c r="AF10" s="1"/>
      <c r="AG10" s="98" t="s">
        <v>3</v>
      </c>
      <c r="AH10" s="98"/>
      <c r="AI10" s="98"/>
      <c r="AJ10" s="98"/>
      <c r="AK10" s="98"/>
      <c r="AL10" s="155" t="s">
        <v>4</v>
      </c>
      <c r="AM10" s="155"/>
      <c r="AN10" s="155"/>
      <c r="AO10" s="98" t="s">
        <v>5</v>
      </c>
      <c r="AP10" s="98"/>
      <c r="AQ10" s="98"/>
      <c r="AR10" s="98"/>
      <c r="AS10" s="98"/>
      <c r="AT10" s="98"/>
      <c r="AU10" s="98"/>
      <c r="AV10" s="98" t="s">
        <v>6</v>
      </c>
      <c r="AW10" s="98"/>
      <c r="AX10" s="98"/>
      <c r="AY10" s="98"/>
      <c r="AZ10" s="98" t="s">
        <v>7</v>
      </c>
      <c r="BA10" s="98"/>
      <c r="BB10" s="98"/>
      <c r="BC10" s="98"/>
      <c r="BD10" s="98" t="s">
        <v>8</v>
      </c>
      <c r="BE10" s="98"/>
      <c r="BF10" s="98"/>
      <c r="BG10" s="98"/>
      <c r="BH10" s="98" t="s">
        <v>52</v>
      </c>
      <c r="BI10" s="98"/>
      <c r="BJ10" s="98"/>
      <c r="BK10" s="98"/>
      <c r="BL10" s="1"/>
      <c r="BM10" s="1"/>
    </row>
    <row r="11" spans="1:65" s="46" customFormat="1" ht="16.5" customHeight="1">
      <c r="A11" s="93" t="s">
        <v>213</v>
      </c>
      <c r="B11" s="93"/>
      <c r="C11" s="93"/>
      <c r="D11" s="93"/>
      <c r="E11" s="93"/>
      <c r="F11" s="352">
        <v>2</v>
      </c>
      <c r="G11" s="352"/>
      <c r="H11" s="352"/>
      <c r="I11" s="156" t="s">
        <v>9</v>
      </c>
      <c r="J11" s="156"/>
      <c r="K11" s="156"/>
      <c r="L11" s="156"/>
      <c r="M11" s="156"/>
      <c r="N11" s="100" t="s">
        <v>184</v>
      </c>
      <c r="O11" s="100"/>
      <c r="P11" s="99">
        <f>P23+25</f>
        <v>199.5</v>
      </c>
      <c r="Q11" s="99"/>
      <c r="R11" s="99"/>
      <c r="S11" s="99"/>
      <c r="T11" s="99">
        <f>P11+30</f>
        <v>229.5</v>
      </c>
      <c r="U11" s="99"/>
      <c r="V11" s="99"/>
      <c r="W11" s="99"/>
      <c r="X11" s="99">
        <f>T11+30</f>
        <v>259.5</v>
      </c>
      <c r="Y11" s="99"/>
      <c r="Z11" s="99"/>
      <c r="AA11" s="99"/>
      <c r="AB11" s="99">
        <f>X11+30</f>
        <v>289.5</v>
      </c>
      <c r="AC11" s="99"/>
      <c r="AD11" s="99"/>
      <c r="AE11" s="99"/>
      <c r="AF11" s="1"/>
      <c r="AG11" s="184" t="s">
        <v>214</v>
      </c>
      <c r="AH11" s="184"/>
      <c r="AI11" s="184"/>
      <c r="AJ11" s="184"/>
      <c r="AK11" s="184"/>
      <c r="AL11" s="94">
        <v>5</v>
      </c>
      <c r="AM11" s="94"/>
      <c r="AN11" s="94"/>
      <c r="AO11" s="95" t="s">
        <v>9</v>
      </c>
      <c r="AP11" s="95"/>
      <c r="AQ11" s="95"/>
      <c r="AR11" s="95"/>
      <c r="AS11" s="95"/>
      <c r="AT11" s="100" t="s">
        <v>184</v>
      </c>
      <c r="AU11" s="100"/>
      <c r="AV11" s="99">
        <f>AV23+25</f>
        <v>205.5</v>
      </c>
      <c r="AW11" s="99"/>
      <c r="AX11" s="99"/>
      <c r="AY11" s="99"/>
      <c r="AZ11" s="99">
        <f>AV11+30</f>
        <v>235.5</v>
      </c>
      <c r="BA11" s="99"/>
      <c r="BB11" s="99"/>
      <c r="BC11" s="99"/>
      <c r="BD11" s="99">
        <f>AZ11+30</f>
        <v>265.5</v>
      </c>
      <c r="BE11" s="99"/>
      <c r="BF11" s="99"/>
      <c r="BG11" s="99"/>
      <c r="BH11" s="99">
        <f>BD11+30</f>
        <v>295.5</v>
      </c>
      <c r="BI11" s="99"/>
      <c r="BJ11" s="99"/>
      <c r="BK11" s="99"/>
      <c r="BL11" s="1"/>
      <c r="BM11" s="1"/>
    </row>
    <row r="12" spans="1:65" s="46" customFormat="1" ht="16.5" customHeight="1">
      <c r="A12" s="93"/>
      <c r="B12" s="93"/>
      <c r="C12" s="93"/>
      <c r="D12" s="93"/>
      <c r="E12" s="93"/>
      <c r="F12" s="353"/>
      <c r="G12" s="353"/>
      <c r="H12" s="353"/>
      <c r="I12" s="156"/>
      <c r="J12" s="156"/>
      <c r="K12" s="156"/>
      <c r="L12" s="156"/>
      <c r="M12" s="156"/>
      <c r="N12" s="100" t="s">
        <v>186</v>
      </c>
      <c r="O12" s="100"/>
      <c r="P12" s="99">
        <f>CEILING(P11*0.95,0.5)</f>
        <v>190</v>
      </c>
      <c r="Q12" s="99"/>
      <c r="R12" s="99"/>
      <c r="S12" s="99"/>
      <c r="T12" s="99">
        <f>CEILING(T11*0.95,0.5)</f>
        <v>218.5</v>
      </c>
      <c r="U12" s="99"/>
      <c r="V12" s="99"/>
      <c r="W12" s="99"/>
      <c r="X12" s="99">
        <f>CEILING(X11*0.95,0.5)</f>
        <v>247</v>
      </c>
      <c r="Y12" s="99"/>
      <c r="Z12" s="99"/>
      <c r="AA12" s="99"/>
      <c r="AB12" s="99">
        <f>CEILING(AB11*0.95,0.5)</f>
        <v>275.5</v>
      </c>
      <c r="AC12" s="99"/>
      <c r="AD12" s="99"/>
      <c r="AE12" s="99"/>
      <c r="AF12" s="1"/>
      <c r="AG12" s="184"/>
      <c r="AH12" s="184"/>
      <c r="AI12" s="184"/>
      <c r="AJ12" s="184"/>
      <c r="AK12" s="184"/>
      <c r="AL12" s="94"/>
      <c r="AM12" s="94"/>
      <c r="AN12" s="94"/>
      <c r="AO12" s="95"/>
      <c r="AP12" s="95"/>
      <c r="AQ12" s="95"/>
      <c r="AR12" s="95"/>
      <c r="AS12" s="95"/>
      <c r="AT12" s="100" t="s">
        <v>186</v>
      </c>
      <c r="AU12" s="100"/>
      <c r="AV12" s="99">
        <f>CEILING(AV11*0.95,0.5)</f>
        <v>195.5</v>
      </c>
      <c r="AW12" s="99"/>
      <c r="AX12" s="99"/>
      <c r="AY12" s="99"/>
      <c r="AZ12" s="99">
        <f>CEILING(AZ11*0.95,0.5)</f>
        <v>224</v>
      </c>
      <c r="BA12" s="99"/>
      <c r="BB12" s="99"/>
      <c r="BC12" s="99"/>
      <c r="BD12" s="99">
        <f>CEILING(BD11*0.95,0.5)</f>
        <v>252.5</v>
      </c>
      <c r="BE12" s="99"/>
      <c r="BF12" s="99"/>
      <c r="BG12" s="99"/>
      <c r="BH12" s="99">
        <f>CEILING(BH11*0.95,0.5)</f>
        <v>281</v>
      </c>
      <c r="BI12" s="99"/>
      <c r="BJ12" s="99"/>
      <c r="BK12" s="99"/>
      <c r="BL12" s="1"/>
      <c r="BM12" s="1"/>
    </row>
    <row r="13" spans="1:65" s="46" customFormat="1" ht="16.5" customHeight="1">
      <c r="A13" s="93"/>
      <c r="B13" s="93"/>
      <c r="C13" s="93"/>
      <c r="D13" s="93"/>
      <c r="E13" s="93"/>
      <c r="F13" s="353"/>
      <c r="G13" s="353"/>
      <c r="H13" s="353"/>
      <c r="I13" s="156"/>
      <c r="J13" s="156"/>
      <c r="K13" s="156"/>
      <c r="L13" s="156"/>
      <c r="M13" s="156"/>
      <c r="N13" s="100" t="s">
        <v>96</v>
      </c>
      <c r="O13" s="100"/>
      <c r="P13" s="99">
        <f>P25+25</f>
        <v>182</v>
      </c>
      <c r="Q13" s="99"/>
      <c r="R13" s="99"/>
      <c r="S13" s="99"/>
      <c r="T13" s="99">
        <f>P13+30</f>
        <v>212</v>
      </c>
      <c r="U13" s="99"/>
      <c r="V13" s="99"/>
      <c r="W13" s="99"/>
      <c r="X13" s="99">
        <f>T13+30</f>
        <v>242</v>
      </c>
      <c r="Y13" s="99"/>
      <c r="Z13" s="99"/>
      <c r="AA13" s="99"/>
      <c r="AB13" s="99">
        <f>X13+30</f>
        <v>272</v>
      </c>
      <c r="AC13" s="99"/>
      <c r="AD13" s="99"/>
      <c r="AE13" s="99"/>
      <c r="AF13" s="1"/>
      <c r="AG13" s="184"/>
      <c r="AH13" s="184"/>
      <c r="AI13" s="184"/>
      <c r="AJ13" s="184"/>
      <c r="AK13" s="184"/>
      <c r="AL13" s="94"/>
      <c r="AM13" s="94"/>
      <c r="AN13" s="94"/>
      <c r="AO13" s="95"/>
      <c r="AP13" s="95"/>
      <c r="AQ13" s="95"/>
      <c r="AR13" s="95"/>
      <c r="AS13" s="95"/>
      <c r="AT13" s="100" t="s">
        <v>96</v>
      </c>
      <c r="AU13" s="100"/>
      <c r="AV13" s="99">
        <f>AV25+25</f>
        <v>185</v>
      </c>
      <c r="AW13" s="99"/>
      <c r="AX13" s="99"/>
      <c r="AY13" s="99"/>
      <c r="AZ13" s="99">
        <f>AV13+30</f>
        <v>215</v>
      </c>
      <c r="BA13" s="99"/>
      <c r="BB13" s="99"/>
      <c r="BC13" s="99"/>
      <c r="BD13" s="99">
        <f>AZ13+30</f>
        <v>245</v>
      </c>
      <c r="BE13" s="99"/>
      <c r="BF13" s="99"/>
      <c r="BG13" s="99"/>
      <c r="BH13" s="99">
        <f>BD13+30</f>
        <v>275</v>
      </c>
      <c r="BI13" s="99"/>
      <c r="BJ13" s="99"/>
      <c r="BK13" s="99"/>
      <c r="BL13" s="1"/>
      <c r="BM13" s="1"/>
    </row>
    <row r="14" spans="1:65" s="46" customFormat="1" ht="16.5" customHeight="1">
      <c r="A14" s="93"/>
      <c r="B14" s="93"/>
      <c r="C14" s="93"/>
      <c r="D14" s="93"/>
      <c r="E14" s="93"/>
      <c r="F14" s="353"/>
      <c r="G14" s="353"/>
      <c r="H14" s="353"/>
      <c r="I14" s="97" t="s">
        <v>13</v>
      </c>
      <c r="J14" s="97"/>
      <c r="K14" s="97"/>
      <c r="L14" s="97"/>
      <c r="M14" s="97"/>
      <c r="N14" s="98" t="s">
        <v>184</v>
      </c>
      <c r="O14" s="98"/>
      <c r="P14" s="96">
        <f>CEILING(P11*0.35+5,0.5)</f>
        <v>75</v>
      </c>
      <c r="Q14" s="96"/>
      <c r="R14" s="96"/>
      <c r="S14" s="96"/>
      <c r="T14" s="96">
        <f>CEILING(T11*0.35+5,0.5)</f>
        <v>85.5</v>
      </c>
      <c r="U14" s="96"/>
      <c r="V14" s="96"/>
      <c r="W14" s="96"/>
      <c r="X14" s="96">
        <f>CEILING(X11*0.35+5,0.5)</f>
        <v>96</v>
      </c>
      <c r="Y14" s="96"/>
      <c r="Z14" s="96"/>
      <c r="AA14" s="96"/>
      <c r="AB14" s="96">
        <f>CEILING(AB11*0.35+5,0.5)</f>
        <v>106.5</v>
      </c>
      <c r="AC14" s="96"/>
      <c r="AD14" s="96"/>
      <c r="AE14" s="96"/>
      <c r="AF14" s="1"/>
      <c r="AG14" s="184"/>
      <c r="AH14" s="184"/>
      <c r="AI14" s="184"/>
      <c r="AJ14" s="184"/>
      <c r="AK14" s="184"/>
      <c r="AL14" s="94"/>
      <c r="AM14" s="94"/>
      <c r="AN14" s="94"/>
      <c r="AO14" s="97" t="s">
        <v>14</v>
      </c>
      <c r="AP14" s="97"/>
      <c r="AQ14" s="97"/>
      <c r="AR14" s="97"/>
      <c r="AS14" s="97"/>
      <c r="AT14" s="98" t="s">
        <v>184</v>
      </c>
      <c r="AU14" s="98"/>
      <c r="AV14" s="96">
        <f>CEILING(AV11*0.47+5,0.5)</f>
        <v>102</v>
      </c>
      <c r="AW14" s="96"/>
      <c r="AX14" s="96"/>
      <c r="AY14" s="96"/>
      <c r="AZ14" s="96">
        <f>CEILING(AZ11*0.47+5,0.5)</f>
        <v>116</v>
      </c>
      <c r="BA14" s="96"/>
      <c r="BB14" s="96"/>
      <c r="BC14" s="96"/>
      <c r="BD14" s="96">
        <f>CEILING(BD11*0.47+5,0.5)</f>
        <v>130</v>
      </c>
      <c r="BE14" s="96"/>
      <c r="BF14" s="96"/>
      <c r="BG14" s="96"/>
      <c r="BH14" s="96">
        <f>CEILING(BH11*0.47+5,0.5)</f>
        <v>144</v>
      </c>
      <c r="BI14" s="96"/>
      <c r="BJ14" s="96"/>
      <c r="BK14" s="96"/>
      <c r="BL14" s="1"/>
      <c r="BM14" s="1"/>
    </row>
    <row r="15" spans="1:65" s="46" customFormat="1" ht="16.5" customHeight="1">
      <c r="A15" s="93"/>
      <c r="B15" s="93"/>
      <c r="C15" s="93"/>
      <c r="D15" s="93"/>
      <c r="E15" s="93"/>
      <c r="F15" s="353"/>
      <c r="G15" s="353"/>
      <c r="H15" s="353"/>
      <c r="I15" s="97"/>
      <c r="J15" s="97"/>
      <c r="K15" s="97"/>
      <c r="L15" s="97"/>
      <c r="M15" s="97"/>
      <c r="N15" s="98" t="s">
        <v>186</v>
      </c>
      <c r="O15" s="98"/>
      <c r="P15" s="96">
        <f>CEILING(P14*0.95,0.5)</f>
        <v>71.5</v>
      </c>
      <c r="Q15" s="96"/>
      <c r="R15" s="96"/>
      <c r="S15" s="96"/>
      <c r="T15" s="96">
        <f>CEILING(T14*0.95,0.5)</f>
        <v>81.5</v>
      </c>
      <c r="U15" s="96"/>
      <c r="V15" s="96"/>
      <c r="W15" s="96"/>
      <c r="X15" s="96">
        <f>CEILING(X14*0.95,0.5)</f>
        <v>91.5</v>
      </c>
      <c r="Y15" s="96"/>
      <c r="Z15" s="96"/>
      <c r="AA15" s="96"/>
      <c r="AB15" s="96">
        <f>CEILING(AB14*0.95,0.5)</f>
        <v>101.5</v>
      </c>
      <c r="AC15" s="96"/>
      <c r="AD15" s="96"/>
      <c r="AE15" s="96"/>
      <c r="AF15" s="1"/>
      <c r="AG15" s="184"/>
      <c r="AH15" s="184"/>
      <c r="AI15" s="184"/>
      <c r="AJ15" s="184"/>
      <c r="AK15" s="184"/>
      <c r="AL15" s="94"/>
      <c r="AM15" s="94"/>
      <c r="AN15" s="94"/>
      <c r="AO15" s="97"/>
      <c r="AP15" s="97"/>
      <c r="AQ15" s="97"/>
      <c r="AR15" s="97"/>
      <c r="AS15" s="97"/>
      <c r="AT15" s="98" t="s">
        <v>186</v>
      </c>
      <c r="AU15" s="98"/>
      <c r="AV15" s="96">
        <f>CEILING(AV14*0.95,0.5)</f>
        <v>97</v>
      </c>
      <c r="AW15" s="96"/>
      <c r="AX15" s="96"/>
      <c r="AY15" s="96"/>
      <c r="AZ15" s="96">
        <f>CEILING(AZ14*0.95,0.5)</f>
        <v>110.5</v>
      </c>
      <c r="BA15" s="96"/>
      <c r="BB15" s="96"/>
      <c r="BC15" s="96"/>
      <c r="BD15" s="96">
        <f>CEILING(BD14*0.95,0.5)</f>
        <v>123.5</v>
      </c>
      <c r="BE15" s="96"/>
      <c r="BF15" s="96"/>
      <c r="BG15" s="96"/>
      <c r="BH15" s="96">
        <f>CEILING(BH14*0.95,0.5)</f>
        <v>137</v>
      </c>
      <c r="BI15" s="96"/>
      <c r="BJ15" s="96"/>
      <c r="BK15" s="96"/>
      <c r="BL15" s="1"/>
      <c r="BM15" s="1"/>
    </row>
    <row r="16" spans="1:65" s="46" customFormat="1" ht="16.5" customHeight="1">
      <c r="A16" s="93"/>
      <c r="B16" s="93"/>
      <c r="C16" s="93"/>
      <c r="D16" s="93"/>
      <c r="E16" s="93"/>
      <c r="F16" s="353"/>
      <c r="G16" s="353"/>
      <c r="H16" s="353"/>
      <c r="I16" s="97"/>
      <c r="J16" s="97"/>
      <c r="K16" s="97"/>
      <c r="L16" s="97"/>
      <c r="M16" s="97"/>
      <c r="N16" s="98" t="s">
        <v>96</v>
      </c>
      <c r="O16" s="98"/>
      <c r="P16" s="96">
        <f>CEILING(P13*0.35+5,0.5)</f>
        <v>69</v>
      </c>
      <c r="Q16" s="96"/>
      <c r="R16" s="96"/>
      <c r="S16" s="96"/>
      <c r="T16" s="96">
        <f>CEILING(T13*0.35+5,0.5)</f>
        <v>79.5</v>
      </c>
      <c r="U16" s="96"/>
      <c r="V16" s="96"/>
      <c r="W16" s="96"/>
      <c r="X16" s="96">
        <f>CEILING(X13*0.35+5,0.5)</f>
        <v>90</v>
      </c>
      <c r="Y16" s="96"/>
      <c r="Z16" s="96"/>
      <c r="AA16" s="96"/>
      <c r="AB16" s="96">
        <f>CEILING(AB13*0.35+5,0.5)</f>
        <v>100.5</v>
      </c>
      <c r="AC16" s="96"/>
      <c r="AD16" s="96"/>
      <c r="AE16" s="96"/>
      <c r="AF16" s="1"/>
      <c r="AG16" s="184"/>
      <c r="AH16" s="184"/>
      <c r="AI16" s="184"/>
      <c r="AJ16" s="184"/>
      <c r="AK16" s="184"/>
      <c r="AL16" s="94"/>
      <c r="AM16" s="94"/>
      <c r="AN16" s="94"/>
      <c r="AO16" s="97"/>
      <c r="AP16" s="97"/>
      <c r="AQ16" s="97"/>
      <c r="AR16" s="97"/>
      <c r="AS16" s="97"/>
      <c r="AT16" s="98" t="s">
        <v>96</v>
      </c>
      <c r="AU16" s="98"/>
      <c r="AV16" s="96">
        <f>CEILING(AV13*0.47+5,0.5)</f>
        <v>92</v>
      </c>
      <c r="AW16" s="96"/>
      <c r="AX16" s="96"/>
      <c r="AY16" s="96"/>
      <c r="AZ16" s="96">
        <f>CEILING(AZ13*0.47+5,0.5)</f>
        <v>106.5</v>
      </c>
      <c r="BA16" s="96"/>
      <c r="BB16" s="96"/>
      <c r="BC16" s="96"/>
      <c r="BD16" s="96">
        <f>CEILING(BD13*0.47+5,0.5)</f>
        <v>120.5</v>
      </c>
      <c r="BE16" s="96"/>
      <c r="BF16" s="96"/>
      <c r="BG16" s="96"/>
      <c r="BH16" s="96">
        <f>CEILING(BH13*0.47+5,0.5)</f>
        <v>134.5</v>
      </c>
      <c r="BI16" s="96"/>
      <c r="BJ16" s="96"/>
      <c r="BK16" s="96"/>
      <c r="BL16" s="1"/>
      <c r="BM16" s="1"/>
    </row>
    <row r="17" spans="1:63" ht="16.5" customHeight="1">
      <c r="A17" s="93"/>
      <c r="B17" s="93"/>
      <c r="C17" s="93"/>
      <c r="D17" s="93"/>
      <c r="E17" s="93"/>
      <c r="F17" s="353"/>
      <c r="G17" s="353"/>
      <c r="H17" s="353"/>
      <c r="I17" s="156" t="s">
        <v>15</v>
      </c>
      <c r="J17" s="359"/>
      <c r="K17" s="359"/>
      <c r="L17" s="359"/>
      <c r="M17" s="359"/>
      <c r="N17" s="100" t="s">
        <v>184</v>
      </c>
      <c r="O17" s="100"/>
      <c r="P17" s="99">
        <f>P23+15</f>
        <v>189.5</v>
      </c>
      <c r="Q17" s="99"/>
      <c r="R17" s="99"/>
      <c r="S17" s="99"/>
      <c r="T17" s="99">
        <f>P17+15</f>
        <v>204.5</v>
      </c>
      <c r="U17" s="99"/>
      <c r="V17" s="99"/>
      <c r="W17" s="99"/>
      <c r="X17" s="99">
        <f>T17+15</f>
        <v>219.5</v>
      </c>
      <c r="Y17" s="99"/>
      <c r="Z17" s="99"/>
      <c r="AA17" s="99"/>
      <c r="AB17" s="99">
        <f>X17+15</f>
        <v>234.5</v>
      </c>
      <c r="AC17" s="99"/>
      <c r="AD17" s="99"/>
      <c r="AE17" s="99"/>
      <c r="AG17" s="184"/>
      <c r="AH17" s="184"/>
      <c r="AI17" s="184"/>
      <c r="AJ17" s="184"/>
      <c r="AK17" s="184"/>
      <c r="AL17" s="94"/>
      <c r="AM17" s="94"/>
      <c r="AN17" s="94"/>
      <c r="AO17" s="95" t="s">
        <v>15</v>
      </c>
      <c r="AP17" s="95"/>
      <c r="AQ17" s="95"/>
      <c r="AR17" s="95"/>
      <c r="AS17" s="95"/>
      <c r="AT17" s="100" t="s">
        <v>184</v>
      </c>
      <c r="AU17" s="100"/>
      <c r="AV17" s="99">
        <f>AV23+15</f>
        <v>195.5</v>
      </c>
      <c r="AW17" s="99"/>
      <c r="AX17" s="99"/>
      <c r="AY17" s="99"/>
      <c r="AZ17" s="99">
        <f>AV17+15</f>
        <v>210.5</v>
      </c>
      <c r="BA17" s="99"/>
      <c r="BB17" s="99"/>
      <c r="BC17" s="99"/>
      <c r="BD17" s="99">
        <f>AZ17+15</f>
        <v>225.5</v>
      </c>
      <c r="BE17" s="99"/>
      <c r="BF17" s="99"/>
      <c r="BG17" s="99"/>
      <c r="BH17" s="99">
        <f>BD17+15</f>
        <v>240.5</v>
      </c>
      <c r="BI17" s="99"/>
      <c r="BJ17" s="99"/>
      <c r="BK17" s="99"/>
    </row>
    <row r="18" spans="1:63" ht="16.5" customHeight="1">
      <c r="A18" s="93"/>
      <c r="B18" s="93"/>
      <c r="C18" s="93"/>
      <c r="D18" s="93"/>
      <c r="E18" s="93"/>
      <c r="F18" s="353"/>
      <c r="G18" s="353"/>
      <c r="H18" s="353"/>
      <c r="I18" s="359"/>
      <c r="J18" s="359"/>
      <c r="K18" s="359"/>
      <c r="L18" s="359"/>
      <c r="M18" s="359"/>
      <c r="N18" s="100" t="s">
        <v>186</v>
      </c>
      <c r="O18" s="100"/>
      <c r="P18" s="99">
        <f>CEILING(P17*0.95,0.5)</f>
        <v>180.5</v>
      </c>
      <c r="Q18" s="99"/>
      <c r="R18" s="99"/>
      <c r="S18" s="99"/>
      <c r="T18" s="99">
        <f>CEILING(T17*0.95,0.5)</f>
        <v>194.5</v>
      </c>
      <c r="U18" s="99"/>
      <c r="V18" s="99"/>
      <c r="W18" s="99"/>
      <c r="X18" s="99">
        <f>CEILING(X17*0.95,0.5)</f>
        <v>209</v>
      </c>
      <c r="Y18" s="99"/>
      <c r="Z18" s="99"/>
      <c r="AA18" s="99"/>
      <c r="AB18" s="99">
        <f>CEILING(AB17*0.95,0.5)</f>
        <v>223</v>
      </c>
      <c r="AC18" s="99"/>
      <c r="AD18" s="99"/>
      <c r="AE18" s="99"/>
      <c r="AG18" s="184"/>
      <c r="AH18" s="184"/>
      <c r="AI18" s="184"/>
      <c r="AJ18" s="184"/>
      <c r="AK18" s="184"/>
      <c r="AL18" s="94"/>
      <c r="AM18" s="94"/>
      <c r="AN18" s="94"/>
      <c r="AO18" s="95"/>
      <c r="AP18" s="95"/>
      <c r="AQ18" s="95"/>
      <c r="AR18" s="95"/>
      <c r="AS18" s="95"/>
      <c r="AT18" s="100" t="s">
        <v>186</v>
      </c>
      <c r="AU18" s="100"/>
      <c r="AV18" s="99">
        <f>CEILING(AV17*0.95,0.5)</f>
        <v>186</v>
      </c>
      <c r="AW18" s="99"/>
      <c r="AX18" s="99"/>
      <c r="AY18" s="99"/>
      <c r="AZ18" s="99">
        <f>CEILING(AZ17*0.95,0.5)</f>
        <v>200</v>
      </c>
      <c r="BA18" s="99"/>
      <c r="BB18" s="99"/>
      <c r="BC18" s="99"/>
      <c r="BD18" s="99">
        <f>CEILING(BD17*0.95,0.5)</f>
        <v>214.5</v>
      </c>
      <c r="BE18" s="99"/>
      <c r="BF18" s="99"/>
      <c r="BG18" s="99"/>
      <c r="BH18" s="99">
        <f>CEILING(BH17*0.95,0.5)</f>
        <v>228.5</v>
      </c>
      <c r="BI18" s="99"/>
      <c r="BJ18" s="99"/>
      <c r="BK18" s="99"/>
    </row>
    <row r="19" spans="1:63" ht="16.5" customHeight="1">
      <c r="A19" s="93"/>
      <c r="B19" s="93"/>
      <c r="C19" s="93"/>
      <c r="D19" s="93"/>
      <c r="E19" s="93"/>
      <c r="F19" s="353"/>
      <c r="G19" s="353"/>
      <c r="H19" s="353"/>
      <c r="I19" s="359"/>
      <c r="J19" s="359"/>
      <c r="K19" s="359"/>
      <c r="L19" s="359"/>
      <c r="M19" s="359"/>
      <c r="N19" s="100" t="s">
        <v>96</v>
      </c>
      <c r="O19" s="100"/>
      <c r="P19" s="99">
        <f>P25+15</f>
        <v>172</v>
      </c>
      <c r="Q19" s="99"/>
      <c r="R19" s="99"/>
      <c r="S19" s="99"/>
      <c r="T19" s="99">
        <f>P19+15</f>
        <v>187</v>
      </c>
      <c r="U19" s="99"/>
      <c r="V19" s="99"/>
      <c r="W19" s="99"/>
      <c r="X19" s="99">
        <f>T19+15</f>
        <v>202</v>
      </c>
      <c r="Y19" s="99"/>
      <c r="Z19" s="99"/>
      <c r="AA19" s="99"/>
      <c r="AB19" s="99">
        <f>X19+15</f>
        <v>217</v>
      </c>
      <c r="AC19" s="99"/>
      <c r="AD19" s="99"/>
      <c r="AE19" s="99"/>
      <c r="AG19" s="184"/>
      <c r="AH19" s="184"/>
      <c r="AI19" s="184"/>
      <c r="AJ19" s="184"/>
      <c r="AK19" s="184"/>
      <c r="AL19" s="94"/>
      <c r="AM19" s="94"/>
      <c r="AN19" s="94"/>
      <c r="AO19" s="95"/>
      <c r="AP19" s="95"/>
      <c r="AQ19" s="95"/>
      <c r="AR19" s="95"/>
      <c r="AS19" s="95"/>
      <c r="AT19" s="100" t="s">
        <v>96</v>
      </c>
      <c r="AU19" s="100"/>
      <c r="AV19" s="99">
        <f>AV25+15</f>
        <v>175</v>
      </c>
      <c r="AW19" s="99"/>
      <c r="AX19" s="99"/>
      <c r="AY19" s="99"/>
      <c r="AZ19" s="99">
        <f>AV19+15</f>
        <v>190</v>
      </c>
      <c r="BA19" s="99"/>
      <c r="BB19" s="99"/>
      <c r="BC19" s="99"/>
      <c r="BD19" s="99">
        <f>AZ19+15</f>
        <v>205</v>
      </c>
      <c r="BE19" s="99"/>
      <c r="BF19" s="99"/>
      <c r="BG19" s="99"/>
      <c r="BH19" s="99">
        <f>BD19+15</f>
        <v>220</v>
      </c>
      <c r="BI19" s="99"/>
      <c r="BJ19" s="99"/>
      <c r="BK19" s="99"/>
    </row>
    <row r="20" spans="1:63" ht="16.5" customHeight="1">
      <c r="A20" s="93"/>
      <c r="B20" s="93"/>
      <c r="C20" s="93"/>
      <c r="D20" s="93"/>
      <c r="E20" s="93"/>
      <c r="F20" s="353"/>
      <c r="G20" s="353"/>
      <c r="H20" s="353"/>
      <c r="I20" s="97" t="s">
        <v>16</v>
      </c>
      <c r="J20" s="359"/>
      <c r="K20" s="359"/>
      <c r="L20" s="359"/>
      <c r="M20" s="359"/>
      <c r="N20" s="98" t="s">
        <v>184</v>
      </c>
      <c r="O20" s="98"/>
      <c r="P20" s="96">
        <f>CEILING(P17*0.35+5,0.5)</f>
        <v>71.5</v>
      </c>
      <c r="Q20" s="96"/>
      <c r="R20" s="96"/>
      <c r="S20" s="96"/>
      <c r="T20" s="96">
        <f>CEILING(T17*0.35+5,0.5)</f>
        <v>77</v>
      </c>
      <c r="U20" s="96"/>
      <c r="V20" s="96"/>
      <c r="W20" s="96"/>
      <c r="X20" s="96">
        <f>CEILING(X17*0.35+5,0.5)</f>
        <v>82</v>
      </c>
      <c r="Y20" s="96"/>
      <c r="Z20" s="96"/>
      <c r="AA20" s="96"/>
      <c r="AB20" s="96">
        <f>CEILING(AB17*0.35+5,0.5)</f>
        <v>87.5</v>
      </c>
      <c r="AC20" s="96"/>
      <c r="AD20" s="96"/>
      <c r="AE20" s="96"/>
      <c r="AG20" s="184"/>
      <c r="AH20" s="184"/>
      <c r="AI20" s="184"/>
      <c r="AJ20" s="184"/>
      <c r="AK20" s="184"/>
      <c r="AL20" s="94"/>
      <c r="AM20" s="94"/>
      <c r="AN20" s="94"/>
      <c r="AO20" s="97" t="s">
        <v>17</v>
      </c>
      <c r="AP20" s="97"/>
      <c r="AQ20" s="97"/>
      <c r="AR20" s="97"/>
      <c r="AS20" s="97"/>
      <c r="AT20" s="98" t="s">
        <v>184</v>
      </c>
      <c r="AU20" s="98"/>
      <c r="AV20" s="96">
        <f>CEILING(AV17*0.47+5,0.5)</f>
        <v>97</v>
      </c>
      <c r="AW20" s="96"/>
      <c r="AX20" s="96"/>
      <c r="AY20" s="96"/>
      <c r="AZ20" s="96">
        <f>CEILING(AZ17*0.47+5,0.5)</f>
        <v>104</v>
      </c>
      <c r="BA20" s="96"/>
      <c r="BB20" s="96"/>
      <c r="BC20" s="96"/>
      <c r="BD20" s="96">
        <f>CEILING(BD17*0.47+5,0.5)</f>
        <v>111</v>
      </c>
      <c r="BE20" s="96"/>
      <c r="BF20" s="96"/>
      <c r="BG20" s="96"/>
      <c r="BH20" s="96">
        <f>CEILING(BH17*0.47+5,0.5)</f>
        <v>118.5</v>
      </c>
      <c r="BI20" s="96"/>
      <c r="BJ20" s="96"/>
      <c r="BK20" s="96"/>
    </row>
    <row r="21" spans="1:63" ht="16.5" customHeight="1">
      <c r="A21" s="93"/>
      <c r="B21" s="93"/>
      <c r="C21" s="93"/>
      <c r="D21" s="93"/>
      <c r="E21" s="93"/>
      <c r="F21" s="353"/>
      <c r="G21" s="353"/>
      <c r="H21" s="353"/>
      <c r="I21" s="359"/>
      <c r="J21" s="359"/>
      <c r="K21" s="359"/>
      <c r="L21" s="359"/>
      <c r="M21" s="359"/>
      <c r="N21" s="98" t="s">
        <v>186</v>
      </c>
      <c r="O21" s="98"/>
      <c r="P21" s="96">
        <f>CEILING(P20*0.95,0.5)</f>
        <v>68</v>
      </c>
      <c r="Q21" s="96"/>
      <c r="R21" s="96"/>
      <c r="S21" s="96"/>
      <c r="T21" s="96">
        <f>CEILING(T20*0.95,0.5)</f>
        <v>73.5</v>
      </c>
      <c r="U21" s="96"/>
      <c r="V21" s="96"/>
      <c r="W21" s="96"/>
      <c r="X21" s="96">
        <f>CEILING(X20*0.95,0.5)</f>
        <v>78</v>
      </c>
      <c r="Y21" s="96"/>
      <c r="Z21" s="96"/>
      <c r="AA21" s="96"/>
      <c r="AB21" s="96">
        <f>CEILING(AB20*0.95,0.5)</f>
        <v>83.5</v>
      </c>
      <c r="AC21" s="96"/>
      <c r="AD21" s="96"/>
      <c r="AE21" s="96"/>
      <c r="AG21" s="184"/>
      <c r="AH21" s="184"/>
      <c r="AI21" s="184"/>
      <c r="AJ21" s="184"/>
      <c r="AK21" s="184"/>
      <c r="AL21" s="94"/>
      <c r="AM21" s="94"/>
      <c r="AN21" s="94"/>
      <c r="AO21" s="97"/>
      <c r="AP21" s="97"/>
      <c r="AQ21" s="97"/>
      <c r="AR21" s="97"/>
      <c r="AS21" s="97"/>
      <c r="AT21" s="98" t="s">
        <v>186</v>
      </c>
      <c r="AU21" s="98"/>
      <c r="AV21" s="96">
        <f>CEILING(AV20*0.95,0.5)</f>
        <v>92.5</v>
      </c>
      <c r="AW21" s="96"/>
      <c r="AX21" s="96"/>
      <c r="AY21" s="96"/>
      <c r="AZ21" s="96">
        <f>CEILING(AZ20*0.95,0.5)</f>
        <v>99</v>
      </c>
      <c r="BA21" s="96"/>
      <c r="BB21" s="96"/>
      <c r="BC21" s="96"/>
      <c r="BD21" s="96">
        <f>CEILING(BD20*0.95,0.5)</f>
        <v>105.5</v>
      </c>
      <c r="BE21" s="96"/>
      <c r="BF21" s="96"/>
      <c r="BG21" s="96"/>
      <c r="BH21" s="96">
        <f>CEILING(BH20*0.95,0.5)</f>
        <v>113</v>
      </c>
      <c r="BI21" s="96"/>
      <c r="BJ21" s="96"/>
      <c r="BK21" s="96"/>
    </row>
    <row r="22" spans="1:63" ht="16.5" customHeight="1">
      <c r="A22" s="93"/>
      <c r="B22" s="93"/>
      <c r="C22" s="93"/>
      <c r="D22" s="93"/>
      <c r="E22" s="93"/>
      <c r="F22" s="353"/>
      <c r="G22" s="353"/>
      <c r="H22" s="353"/>
      <c r="I22" s="359"/>
      <c r="J22" s="359"/>
      <c r="K22" s="359"/>
      <c r="L22" s="359"/>
      <c r="M22" s="359"/>
      <c r="N22" s="98" t="s">
        <v>96</v>
      </c>
      <c r="O22" s="98"/>
      <c r="P22" s="96">
        <f>CEILING(P19*0.35+5,0.5)</f>
        <v>65.5</v>
      </c>
      <c r="Q22" s="96"/>
      <c r="R22" s="96"/>
      <c r="S22" s="96"/>
      <c r="T22" s="96">
        <f>CEILING(T19*0.35+5,0.5)</f>
        <v>70.5</v>
      </c>
      <c r="U22" s="96"/>
      <c r="V22" s="96"/>
      <c r="W22" s="96"/>
      <c r="X22" s="96">
        <f>CEILING(X19*0.35+5,0.5)</f>
        <v>76</v>
      </c>
      <c r="Y22" s="96"/>
      <c r="Z22" s="96"/>
      <c r="AA22" s="96"/>
      <c r="AB22" s="96">
        <f>CEILING(AB19*0.35+5,0.5)</f>
        <v>81</v>
      </c>
      <c r="AC22" s="96"/>
      <c r="AD22" s="96"/>
      <c r="AE22" s="96"/>
      <c r="AG22" s="184"/>
      <c r="AH22" s="184"/>
      <c r="AI22" s="184"/>
      <c r="AJ22" s="184"/>
      <c r="AK22" s="184"/>
      <c r="AL22" s="94"/>
      <c r="AM22" s="94"/>
      <c r="AN22" s="94"/>
      <c r="AO22" s="97"/>
      <c r="AP22" s="97"/>
      <c r="AQ22" s="97"/>
      <c r="AR22" s="97"/>
      <c r="AS22" s="97"/>
      <c r="AT22" s="98" t="s">
        <v>96</v>
      </c>
      <c r="AU22" s="98"/>
      <c r="AV22" s="96">
        <f>CEILING(AV19*0.47+5,0.5)</f>
        <v>87.5</v>
      </c>
      <c r="AW22" s="96"/>
      <c r="AX22" s="96"/>
      <c r="AY22" s="96"/>
      <c r="AZ22" s="96">
        <f>CEILING(AZ19*0.47+5,0.5)</f>
        <v>94.5</v>
      </c>
      <c r="BA22" s="96"/>
      <c r="BB22" s="96"/>
      <c r="BC22" s="96"/>
      <c r="BD22" s="96">
        <f>CEILING(BD19*0.47+5,0.5)</f>
        <v>101.5</v>
      </c>
      <c r="BE22" s="96"/>
      <c r="BF22" s="96"/>
      <c r="BG22" s="96"/>
      <c r="BH22" s="96">
        <f>CEILING(BH19*0.47+5,0.5)</f>
        <v>108.5</v>
      </c>
      <c r="BI22" s="96"/>
      <c r="BJ22" s="96"/>
      <c r="BK22" s="96"/>
    </row>
    <row r="23" spans="1:63" ht="16.5" customHeight="1">
      <c r="A23" s="93"/>
      <c r="B23" s="93"/>
      <c r="C23" s="93"/>
      <c r="D23" s="93"/>
      <c r="E23" s="93"/>
      <c r="F23" s="353"/>
      <c r="G23" s="353"/>
      <c r="H23" s="353"/>
      <c r="I23" s="156" t="s">
        <v>18</v>
      </c>
      <c r="J23" s="359"/>
      <c r="K23" s="359"/>
      <c r="L23" s="359"/>
      <c r="M23" s="359"/>
      <c r="N23" s="100" t="s">
        <v>184</v>
      </c>
      <c r="O23" s="100"/>
      <c r="P23" s="101">
        <f>CEILING(134*1.3,0.5)</f>
        <v>174.5</v>
      </c>
      <c r="Q23" s="101"/>
      <c r="R23" s="101"/>
      <c r="S23" s="101"/>
      <c r="T23" s="99">
        <f>P23+10</f>
        <v>184.5</v>
      </c>
      <c r="U23" s="99"/>
      <c r="V23" s="99"/>
      <c r="W23" s="99"/>
      <c r="X23" s="99">
        <f>T23+10</f>
        <v>194.5</v>
      </c>
      <c r="Y23" s="99"/>
      <c r="Z23" s="99"/>
      <c r="AA23" s="99"/>
      <c r="AB23" s="99">
        <f>X23+10</f>
        <v>204.5</v>
      </c>
      <c r="AC23" s="99"/>
      <c r="AD23" s="99"/>
      <c r="AE23" s="99"/>
      <c r="AG23" s="184"/>
      <c r="AH23" s="184"/>
      <c r="AI23" s="184"/>
      <c r="AJ23" s="184"/>
      <c r="AK23" s="184"/>
      <c r="AL23" s="94"/>
      <c r="AM23" s="94"/>
      <c r="AN23" s="94"/>
      <c r="AO23" s="95" t="s">
        <v>18</v>
      </c>
      <c r="AP23" s="95"/>
      <c r="AQ23" s="95"/>
      <c r="AR23" s="95"/>
      <c r="AS23" s="95"/>
      <c r="AT23" s="100" t="s">
        <v>184</v>
      </c>
      <c r="AU23" s="100"/>
      <c r="AV23" s="101">
        <f>CEILING(138.5*1.3,0.5)</f>
        <v>180.5</v>
      </c>
      <c r="AW23" s="101"/>
      <c r="AX23" s="101"/>
      <c r="AY23" s="101"/>
      <c r="AZ23" s="99">
        <f>AV23+10</f>
        <v>190.5</v>
      </c>
      <c r="BA23" s="99"/>
      <c r="BB23" s="99"/>
      <c r="BC23" s="99"/>
      <c r="BD23" s="99">
        <f>AZ23+10</f>
        <v>200.5</v>
      </c>
      <c r="BE23" s="99"/>
      <c r="BF23" s="99"/>
      <c r="BG23" s="99"/>
      <c r="BH23" s="99">
        <f>BD23+10</f>
        <v>210.5</v>
      </c>
      <c r="BI23" s="99"/>
      <c r="BJ23" s="99"/>
      <c r="BK23" s="99"/>
    </row>
    <row r="24" spans="1:63" ht="16.5" customHeight="1">
      <c r="A24" s="93"/>
      <c r="B24" s="93"/>
      <c r="C24" s="93"/>
      <c r="D24" s="93"/>
      <c r="E24" s="93"/>
      <c r="F24" s="353"/>
      <c r="G24" s="353"/>
      <c r="H24" s="353"/>
      <c r="I24" s="359"/>
      <c r="J24" s="359"/>
      <c r="K24" s="359"/>
      <c r="L24" s="359"/>
      <c r="M24" s="359"/>
      <c r="N24" s="100" t="s">
        <v>186</v>
      </c>
      <c r="O24" s="100"/>
      <c r="P24" s="99">
        <f>CEILING(P23*0.95,0.5)</f>
        <v>166</v>
      </c>
      <c r="Q24" s="99"/>
      <c r="R24" s="99"/>
      <c r="S24" s="99"/>
      <c r="T24" s="99">
        <f>CEILING(T23*0.95,0.5)</f>
        <v>175.5</v>
      </c>
      <c r="U24" s="99"/>
      <c r="V24" s="99"/>
      <c r="W24" s="99"/>
      <c r="X24" s="99">
        <f>CEILING(X23*0.95,0.5)</f>
        <v>185</v>
      </c>
      <c r="Y24" s="99"/>
      <c r="Z24" s="99"/>
      <c r="AA24" s="99"/>
      <c r="AB24" s="99">
        <f>CEILING(AB23*0.95,0.5)</f>
        <v>194.5</v>
      </c>
      <c r="AC24" s="99"/>
      <c r="AD24" s="99"/>
      <c r="AE24" s="99"/>
      <c r="AG24" s="184"/>
      <c r="AH24" s="184"/>
      <c r="AI24" s="184"/>
      <c r="AJ24" s="184"/>
      <c r="AK24" s="184"/>
      <c r="AL24" s="94"/>
      <c r="AM24" s="94"/>
      <c r="AN24" s="94"/>
      <c r="AO24" s="95"/>
      <c r="AP24" s="95"/>
      <c r="AQ24" s="95"/>
      <c r="AR24" s="95"/>
      <c r="AS24" s="95"/>
      <c r="AT24" s="100" t="s">
        <v>186</v>
      </c>
      <c r="AU24" s="100"/>
      <c r="AV24" s="99">
        <f>CEILING(AV23*0.95,0.5)</f>
        <v>171.5</v>
      </c>
      <c r="AW24" s="99"/>
      <c r="AX24" s="99"/>
      <c r="AY24" s="99"/>
      <c r="AZ24" s="99">
        <f>CEILING(AZ23*0.95,0.5)</f>
        <v>181</v>
      </c>
      <c r="BA24" s="99"/>
      <c r="BB24" s="99"/>
      <c r="BC24" s="99"/>
      <c r="BD24" s="99">
        <f>CEILING(BD23*0.95,0.5)</f>
        <v>190.5</v>
      </c>
      <c r="BE24" s="99"/>
      <c r="BF24" s="99"/>
      <c r="BG24" s="99"/>
      <c r="BH24" s="99">
        <f>CEILING(BH23*0.95,0.5)</f>
        <v>200</v>
      </c>
      <c r="BI24" s="99"/>
      <c r="BJ24" s="99"/>
      <c r="BK24" s="99"/>
    </row>
    <row r="25" spans="1:63" ht="16.5" customHeight="1">
      <c r="A25" s="93"/>
      <c r="B25" s="93"/>
      <c r="C25" s="93"/>
      <c r="D25" s="93"/>
      <c r="E25" s="93"/>
      <c r="F25" s="353"/>
      <c r="G25" s="353"/>
      <c r="H25" s="353"/>
      <c r="I25" s="359"/>
      <c r="J25" s="359"/>
      <c r="K25" s="359"/>
      <c r="L25" s="359"/>
      <c r="M25" s="359"/>
      <c r="N25" s="100" t="s">
        <v>96</v>
      </c>
      <c r="O25" s="100"/>
      <c r="P25" s="101">
        <f>CEILING(120.5*1.3,0.5)</f>
        <v>157</v>
      </c>
      <c r="Q25" s="101"/>
      <c r="R25" s="101"/>
      <c r="S25" s="101"/>
      <c r="T25" s="99">
        <f>P25+10</f>
        <v>167</v>
      </c>
      <c r="U25" s="99"/>
      <c r="V25" s="99"/>
      <c r="W25" s="99"/>
      <c r="X25" s="99">
        <f>T25+10</f>
        <v>177</v>
      </c>
      <c r="Y25" s="99"/>
      <c r="Z25" s="99"/>
      <c r="AA25" s="99"/>
      <c r="AB25" s="99">
        <f>X25+10</f>
        <v>187</v>
      </c>
      <c r="AC25" s="99"/>
      <c r="AD25" s="99"/>
      <c r="AE25" s="99"/>
      <c r="AG25" s="184"/>
      <c r="AH25" s="184"/>
      <c r="AI25" s="184"/>
      <c r="AJ25" s="184"/>
      <c r="AK25" s="184"/>
      <c r="AL25" s="94"/>
      <c r="AM25" s="94"/>
      <c r="AN25" s="94"/>
      <c r="AO25" s="95"/>
      <c r="AP25" s="95"/>
      <c r="AQ25" s="95"/>
      <c r="AR25" s="95"/>
      <c r="AS25" s="95"/>
      <c r="AT25" s="100" t="s">
        <v>96</v>
      </c>
      <c r="AU25" s="100"/>
      <c r="AV25" s="101">
        <f>CEILING(123*1.3,0.5)</f>
        <v>160</v>
      </c>
      <c r="AW25" s="101"/>
      <c r="AX25" s="101"/>
      <c r="AY25" s="101"/>
      <c r="AZ25" s="99">
        <f>AV25+10</f>
        <v>170</v>
      </c>
      <c r="BA25" s="99"/>
      <c r="BB25" s="99"/>
      <c r="BC25" s="99"/>
      <c r="BD25" s="99">
        <f>AZ25+10</f>
        <v>180</v>
      </c>
      <c r="BE25" s="99"/>
      <c r="BF25" s="99"/>
      <c r="BG25" s="99"/>
      <c r="BH25" s="99">
        <f>BD25+10</f>
        <v>190</v>
      </c>
      <c r="BI25" s="99"/>
      <c r="BJ25" s="99"/>
      <c r="BK25" s="99"/>
    </row>
    <row r="26" spans="1:63" ht="16.5" customHeight="1">
      <c r="A26" s="93"/>
      <c r="B26" s="93"/>
      <c r="C26" s="93"/>
      <c r="D26" s="93"/>
      <c r="E26" s="93"/>
      <c r="F26" s="353"/>
      <c r="G26" s="353"/>
      <c r="H26" s="353"/>
      <c r="I26" s="97" t="s">
        <v>19</v>
      </c>
      <c r="J26" s="97"/>
      <c r="K26" s="97"/>
      <c r="L26" s="97"/>
      <c r="M26" s="97"/>
      <c r="N26" s="98" t="s">
        <v>184</v>
      </c>
      <c r="O26" s="98"/>
      <c r="P26" s="96">
        <f>CEILING(P23*0.35+5,0.5)</f>
        <v>66.5</v>
      </c>
      <c r="Q26" s="96"/>
      <c r="R26" s="96"/>
      <c r="S26" s="96"/>
      <c r="T26" s="96">
        <f>CEILING(T23*0.35+5,0.5)</f>
        <v>70</v>
      </c>
      <c r="U26" s="96"/>
      <c r="V26" s="96"/>
      <c r="W26" s="96"/>
      <c r="X26" s="96">
        <f>CEILING(X23*0.35+5,0.5)</f>
        <v>73.5</v>
      </c>
      <c r="Y26" s="96"/>
      <c r="Z26" s="96"/>
      <c r="AA26" s="96"/>
      <c r="AB26" s="96">
        <f>CEILING(AB23*0.35+5,0.5)</f>
        <v>77</v>
      </c>
      <c r="AC26" s="96"/>
      <c r="AD26" s="96"/>
      <c r="AE26" s="96"/>
      <c r="AG26" s="184"/>
      <c r="AH26" s="184"/>
      <c r="AI26" s="184"/>
      <c r="AJ26" s="184"/>
      <c r="AK26" s="184"/>
      <c r="AL26" s="94"/>
      <c r="AM26" s="94"/>
      <c r="AN26" s="94"/>
      <c r="AO26" s="97" t="s">
        <v>20</v>
      </c>
      <c r="AP26" s="97"/>
      <c r="AQ26" s="97"/>
      <c r="AR26" s="97"/>
      <c r="AS26" s="97"/>
      <c r="AT26" s="98" t="s">
        <v>184</v>
      </c>
      <c r="AU26" s="98"/>
      <c r="AV26" s="96">
        <f>CEILING(AV23*0.47+5,0.5)</f>
        <v>90</v>
      </c>
      <c r="AW26" s="96"/>
      <c r="AX26" s="96"/>
      <c r="AY26" s="96"/>
      <c r="AZ26" s="96">
        <f>CEILING(AZ23*0.47+5,0.5)</f>
        <v>95</v>
      </c>
      <c r="BA26" s="96"/>
      <c r="BB26" s="96"/>
      <c r="BC26" s="96"/>
      <c r="BD26" s="96">
        <f>CEILING(BD23*0.47+5,0.5)</f>
        <v>99.5</v>
      </c>
      <c r="BE26" s="96"/>
      <c r="BF26" s="96"/>
      <c r="BG26" s="96"/>
      <c r="BH26" s="96">
        <f>CEILING(BH23*0.47+5,0.5)</f>
        <v>104</v>
      </c>
      <c r="BI26" s="96"/>
      <c r="BJ26" s="96"/>
      <c r="BK26" s="96"/>
    </row>
    <row r="27" spans="1:63" ht="16.5" customHeight="1">
      <c r="A27" s="93"/>
      <c r="B27" s="93"/>
      <c r="C27" s="93"/>
      <c r="D27" s="93"/>
      <c r="E27" s="93"/>
      <c r="F27" s="353"/>
      <c r="G27" s="353"/>
      <c r="H27" s="353"/>
      <c r="I27" s="97"/>
      <c r="J27" s="97"/>
      <c r="K27" s="97"/>
      <c r="L27" s="97"/>
      <c r="M27" s="97"/>
      <c r="N27" s="98" t="s">
        <v>186</v>
      </c>
      <c r="O27" s="98"/>
      <c r="P27" s="96">
        <f>CEILING(P26*0.95,0.5)</f>
        <v>63.5</v>
      </c>
      <c r="Q27" s="96"/>
      <c r="R27" s="96"/>
      <c r="S27" s="96"/>
      <c r="T27" s="96">
        <f>CEILING(T26*0.95,0.5)</f>
        <v>66.5</v>
      </c>
      <c r="U27" s="96"/>
      <c r="V27" s="96"/>
      <c r="W27" s="96"/>
      <c r="X27" s="96">
        <f>CEILING(X26*0.95,0.5)</f>
        <v>70</v>
      </c>
      <c r="Y27" s="96"/>
      <c r="Z27" s="96"/>
      <c r="AA27" s="96"/>
      <c r="AB27" s="96">
        <f>CEILING(AB26*0.95,0.5)</f>
        <v>73.5</v>
      </c>
      <c r="AC27" s="96"/>
      <c r="AD27" s="96"/>
      <c r="AE27" s="96"/>
      <c r="AG27" s="184"/>
      <c r="AH27" s="184"/>
      <c r="AI27" s="184"/>
      <c r="AJ27" s="184"/>
      <c r="AK27" s="184"/>
      <c r="AL27" s="94"/>
      <c r="AM27" s="94"/>
      <c r="AN27" s="94"/>
      <c r="AO27" s="97"/>
      <c r="AP27" s="97"/>
      <c r="AQ27" s="97"/>
      <c r="AR27" s="97"/>
      <c r="AS27" s="97"/>
      <c r="AT27" s="98" t="s">
        <v>186</v>
      </c>
      <c r="AU27" s="98"/>
      <c r="AV27" s="96">
        <f>CEILING(AV26*0.95,0.5)</f>
        <v>85.5</v>
      </c>
      <c r="AW27" s="96"/>
      <c r="AX27" s="96"/>
      <c r="AY27" s="96"/>
      <c r="AZ27" s="96">
        <f>CEILING(AZ26*0.95,0.5)</f>
        <v>90.5</v>
      </c>
      <c r="BA27" s="96"/>
      <c r="BB27" s="96"/>
      <c r="BC27" s="96"/>
      <c r="BD27" s="96">
        <f>CEILING(BD26*0.95,0.5)</f>
        <v>95</v>
      </c>
      <c r="BE27" s="96"/>
      <c r="BF27" s="96"/>
      <c r="BG27" s="96"/>
      <c r="BH27" s="96">
        <f>CEILING(BH26*0.95,0.5)</f>
        <v>99</v>
      </c>
      <c r="BI27" s="96"/>
      <c r="BJ27" s="96"/>
      <c r="BK27" s="96"/>
    </row>
    <row r="28" spans="1:63" ht="16.5" customHeight="1">
      <c r="A28" s="93"/>
      <c r="B28" s="93"/>
      <c r="C28" s="93"/>
      <c r="D28" s="93"/>
      <c r="E28" s="93"/>
      <c r="F28" s="353"/>
      <c r="G28" s="353"/>
      <c r="H28" s="353"/>
      <c r="I28" s="97"/>
      <c r="J28" s="97"/>
      <c r="K28" s="97"/>
      <c r="L28" s="97"/>
      <c r="M28" s="97"/>
      <c r="N28" s="98" t="s">
        <v>96</v>
      </c>
      <c r="O28" s="98"/>
      <c r="P28" s="96">
        <f>CEILING(P25*0.35+5,0.5)</f>
        <v>60</v>
      </c>
      <c r="Q28" s="96"/>
      <c r="R28" s="96"/>
      <c r="S28" s="96"/>
      <c r="T28" s="96">
        <f>CEILING(T25*0.35+5,0.5)</f>
        <v>63.5</v>
      </c>
      <c r="U28" s="96"/>
      <c r="V28" s="96"/>
      <c r="W28" s="96"/>
      <c r="X28" s="96">
        <f>CEILING(X25*0.35+5,0.5)</f>
        <v>67</v>
      </c>
      <c r="Y28" s="96"/>
      <c r="Z28" s="96"/>
      <c r="AA28" s="96"/>
      <c r="AB28" s="96">
        <f>CEILING(AB25*0.35+5,0.5)</f>
        <v>70.5</v>
      </c>
      <c r="AC28" s="96"/>
      <c r="AD28" s="96"/>
      <c r="AE28" s="96"/>
      <c r="AG28" s="184"/>
      <c r="AH28" s="184"/>
      <c r="AI28" s="184"/>
      <c r="AJ28" s="184"/>
      <c r="AK28" s="184"/>
      <c r="AL28" s="94"/>
      <c r="AM28" s="94"/>
      <c r="AN28" s="94"/>
      <c r="AO28" s="97"/>
      <c r="AP28" s="97"/>
      <c r="AQ28" s="97"/>
      <c r="AR28" s="97"/>
      <c r="AS28" s="97"/>
      <c r="AT28" s="98" t="s">
        <v>96</v>
      </c>
      <c r="AU28" s="98"/>
      <c r="AV28" s="96">
        <f>CEILING(AV25*0.47+5,0.5)</f>
        <v>80.5</v>
      </c>
      <c r="AW28" s="96"/>
      <c r="AX28" s="96"/>
      <c r="AY28" s="96"/>
      <c r="AZ28" s="96">
        <f>CEILING(AZ25*0.47+5,0.5)</f>
        <v>85</v>
      </c>
      <c r="BA28" s="96"/>
      <c r="BB28" s="96"/>
      <c r="BC28" s="96"/>
      <c r="BD28" s="96">
        <f>CEILING(BD25*0.47+5,0.5)</f>
        <v>90</v>
      </c>
      <c r="BE28" s="96"/>
      <c r="BF28" s="96"/>
      <c r="BG28" s="96"/>
      <c r="BH28" s="96">
        <f>CEILING(BH25*0.47+5,0.5)</f>
        <v>94.5</v>
      </c>
      <c r="BI28" s="96"/>
      <c r="BJ28" s="96"/>
      <c r="BK28" s="96"/>
    </row>
    <row r="29" spans="1:63" ht="16.5" customHeight="1">
      <c r="A29" s="93"/>
      <c r="B29" s="93"/>
      <c r="C29" s="93"/>
      <c r="D29" s="93"/>
      <c r="E29" s="93"/>
      <c r="F29" s="353"/>
      <c r="G29" s="353"/>
      <c r="H29" s="353"/>
      <c r="I29" s="158" t="s">
        <v>21</v>
      </c>
      <c r="J29" s="333"/>
      <c r="K29" s="333"/>
      <c r="L29" s="333"/>
      <c r="M29" s="333"/>
      <c r="N29" s="84" t="s">
        <v>184</v>
      </c>
      <c r="O29" s="84"/>
      <c r="P29" s="83">
        <f>P23-4</f>
        <v>170.5</v>
      </c>
      <c r="Q29" s="83"/>
      <c r="R29" s="83"/>
      <c r="S29" s="83"/>
      <c r="T29" s="83">
        <f>P29+8</f>
        <v>178.5</v>
      </c>
      <c r="U29" s="83"/>
      <c r="V29" s="83"/>
      <c r="W29" s="83"/>
      <c r="X29" s="83">
        <f>T29+8</f>
        <v>186.5</v>
      </c>
      <c r="Y29" s="83"/>
      <c r="Z29" s="83"/>
      <c r="AA29" s="83"/>
      <c r="AB29" s="83">
        <f>X29+8</f>
        <v>194.5</v>
      </c>
      <c r="AC29" s="83"/>
      <c r="AD29" s="83"/>
      <c r="AE29" s="83"/>
      <c r="AG29" s="184"/>
      <c r="AH29" s="184"/>
      <c r="AI29" s="184"/>
      <c r="AJ29" s="184"/>
      <c r="AK29" s="184"/>
      <c r="AL29" s="94"/>
      <c r="AM29" s="94"/>
      <c r="AN29" s="94"/>
      <c r="AO29" s="82" t="s">
        <v>21</v>
      </c>
      <c r="AP29" s="82"/>
      <c r="AQ29" s="82"/>
      <c r="AR29" s="82"/>
      <c r="AS29" s="82"/>
      <c r="AT29" s="84" t="s">
        <v>184</v>
      </c>
      <c r="AU29" s="84"/>
      <c r="AV29" s="83">
        <f>AV23-4</f>
        <v>176.5</v>
      </c>
      <c r="AW29" s="83"/>
      <c r="AX29" s="83"/>
      <c r="AY29" s="83"/>
      <c r="AZ29" s="83">
        <f>AV29+8</f>
        <v>184.5</v>
      </c>
      <c r="BA29" s="83"/>
      <c r="BB29" s="83"/>
      <c r="BC29" s="83"/>
      <c r="BD29" s="83">
        <f>AZ29+8</f>
        <v>192.5</v>
      </c>
      <c r="BE29" s="83"/>
      <c r="BF29" s="83"/>
      <c r="BG29" s="83"/>
      <c r="BH29" s="83">
        <f>BD29+8</f>
        <v>200.5</v>
      </c>
      <c r="BI29" s="83"/>
      <c r="BJ29" s="83"/>
      <c r="BK29" s="83"/>
    </row>
    <row r="30" spans="1:63" ht="16.5" customHeight="1">
      <c r="A30" s="93"/>
      <c r="B30" s="93"/>
      <c r="C30" s="93"/>
      <c r="D30" s="93"/>
      <c r="E30" s="93"/>
      <c r="F30" s="353"/>
      <c r="G30" s="353"/>
      <c r="H30" s="353"/>
      <c r="I30" s="333"/>
      <c r="J30" s="333"/>
      <c r="K30" s="333"/>
      <c r="L30" s="333"/>
      <c r="M30" s="333"/>
      <c r="N30" s="84" t="s">
        <v>186</v>
      </c>
      <c r="O30" s="84"/>
      <c r="P30" s="83">
        <f>CEILING(P29*0.95,0.5)</f>
        <v>162</v>
      </c>
      <c r="Q30" s="83"/>
      <c r="R30" s="83"/>
      <c r="S30" s="83"/>
      <c r="T30" s="83">
        <f>CEILING(T29*0.95,0.5)</f>
        <v>170</v>
      </c>
      <c r="U30" s="83"/>
      <c r="V30" s="83"/>
      <c r="W30" s="83"/>
      <c r="X30" s="83">
        <f>CEILING(X29*0.95,0.5)</f>
        <v>177.5</v>
      </c>
      <c r="Y30" s="83"/>
      <c r="Z30" s="83"/>
      <c r="AA30" s="83"/>
      <c r="AB30" s="83">
        <f>CEILING(AB29*0.95,0.5)</f>
        <v>185</v>
      </c>
      <c r="AC30" s="83"/>
      <c r="AD30" s="83"/>
      <c r="AE30" s="83"/>
      <c r="AG30" s="184"/>
      <c r="AH30" s="184"/>
      <c r="AI30" s="184"/>
      <c r="AJ30" s="184"/>
      <c r="AK30" s="184"/>
      <c r="AL30" s="94"/>
      <c r="AM30" s="94"/>
      <c r="AN30" s="94"/>
      <c r="AO30" s="82"/>
      <c r="AP30" s="82"/>
      <c r="AQ30" s="82"/>
      <c r="AR30" s="82"/>
      <c r="AS30" s="82"/>
      <c r="AT30" s="84" t="s">
        <v>186</v>
      </c>
      <c r="AU30" s="84"/>
      <c r="AV30" s="83">
        <f>CEILING(AV29*0.95,0.5)</f>
        <v>168</v>
      </c>
      <c r="AW30" s="83"/>
      <c r="AX30" s="83"/>
      <c r="AY30" s="83"/>
      <c r="AZ30" s="83">
        <f>CEILING(AZ29*0.95,0.5)</f>
        <v>175.5</v>
      </c>
      <c r="BA30" s="83"/>
      <c r="BB30" s="83"/>
      <c r="BC30" s="83"/>
      <c r="BD30" s="83">
        <f>CEILING(BD29*0.95,0.5)</f>
        <v>183</v>
      </c>
      <c r="BE30" s="83"/>
      <c r="BF30" s="83"/>
      <c r="BG30" s="83"/>
      <c r="BH30" s="83">
        <f>CEILING(BH29*0.95,0.5)</f>
        <v>190.5</v>
      </c>
      <c r="BI30" s="83"/>
      <c r="BJ30" s="83"/>
      <c r="BK30" s="83"/>
    </row>
    <row r="31" spans="1:63" ht="16.5" customHeight="1">
      <c r="A31" s="93"/>
      <c r="B31" s="93"/>
      <c r="C31" s="93"/>
      <c r="D31" s="93"/>
      <c r="E31" s="93"/>
      <c r="F31" s="353"/>
      <c r="G31" s="353"/>
      <c r="H31" s="353"/>
      <c r="I31" s="333"/>
      <c r="J31" s="333"/>
      <c r="K31" s="333"/>
      <c r="L31" s="333"/>
      <c r="M31" s="333"/>
      <c r="N31" s="84" t="s">
        <v>96</v>
      </c>
      <c r="O31" s="84"/>
      <c r="P31" s="83">
        <f>P25-4</f>
        <v>153</v>
      </c>
      <c r="Q31" s="83"/>
      <c r="R31" s="83"/>
      <c r="S31" s="83"/>
      <c r="T31" s="83">
        <f>P31+8</f>
        <v>161</v>
      </c>
      <c r="U31" s="83"/>
      <c r="V31" s="83"/>
      <c r="W31" s="83"/>
      <c r="X31" s="83">
        <f>T31+8</f>
        <v>169</v>
      </c>
      <c r="Y31" s="83"/>
      <c r="Z31" s="83"/>
      <c r="AA31" s="83"/>
      <c r="AB31" s="83">
        <f>X31+8</f>
        <v>177</v>
      </c>
      <c r="AC31" s="83"/>
      <c r="AD31" s="83"/>
      <c r="AE31" s="83"/>
      <c r="AG31" s="184"/>
      <c r="AH31" s="184"/>
      <c r="AI31" s="184"/>
      <c r="AJ31" s="184"/>
      <c r="AK31" s="184"/>
      <c r="AL31" s="94"/>
      <c r="AM31" s="94"/>
      <c r="AN31" s="94"/>
      <c r="AO31" s="82"/>
      <c r="AP31" s="82"/>
      <c r="AQ31" s="82"/>
      <c r="AR31" s="82"/>
      <c r="AS31" s="82"/>
      <c r="AT31" s="84" t="s">
        <v>96</v>
      </c>
      <c r="AU31" s="84"/>
      <c r="AV31" s="83">
        <f>AV25-4</f>
        <v>156</v>
      </c>
      <c r="AW31" s="83"/>
      <c r="AX31" s="83"/>
      <c r="AY31" s="83"/>
      <c r="AZ31" s="83">
        <f>AV31+8</f>
        <v>164</v>
      </c>
      <c r="BA31" s="83"/>
      <c r="BB31" s="83"/>
      <c r="BC31" s="83"/>
      <c r="BD31" s="83">
        <f>AZ31+8</f>
        <v>172</v>
      </c>
      <c r="BE31" s="83"/>
      <c r="BF31" s="83"/>
      <c r="BG31" s="83"/>
      <c r="BH31" s="83">
        <f>BD31+8</f>
        <v>180</v>
      </c>
      <c r="BI31" s="83"/>
      <c r="BJ31" s="83"/>
      <c r="BK31" s="83"/>
    </row>
    <row r="32" spans="1:63" ht="16.5" customHeight="1">
      <c r="A32" s="93"/>
      <c r="B32" s="93"/>
      <c r="C32" s="93"/>
      <c r="D32" s="93"/>
      <c r="E32" s="93"/>
      <c r="F32" s="353"/>
      <c r="G32" s="353"/>
      <c r="H32" s="353"/>
      <c r="I32" s="80" t="s">
        <v>22</v>
      </c>
      <c r="J32" s="80"/>
      <c r="K32" s="80"/>
      <c r="L32" s="80"/>
      <c r="M32" s="80"/>
      <c r="N32" s="81" t="s">
        <v>184</v>
      </c>
      <c r="O32" s="81"/>
      <c r="P32" s="89">
        <f>CEILING(P29*0.35+5,0.5)</f>
        <v>65</v>
      </c>
      <c r="Q32" s="89"/>
      <c r="R32" s="89"/>
      <c r="S32" s="89"/>
      <c r="T32" s="89">
        <f>CEILING(T29*0.35+5,0.5)</f>
        <v>67.5</v>
      </c>
      <c r="U32" s="89"/>
      <c r="V32" s="89"/>
      <c r="W32" s="89"/>
      <c r="X32" s="89">
        <f>CEILING(X29*0.35+5,0.5)</f>
        <v>70.5</v>
      </c>
      <c r="Y32" s="89"/>
      <c r="Z32" s="89"/>
      <c r="AA32" s="89"/>
      <c r="AB32" s="89">
        <f>CEILING(AB29*0.35+5,0.5)</f>
        <v>73.5</v>
      </c>
      <c r="AC32" s="89"/>
      <c r="AD32" s="89"/>
      <c r="AE32" s="89"/>
      <c r="AG32" s="184"/>
      <c r="AH32" s="184"/>
      <c r="AI32" s="184"/>
      <c r="AJ32" s="184"/>
      <c r="AK32" s="184"/>
      <c r="AL32" s="94"/>
      <c r="AM32" s="94"/>
      <c r="AN32" s="94"/>
      <c r="AO32" s="80" t="s">
        <v>23</v>
      </c>
      <c r="AP32" s="80"/>
      <c r="AQ32" s="80"/>
      <c r="AR32" s="80"/>
      <c r="AS32" s="80"/>
      <c r="AT32" s="81" t="s">
        <v>184</v>
      </c>
      <c r="AU32" s="81"/>
      <c r="AV32" s="89">
        <f>CEILING(AV29*0.47+5,0.5)</f>
        <v>88</v>
      </c>
      <c r="AW32" s="89"/>
      <c r="AX32" s="89"/>
      <c r="AY32" s="89"/>
      <c r="AZ32" s="89">
        <f>CEILING(AZ29*0.47+5,0.5)</f>
        <v>92</v>
      </c>
      <c r="BA32" s="89"/>
      <c r="BB32" s="89"/>
      <c r="BC32" s="89"/>
      <c r="BD32" s="89">
        <f>CEILING(BD29*0.47+5,0.5)</f>
        <v>95.5</v>
      </c>
      <c r="BE32" s="89"/>
      <c r="BF32" s="89"/>
      <c r="BG32" s="89"/>
      <c r="BH32" s="89">
        <f>CEILING(BH29*0.47+5,0.5)</f>
        <v>99.5</v>
      </c>
      <c r="BI32" s="89"/>
      <c r="BJ32" s="89"/>
      <c r="BK32" s="89"/>
    </row>
    <row r="33" spans="1:63" ht="16.5" customHeight="1">
      <c r="A33" s="93"/>
      <c r="B33" s="93"/>
      <c r="C33" s="93"/>
      <c r="D33" s="93"/>
      <c r="E33" s="93"/>
      <c r="F33" s="353"/>
      <c r="G33" s="353"/>
      <c r="H33" s="353"/>
      <c r="I33" s="80"/>
      <c r="J33" s="80"/>
      <c r="K33" s="80"/>
      <c r="L33" s="80"/>
      <c r="M33" s="80"/>
      <c r="N33" s="81" t="s">
        <v>186</v>
      </c>
      <c r="O33" s="81"/>
      <c r="P33" s="89">
        <f>CEILING(P32*0.95,0.5)</f>
        <v>62</v>
      </c>
      <c r="Q33" s="89"/>
      <c r="R33" s="89"/>
      <c r="S33" s="89"/>
      <c r="T33" s="89">
        <f>CEILING(T32*0.95,0.5)</f>
        <v>64.5</v>
      </c>
      <c r="U33" s="89"/>
      <c r="V33" s="89"/>
      <c r="W33" s="89"/>
      <c r="X33" s="89">
        <f>CEILING(X32*0.95,0.5)</f>
        <v>67</v>
      </c>
      <c r="Y33" s="89"/>
      <c r="Z33" s="89"/>
      <c r="AA33" s="89"/>
      <c r="AB33" s="89">
        <f>CEILING(AB32*0.95,0.5)</f>
        <v>70</v>
      </c>
      <c r="AC33" s="89"/>
      <c r="AD33" s="89"/>
      <c r="AE33" s="89"/>
      <c r="AG33" s="184"/>
      <c r="AH33" s="184"/>
      <c r="AI33" s="184"/>
      <c r="AJ33" s="184"/>
      <c r="AK33" s="184"/>
      <c r="AL33" s="94"/>
      <c r="AM33" s="94"/>
      <c r="AN33" s="94"/>
      <c r="AO33" s="80"/>
      <c r="AP33" s="80"/>
      <c r="AQ33" s="80"/>
      <c r="AR33" s="80"/>
      <c r="AS33" s="80"/>
      <c r="AT33" s="81" t="s">
        <v>186</v>
      </c>
      <c r="AU33" s="81"/>
      <c r="AV33" s="89">
        <f>CEILING(AV32*0.95,0.5)</f>
        <v>84</v>
      </c>
      <c r="AW33" s="89"/>
      <c r="AX33" s="89"/>
      <c r="AY33" s="89"/>
      <c r="AZ33" s="89">
        <f>CEILING(AZ32*0.95,0.5)</f>
        <v>87.5</v>
      </c>
      <c r="BA33" s="89"/>
      <c r="BB33" s="89"/>
      <c r="BC33" s="89"/>
      <c r="BD33" s="89">
        <f>CEILING(BD32*0.95,0.5)</f>
        <v>91</v>
      </c>
      <c r="BE33" s="89"/>
      <c r="BF33" s="89"/>
      <c r="BG33" s="89"/>
      <c r="BH33" s="89">
        <f>CEILING(BH32*0.95,0.5)</f>
        <v>95</v>
      </c>
      <c r="BI33" s="89"/>
      <c r="BJ33" s="89"/>
      <c r="BK33" s="89"/>
    </row>
    <row r="34" spans="1:63" ht="16.5" customHeight="1">
      <c r="A34" s="93"/>
      <c r="B34" s="93"/>
      <c r="C34" s="93"/>
      <c r="D34" s="93"/>
      <c r="E34" s="93"/>
      <c r="F34" s="353"/>
      <c r="G34" s="353"/>
      <c r="H34" s="353"/>
      <c r="I34" s="80"/>
      <c r="J34" s="80"/>
      <c r="K34" s="80"/>
      <c r="L34" s="80"/>
      <c r="M34" s="80"/>
      <c r="N34" s="81" t="s">
        <v>96</v>
      </c>
      <c r="O34" s="81"/>
      <c r="P34" s="89">
        <f>CEILING(P31*0.35+5,0.5)</f>
        <v>59</v>
      </c>
      <c r="Q34" s="89"/>
      <c r="R34" s="89"/>
      <c r="S34" s="89"/>
      <c r="T34" s="89">
        <f>CEILING(T31*0.35+5,0.5)</f>
        <v>61.5</v>
      </c>
      <c r="U34" s="89"/>
      <c r="V34" s="89"/>
      <c r="W34" s="89"/>
      <c r="X34" s="89">
        <f>CEILING(X31*0.35+5,0.5)</f>
        <v>64.5</v>
      </c>
      <c r="Y34" s="89"/>
      <c r="Z34" s="89"/>
      <c r="AA34" s="89"/>
      <c r="AB34" s="89">
        <f>CEILING(AB31*0.35+5,0.5)</f>
        <v>67</v>
      </c>
      <c r="AC34" s="89"/>
      <c r="AD34" s="89"/>
      <c r="AE34" s="89"/>
      <c r="AG34" s="184"/>
      <c r="AH34" s="184"/>
      <c r="AI34" s="184"/>
      <c r="AJ34" s="184"/>
      <c r="AK34" s="184"/>
      <c r="AL34" s="94"/>
      <c r="AM34" s="94"/>
      <c r="AN34" s="94"/>
      <c r="AO34" s="80"/>
      <c r="AP34" s="80"/>
      <c r="AQ34" s="80"/>
      <c r="AR34" s="80"/>
      <c r="AS34" s="80"/>
      <c r="AT34" s="81" t="s">
        <v>96</v>
      </c>
      <c r="AU34" s="81"/>
      <c r="AV34" s="89">
        <f>CEILING(AV31*0.47+5,0.5)</f>
        <v>78.5</v>
      </c>
      <c r="AW34" s="89"/>
      <c r="AX34" s="89"/>
      <c r="AY34" s="89"/>
      <c r="AZ34" s="89">
        <f>CEILING(AZ31*0.47+5,0.5)</f>
        <v>82.5</v>
      </c>
      <c r="BA34" s="89"/>
      <c r="BB34" s="89"/>
      <c r="BC34" s="89"/>
      <c r="BD34" s="89">
        <f>CEILING(BD31*0.47+5,0.5)</f>
        <v>86</v>
      </c>
      <c r="BE34" s="89"/>
      <c r="BF34" s="89"/>
      <c r="BG34" s="89"/>
      <c r="BH34" s="89">
        <f>CEILING(BH31*0.47+5,0.5)</f>
        <v>90</v>
      </c>
      <c r="BI34" s="89"/>
      <c r="BJ34" s="89"/>
      <c r="BK34" s="89"/>
    </row>
    <row r="35" spans="1:63" ht="16.5" customHeight="1">
      <c r="A35" s="9" t="s">
        <v>60</v>
      </c>
      <c r="B35" s="9"/>
      <c r="C35" s="9"/>
    </row>
    <row r="36" spans="1:63" ht="16.5" customHeight="1">
      <c r="A36" s="9" t="s">
        <v>25</v>
      </c>
      <c r="B36" s="9"/>
      <c r="C36" s="9"/>
      <c r="AG36" s="3"/>
      <c r="AH36" s="3"/>
      <c r="AI36" s="3"/>
    </row>
    <row r="37" spans="1:63" ht="16.5" customHeight="1">
      <c r="A37" s="9" t="s">
        <v>26</v>
      </c>
      <c r="B37" s="9"/>
      <c r="C37" s="9"/>
      <c r="AG37" s="3"/>
      <c r="AH37" s="3"/>
      <c r="AI37" s="3"/>
    </row>
    <row r="38" spans="1:63" ht="16.5" customHeight="1" thickBot="1">
      <c r="AG38" s="3"/>
      <c r="AH38" s="3"/>
      <c r="AI38" s="3"/>
    </row>
    <row r="39" spans="1:63" ht="16.5" customHeight="1" thickTop="1">
      <c r="A39" s="90" t="s">
        <v>27</v>
      </c>
      <c r="B39" s="91"/>
      <c r="C39" s="91"/>
      <c r="D39" s="91"/>
      <c r="E39" s="91"/>
      <c r="F39" s="91"/>
      <c r="G39" s="91"/>
      <c r="H39" s="91"/>
      <c r="I39" s="91"/>
      <c r="J39" s="91"/>
      <c r="K39" s="91"/>
      <c r="L39" s="91"/>
      <c r="M39" s="91"/>
      <c r="N39" s="91"/>
      <c r="O39" s="91"/>
      <c r="P39" s="91"/>
      <c r="Q39" s="91"/>
      <c r="R39" s="91"/>
      <c r="S39" s="91"/>
      <c r="T39" s="92"/>
      <c r="AG39" s="3"/>
      <c r="AH39" s="3"/>
      <c r="AI39" s="3"/>
      <c r="AJ39" s="3"/>
      <c r="AK39" s="3"/>
      <c r="AL39" s="3"/>
      <c r="AM39" s="3"/>
      <c r="AN39" s="3"/>
      <c r="AO39" s="3"/>
      <c r="AP39" s="3"/>
      <c r="AQ39" s="3"/>
      <c r="AR39" s="3"/>
      <c r="AS39" s="3"/>
      <c r="AT39" s="3"/>
      <c r="AU39" s="3"/>
      <c r="AV39" s="3"/>
      <c r="AW39" s="3"/>
      <c r="AX39" s="3"/>
      <c r="AY39" s="11"/>
      <c r="AZ39" s="11"/>
      <c r="BA39" s="11"/>
      <c r="BB39" s="3"/>
      <c r="BC39" s="3"/>
      <c r="BD39" s="3"/>
      <c r="BE39" s="3"/>
      <c r="BF39" s="3"/>
      <c r="BG39" s="3"/>
      <c r="BH39" s="3"/>
      <c r="BI39" s="3"/>
      <c r="BJ39" s="3"/>
      <c r="BK39" s="3"/>
    </row>
    <row r="40" spans="1:63" ht="16.5" customHeight="1">
      <c r="A40" s="186" t="s">
        <v>28</v>
      </c>
      <c r="B40" s="187"/>
      <c r="C40" s="187"/>
      <c r="D40" s="187"/>
      <c r="E40" s="187"/>
      <c r="F40" s="187"/>
      <c r="G40" s="187"/>
      <c r="H40" s="188"/>
      <c r="I40" s="187" t="s">
        <v>29</v>
      </c>
      <c r="J40" s="187"/>
      <c r="K40" s="187"/>
      <c r="L40" s="187"/>
      <c r="M40" s="187"/>
      <c r="N40" s="187"/>
      <c r="O40" s="187"/>
      <c r="P40" s="187"/>
      <c r="Q40" s="187"/>
      <c r="R40" s="187"/>
      <c r="S40" s="187"/>
      <c r="T40" s="189"/>
      <c r="AI40" s="3"/>
      <c r="AJ40" s="3"/>
      <c r="AK40" s="3"/>
      <c r="AL40" s="3"/>
      <c r="AM40" s="3"/>
      <c r="AN40" s="3"/>
      <c r="AO40" s="3"/>
      <c r="AP40" s="3"/>
      <c r="AQ40" s="3"/>
    </row>
    <row r="41" spans="1:63" ht="16.5" customHeight="1" thickBot="1">
      <c r="A41" s="85" t="s">
        <v>30</v>
      </c>
      <c r="B41" s="86"/>
      <c r="C41" s="86"/>
      <c r="D41" s="86"/>
      <c r="E41" s="86"/>
      <c r="F41" s="86"/>
      <c r="G41" s="86"/>
      <c r="H41" s="87"/>
      <c r="I41" s="86" t="s">
        <v>31</v>
      </c>
      <c r="J41" s="86"/>
      <c r="K41" s="86"/>
      <c r="L41" s="86"/>
      <c r="M41" s="86"/>
      <c r="N41" s="86"/>
      <c r="O41" s="86"/>
      <c r="P41" s="86"/>
      <c r="Q41" s="86"/>
      <c r="R41" s="86"/>
      <c r="S41" s="86"/>
      <c r="T41" s="88"/>
      <c r="AL41" s="3"/>
      <c r="AM41" s="3"/>
      <c r="AN41" s="3"/>
      <c r="AO41" s="3"/>
      <c r="AP41" s="3"/>
      <c r="AQ41" s="3"/>
    </row>
    <row r="42" spans="1:63" ht="16.5" customHeight="1" thickTop="1">
      <c r="AG42" s="3"/>
      <c r="AH42" s="3"/>
      <c r="AI42" s="3"/>
      <c r="AJ42" s="3"/>
      <c r="AK42" s="3"/>
    </row>
    <row r="43" spans="1:63" ht="16.5" customHeight="1"/>
    <row r="44" spans="1:63" ht="16.5" customHeight="1">
      <c r="AG44" s="44"/>
      <c r="AH44" s="44"/>
      <c r="AI44" s="44"/>
      <c r="AJ44" s="56"/>
      <c r="AK44" s="5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10"/>
    </row>
    <row r="45" spans="1:63" ht="16.5" customHeight="1">
      <c r="AG45" s="44"/>
      <c r="AH45" s="44"/>
      <c r="AI45" s="44"/>
      <c r="AJ45" s="56"/>
      <c r="AK45" s="5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10"/>
    </row>
    <row r="46" spans="1:63" ht="16.5" customHeight="1">
      <c r="AG46" s="9"/>
      <c r="AK46" s="9"/>
      <c r="BK46" s="10"/>
    </row>
    <row r="47" spans="1:63" ht="16.5" customHeight="1">
      <c r="AG47" s="46"/>
      <c r="AH47" s="46"/>
      <c r="AI47" s="46"/>
      <c r="AJ47" s="46"/>
      <c r="AK47" s="46"/>
      <c r="AL47" s="55"/>
      <c r="AM47" s="55"/>
      <c r="AN47" s="55"/>
      <c r="AO47" s="3"/>
      <c r="AP47" s="3"/>
      <c r="AQ47" s="10"/>
      <c r="AR47" s="10"/>
      <c r="AS47" s="10"/>
      <c r="AT47" s="10"/>
      <c r="AU47" s="10"/>
      <c r="AV47" s="10"/>
      <c r="AW47" s="10"/>
      <c r="AX47" s="10"/>
      <c r="AY47" s="10"/>
      <c r="AZ47" s="10"/>
      <c r="BA47" s="10"/>
      <c r="BB47" s="10"/>
      <c r="BC47" s="10"/>
      <c r="BD47" s="10"/>
      <c r="BE47" s="10"/>
    </row>
    <row r="48" spans="1:63" ht="16.5" customHeight="1">
      <c r="AG48" s="46"/>
      <c r="AH48" s="46"/>
      <c r="AI48" s="46"/>
      <c r="AJ48" s="46"/>
      <c r="AK48" s="46"/>
      <c r="AL48" s="55"/>
      <c r="AM48" s="55"/>
      <c r="AN48" s="55"/>
      <c r="AO48" s="3"/>
      <c r="AP48" s="3"/>
      <c r="AQ48" s="10"/>
      <c r="AR48" s="10"/>
      <c r="AS48" s="10"/>
      <c r="AT48" s="10"/>
      <c r="AU48" s="10"/>
      <c r="AV48" s="10"/>
      <c r="AW48" s="10"/>
      <c r="AX48" s="10"/>
      <c r="AY48" s="10"/>
      <c r="AZ48" s="10"/>
      <c r="BA48" s="10"/>
      <c r="BB48" s="10"/>
      <c r="BC48" s="10"/>
      <c r="BD48" s="10"/>
      <c r="BE48" s="10"/>
    </row>
    <row r="49" spans="1:65" ht="16.5" customHeight="1"/>
    <row r="50" spans="1:65" ht="16.5" customHeight="1">
      <c r="BM50" s="46"/>
    </row>
    <row r="51" spans="1:65" ht="16.5" customHeight="1"/>
    <row r="52" spans="1:65" ht="16.5" customHeight="1"/>
    <row r="53" spans="1:65" ht="16.5" customHeight="1"/>
    <row r="54" spans="1:65" ht="16.5" customHeight="1">
      <c r="A54" s="56"/>
      <c r="B54" s="56"/>
      <c r="C54" s="56"/>
      <c r="D54" s="56"/>
      <c r="E54" s="56"/>
      <c r="F54" s="27"/>
      <c r="G54" s="27"/>
      <c r="H54" s="27"/>
      <c r="I54" s="28"/>
      <c r="J54" s="28"/>
      <c r="K54" s="28"/>
      <c r="L54" s="28"/>
      <c r="M54" s="28"/>
      <c r="N54" s="22"/>
      <c r="O54" s="22"/>
      <c r="P54" s="29"/>
      <c r="Q54" s="29"/>
      <c r="R54" s="29"/>
      <c r="S54" s="29"/>
      <c r="T54" s="29"/>
      <c r="U54" s="29"/>
      <c r="V54" s="29"/>
      <c r="W54" s="29"/>
      <c r="X54" s="29"/>
      <c r="Y54" s="29"/>
      <c r="Z54" s="29"/>
      <c r="AA54" s="29"/>
      <c r="AB54" s="29"/>
      <c r="AC54" s="29"/>
      <c r="AD54" s="29"/>
      <c r="AE54" s="29"/>
    </row>
    <row r="55" spans="1:65" ht="16.5" customHeight="1">
      <c r="A55" s="56"/>
      <c r="B55" s="56"/>
      <c r="C55" s="56"/>
      <c r="D55" s="56"/>
      <c r="E55" s="56"/>
      <c r="F55" s="27"/>
      <c r="G55" s="27"/>
      <c r="H55" s="27"/>
      <c r="I55" s="28"/>
      <c r="J55" s="28"/>
      <c r="K55" s="28"/>
      <c r="L55" s="28"/>
      <c r="M55" s="28"/>
      <c r="N55" s="22"/>
      <c r="O55" s="22"/>
      <c r="P55" s="29"/>
      <c r="Q55" s="29"/>
      <c r="R55" s="29"/>
      <c r="S55" s="29"/>
      <c r="T55" s="29"/>
      <c r="U55" s="29"/>
      <c r="V55" s="29"/>
      <c r="W55" s="29"/>
      <c r="X55" s="29"/>
      <c r="Y55" s="29"/>
      <c r="Z55" s="29"/>
      <c r="AA55" s="29"/>
      <c r="AB55" s="29"/>
      <c r="AC55" s="29"/>
      <c r="AD55" s="29"/>
      <c r="AE55" s="29"/>
    </row>
    <row r="56" spans="1:65" ht="16.5" customHeight="1">
      <c r="A56" s="56"/>
      <c r="B56" s="56"/>
      <c r="C56" s="56"/>
      <c r="D56" s="56"/>
      <c r="E56" s="56"/>
      <c r="F56" s="27"/>
      <c r="G56" s="27"/>
      <c r="H56" s="27"/>
      <c r="I56" s="28"/>
      <c r="J56" s="28"/>
      <c r="K56" s="28"/>
      <c r="L56" s="28"/>
      <c r="M56" s="28"/>
      <c r="N56" s="22"/>
      <c r="O56" s="22"/>
      <c r="P56" s="29"/>
      <c r="Q56" s="29"/>
      <c r="R56" s="29"/>
      <c r="S56" s="29"/>
      <c r="T56" s="29"/>
      <c r="U56" s="29"/>
      <c r="V56" s="29"/>
      <c r="W56" s="29"/>
      <c r="X56" s="29"/>
      <c r="Y56" s="29"/>
      <c r="Z56" s="29"/>
      <c r="AA56" s="29"/>
      <c r="AB56" s="29"/>
      <c r="AC56" s="29"/>
      <c r="AD56" s="29"/>
      <c r="AE56" s="29"/>
    </row>
    <row r="57" spans="1:65" ht="16.5" customHeight="1">
      <c r="A57" s="56"/>
      <c r="B57" s="56"/>
      <c r="C57" s="56"/>
      <c r="D57" s="56"/>
      <c r="E57" s="56"/>
      <c r="F57" s="27"/>
      <c r="G57" s="27"/>
      <c r="H57" s="27"/>
      <c r="I57" s="28"/>
      <c r="J57" s="28"/>
      <c r="K57" s="28"/>
      <c r="L57" s="28"/>
      <c r="M57" s="28"/>
      <c r="N57" s="22"/>
      <c r="O57" s="22"/>
      <c r="P57" s="29"/>
      <c r="Q57" s="29"/>
      <c r="R57" s="29"/>
      <c r="S57" s="29"/>
      <c r="T57" s="29"/>
      <c r="U57" s="29"/>
      <c r="V57" s="29"/>
      <c r="W57" s="29"/>
      <c r="X57" s="29"/>
      <c r="Y57" s="29"/>
      <c r="Z57" s="29"/>
      <c r="AA57" s="29"/>
      <c r="AB57" s="29"/>
      <c r="AC57" s="29"/>
      <c r="AD57" s="29"/>
      <c r="AE57" s="29"/>
    </row>
    <row r="58" spans="1:65" ht="16.5" customHeight="1">
      <c r="A58" s="98" t="s">
        <v>3</v>
      </c>
      <c r="B58" s="98"/>
      <c r="C58" s="98"/>
      <c r="D58" s="98"/>
      <c r="E58" s="98"/>
      <c r="F58" s="155" t="s">
        <v>4</v>
      </c>
      <c r="G58" s="155"/>
      <c r="H58" s="155"/>
      <c r="I58" s="98" t="s">
        <v>5</v>
      </c>
      <c r="J58" s="98"/>
      <c r="K58" s="98"/>
      <c r="L58" s="98"/>
      <c r="M58" s="98"/>
      <c r="N58" s="98"/>
      <c r="O58" s="98"/>
      <c r="P58" s="98" t="s">
        <v>6</v>
      </c>
      <c r="Q58" s="98"/>
      <c r="R58" s="98"/>
      <c r="S58" s="98"/>
      <c r="T58" s="98" t="s">
        <v>7</v>
      </c>
      <c r="U58" s="98"/>
      <c r="V58" s="98"/>
      <c r="W58" s="98"/>
      <c r="X58" s="98" t="s">
        <v>8</v>
      </c>
      <c r="Y58" s="98"/>
      <c r="Z58" s="98"/>
      <c r="AA58" s="98"/>
      <c r="AB58" s="98" t="s">
        <v>52</v>
      </c>
      <c r="AC58" s="98"/>
      <c r="AD58" s="98"/>
      <c r="AE58" s="98"/>
    </row>
    <row r="59" spans="1:65" ht="16.5" customHeight="1">
      <c r="A59" s="184" t="s">
        <v>215</v>
      </c>
      <c r="B59" s="184"/>
      <c r="C59" s="184"/>
      <c r="D59" s="184"/>
      <c r="E59" s="184"/>
      <c r="F59" s="353">
        <v>10</v>
      </c>
      <c r="G59" s="353"/>
      <c r="H59" s="353"/>
      <c r="I59" s="95" t="s">
        <v>9</v>
      </c>
      <c r="J59" s="95"/>
      <c r="K59" s="95"/>
      <c r="L59" s="95"/>
      <c r="M59" s="95"/>
      <c r="N59" s="100" t="s">
        <v>184</v>
      </c>
      <c r="O59" s="100"/>
      <c r="P59" s="99">
        <f>P71+25</f>
        <v>227.5</v>
      </c>
      <c r="Q59" s="99"/>
      <c r="R59" s="99"/>
      <c r="S59" s="99"/>
      <c r="T59" s="99">
        <f>P59+30</f>
        <v>257.5</v>
      </c>
      <c r="U59" s="99"/>
      <c r="V59" s="99"/>
      <c r="W59" s="99"/>
      <c r="X59" s="99">
        <f>T59+30</f>
        <v>287.5</v>
      </c>
      <c r="Y59" s="99"/>
      <c r="Z59" s="99"/>
      <c r="AA59" s="99"/>
      <c r="AB59" s="99">
        <f>X59+30</f>
        <v>317.5</v>
      </c>
      <c r="AC59" s="99"/>
      <c r="AD59" s="99"/>
      <c r="AE59" s="99"/>
    </row>
    <row r="60" spans="1:65" ht="16.5" customHeight="1">
      <c r="A60" s="184"/>
      <c r="B60" s="184"/>
      <c r="C60" s="184"/>
      <c r="D60" s="184"/>
      <c r="E60" s="184"/>
      <c r="F60" s="353"/>
      <c r="G60" s="353"/>
      <c r="H60" s="353"/>
      <c r="I60" s="95"/>
      <c r="J60" s="95"/>
      <c r="K60" s="95"/>
      <c r="L60" s="95"/>
      <c r="M60" s="95"/>
      <c r="N60" s="100" t="s">
        <v>186</v>
      </c>
      <c r="O60" s="100"/>
      <c r="P60" s="99">
        <f>CEILING(P59*0.95,0.5)</f>
        <v>216.5</v>
      </c>
      <c r="Q60" s="99"/>
      <c r="R60" s="99"/>
      <c r="S60" s="99"/>
      <c r="T60" s="99">
        <f>CEILING(T59*0.95,0.5)</f>
        <v>245</v>
      </c>
      <c r="U60" s="99"/>
      <c r="V60" s="99"/>
      <c r="W60" s="99"/>
      <c r="X60" s="99">
        <f>CEILING(X59*0.95,0.5)</f>
        <v>273.5</v>
      </c>
      <c r="Y60" s="99"/>
      <c r="Z60" s="99"/>
      <c r="AA60" s="99"/>
      <c r="AB60" s="99">
        <f>CEILING(AB59*0.95,0.5)</f>
        <v>302</v>
      </c>
      <c r="AC60" s="99"/>
      <c r="AD60" s="99"/>
      <c r="AE60" s="99"/>
    </row>
    <row r="61" spans="1:65" ht="16.5" customHeight="1">
      <c r="A61" s="184"/>
      <c r="B61" s="184"/>
      <c r="C61" s="184"/>
      <c r="D61" s="184"/>
      <c r="E61" s="184"/>
      <c r="F61" s="353"/>
      <c r="G61" s="353"/>
      <c r="H61" s="353"/>
      <c r="I61" s="95"/>
      <c r="J61" s="95"/>
      <c r="K61" s="95"/>
      <c r="L61" s="95"/>
      <c r="M61" s="95"/>
      <c r="N61" s="100" t="s">
        <v>96</v>
      </c>
      <c r="O61" s="100"/>
      <c r="P61" s="99">
        <f>P73+25</f>
        <v>204</v>
      </c>
      <c r="Q61" s="99"/>
      <c r="R61" s="99"/>
      <c r="S61" s="99"/>
      <c r="T61" s="99">
        <f>P61+30</f>
        <v>234</v>
      </c>
      <c r="U61" s="99"/>
      <c r="V61" s="99"/>
      <c r="W61" s="99"/>
      <c r="X61" s="99">
        <f>T61+30</f>
        <v>264</v>
      </c>
      <c r="Y61" s="99"/>
      <c r="Z61" s="99"/>
      <c r="AA61" s="99"/>
      <c r="AB61" s="99">
        <f>X61+30</f>
        <v>294</v>
      </c>
      <c r="AC61" s="99"/>
      <c r="AD61" s="99"/>
      <c r="AE61" s="99"/>
    </row>
    <row r="62" spans="1:65" ht="16.5" customHeight="1">
      <c r="A62" s="184"/>
      <c r="B62" s="184"/>
      <c r="C62" s="184"/>
      <c r="D62" s="184"/>
      <c r="E62" s="184"/>
      <c r="F62" s="353"/>
      <c r="G62" s="353"/>
      <c r="H62" s="353"/>
      <c r="I62" s="97" t="s">
        <v>70</v>
      </c>
      <c r="J62" s="97"/>
      <c r="K62" s="97"/>
      <c r="L62" s="97"/>
      <c r="M62" s="97"/>
      <c r="N62" s="98" t="s">
        <v>184</v>
      </c>
      <c r="O62" s="98"/>
      <c r="P62" s="96">
        <f>CEILING(P59*0.57+5,0.5)</f>
        <v>135</v>
      </c>
      <c r="Q62" s="96"/>
      <c r="R62" s="96"/>
      <c r="S62" s="96"/>
      <c r="T62" s="96">
        <f>CEILING(T59*0.57+5,0.5)</f>
        <v>152</v>
      </c>
      <c r="U62" s="96"/>
      <c r="V62" s="96"/>
      <c r="W62" s="96"/>
      <c r="X62" s="96">
        <f>CEILING(X59*0.57+5,0.5)</f>
        <v>169</v>
      </c>
      <c r="Y62" s="96"/>
      <c r="Z62" s="96"/>
      <c r="AA62" s="96"/>
      <c r="AB62" s="96">
        <f>CEILING(AB59*0.57+5,0.5)</f>
        <v>186</v>
      </c>
      <c r="AC62" s="96"/>
      <c r="AD62" s="96"/>
      <c r="AE62" s="96"/>
    </row>
    <row r="63" spans="1:65" ht="16.5" customHeight="1">
      <c r="A63" s="184"/>
      <c r="B63" s="184"/>
      <c r="C63" s="184"/>
      <c r="D63" s="184"/>
      <c r="E63" s="184"/>
      <c r="F63" s="353"/>
      <c r="G63" s="353"/>
      <c r="H63" s="353"/>
      <c r="I63" s="97"/>
      <c r="J63" s="97"/>
      <c r="K63" s="97"/>
      <c r="L63" s="97"/>
      <c r="M63" s="97"/>
      <c r="N63" s="98" t="s">
        <v>186</v>
      </c>
      <c r="O63" s="98"/>
      <c r="P63" s="96">
        <f>CEILING(P62*0.95,0.5)</f>
        <v>128.5</v>
      </c>
      <c r="Q63" s="96"/>
      <c r="R63" s="96"/>
      <c r="S63" s="96"/>
      <c r="T63" s="96">
        <f>CEILING(T62*0.95,0.5)</f>
        <v>144.5</v>
      </c>
      <c r="U63" s="96"/>
      <c r="V63" s="96"/>
      <c r="W63" s="96"/>
      <c r="X63" s="96">
        <f>CEILING(X62*0.95,0.5)</f>
        <v>161</v>
      </c>
      <c r="Y63" s="96"/>
      <c r="Z63" s="96"/>
      <c r="AA63" s="96"/>
      <c r="AB63" s="96">
        <f>CEILING(AB62*0.95,0.5)</f>
        <v>177</v>
      </c>
      <c r="AC63" s="96"/>
      <c r="AD63" s="96"/>
      <c r="AE63" s="96"/>
    </row>
    <row r="64" spans="1:65" ht="16.5" customHeight="1">
      <c r="A64" s="184"/>
      <c r="B64" s="184"/>
      <c r="C64" s="184"/>
      <c r="D64" s="184"/>
      <c r="E64" s="184"/>
      <c r="F64" s="353"/>
      <c r="G64" s="353"/>
      <c r="H64" s="353"/>
      <c r="I64" s="97"/>
      <c r="J64" s="97"/>
      <c r="K64" s="97"/>
      <c r="L64" s="97"/>
      <c r="M64" s="97"/>
      <c r="N64" s="98" t="s">
        <v>96</v>
      </c>
      <c r="O64" s="98"/>
      <c r="P64" s="96">
        <f>CEILING(P61*0.57+5,0.5)</f>
        <v>121.5</v>
      </c>
      <c r="Q64" s="96"/>
      <c r="R64" s="96"/>
      <c r="S64" s="96"/>
      <c r="T64" s="96">
        <f>CEILING(T61*0.57+5,0.5)</f>
        <v>138.5</v>
      </c>
      <c r="U64" s="96"/>
      <c r="V64" s="96"/>
      <c r="W64" s="96"/>
      <c r="X64" s="96">
        <f>CEILING(X61*0.57+5,0.5)</f>
        <v>155.5</v>
      </c>
      <c r="Y64" s="96"/>
      <c r="Z64" s="96"/>
      <c r="AA64" s="96"/>
      <c r="AB64" s="96">
        <f>CEILING(AB61*0.57+5,0.5)</f>
        <v>173</v>
      </c>
      <c r="AC64" s="96"/>
      <c r="AD64" s="96"/>
      <c r="AE64" s="96"/>
    </row>
    <row r="65" spans="1:65" ht="16.5" customHeight="1">
      <c r="A65" s="184"/>
      <c r="B65" s="184"/>
      <c r="C65" s="184"/>
      <c r="D65" s="184"/>
      <c r="E65" s="184"/>
      <c r="F65" s="353"/>
      <c r="G65" s="353"/>
      <c r="H65" s="353"/>
      <c r="I65" s="95" t="s">
        <v>15</v>
      </c>
      <c r="J65" s="95"/>
      <c r="K65" s="95"/>
      <c r="L65" s="95"/>
      <c r="M65" s="95"/>
      <c r="N65" s="100" t="s">
        <v>184</v>
      </c>
      <c r="O65" s="100"/>
      <c r="P65" s="99">
        <f>P71+15</f>
        <v>217.5</v>
      </c>
      <c r="Q65" s="99"/>
      <c r="R65" s="99"/>
      <c r="S65" s="99"/>
      <c r="T65" s="99">
        <f>P65+15</f>
        <v>232.5</v>
      </c>
      <c r="U65" s="99"/>
      <c r="V65" s="99"/>
      <c r="W65" s="99"/>
      <c r="X65" s="99">
        <f>T65+15</f>
        <v>247.5</v>
      </c>
      <c r="Y65" s="99"/>
      <c r="Z65" s="99"/>
      <c r="AA65" s="99"/>
      <c r="AB65" s="99">
        <f>X65+15</f>
        <v>262.5</v>
      </c>
      <c r="AC65" s="99"/>
      <c r="AD65" s="99"/>
      <c r="AE65" s="99"/>
    </row>
    <row r="66" spans="1:65" ht="16.5" customHeight="1">
      <c r="A66" s="184"/>
      <c r="B66" s="184"/>
      <c r="C66" s="184"/>
      <c r="D66" s="184"/>
      <c r="E66" s="184"/>
      <c r="F66" s="353"/>
      <c r="G66" s="353"/>
      <c r="H66" s="353"/>
      <c r="I66" s="95"/>
      <c r="J66" s="95"/>
      <c r="K66" s="95"/>
      <c r="L66" s="95"/>
      <c r="M66" s="95"/>
      <c r="N66" s="100" t="s">
        <v>186</v>
      </c>
      <c r="O66" s="100"/>
      <c r="P66" s="99">
        <f>CEILING(P65*0.95,0.5)</f>
        <v>207</v>
      </c>
      <c r="Q66" s="99"/>
      <c r="R66" s="99"/>
      <c r="S66" s="99"/>
      <c r="T66" s="99">
        <f>CEILING(T65*0.95,0.5)</f>
        <v>221</v>
      </c>
      <c r="U66" s="99"/>
      <c r="V66" s="99"/>
      <c r="W66" s="99"/>
      <c r="X66" s="99">
        <f>CEILING(X65*0.95,0.5)</f>
        <v>235.5</v>
      </c>
      <c r="Y66" s="99"/>
      <c r="Z66" s="99"/>
      <c r="AA66" s="99"/>
      <c r="AB66" s="99">
        <f>CEILING(AB65*0.95,0.5)</f>
        <v>249.5</v>
      </c>
      <c r="AC66" s="99"/>
      <c r="AD66" s="99"/>
      <c r="AE66" s="99"/>
    </row>
    <row r="67" spans="1:65" ht="16.5" customHeight="1">
      <c r="A67" s="184"/>
      <c r="B67" s="184"/>
      <c r="C67" s="184"/>
      <c r="D67" s="184"/>
      <c r="E67" s="184"/>
      <c r="F67" s="353"/>
      <c r="G67" s="353"/>
      <c r="H67" s="353"/>
      <c r="I67" s="95"/>
      <c r="J67" s="95"/>
      <c r="K67" s="95"/>
      <c r="L67" s="95"/>
      <c r="M67" s="95"/>
      <c r="N67" s="100" t="s">
        <v>96</v>
      </c>
      <c r="O67" s="100"/>
      <c r="P67" s="99">
        <f>P73+15</f>
        <v>194</v>
      </c>
      <c r="Q67" s="99"/>
      <c r="R67" s="99"/>
      <c r="S67" s="99"/>
      <c r="T67" s="99">
        <f>P67+15</f>
        <v>209</v>
      </c>
      <c r="U67" s="99"/>
      <c r="V67" s="99"/>
      <c r="W67" s="99"/>
      <c r="X67" s="99">
        <f>T67+15</f>
        <v>224</v>
      </c>
      <c r="Y67" s="99"/>
      <c r="Z67" s="99"/>
      <c r="AA67" s="99"/>
      <c r="AB67" s="99">
        <f>X67+15</f>
        <v>239</v>
      </c>
      <c r="AC67" s="99"/>
      <c r="AD67" s="99"/>
      <c r="AE67" s="99"/>
    </row>
    <row r="68" spans="1:65" ht="16.5" customHeight="1">
      <c r="A68" s="184"/>
      <c r="B68" s="184"/>
      <c r="C68" s="184"/>
      <c r="D68" s="184"/>
      <c r="E68" s="184"/>
      <c r="F68" s="353"/>
      <c r="G68" s="353"/>
      <c r="H68" s="353"/>
      <c r="I68" s="97" t="s">
        <v>55</v>
      </c>
      <c r="J68" s="359"/>
      <c r="K68" s="359"/>
      <c r="L68" s="359"/>
      <c r="M68" s="359"/>
      <c r="N68" s="98" t="s">
        <v>184</v>
      </c>
      <c r="O68" s="98"/>
      <c r="P68" s="96">
        <f>CEILING(P65*0.57+5,0.5)</f>
        <v>129</v>
      </c>
      <c r="Q68" s="96"/>
      <c r="R68" s="96"/>
      <c r="S68" s="96"/>
      <c r="T68" s="96">
        <f>CEILING(T65*0.57+5,0.5)</f>
        <v>138</v>
      </c>
      <c r="U68" s="96"/>
      <c r="V68" s="96"/>
      <c r="W68" s="96"/>
      <c r="X68" s="96">
        <f>CEILING(X65*0.57+5,0.5)</f>
        <v>146.5</v>
      </c>
      <c r="Y68" s="96"/>
      <c r="Z68" s="96"/>
      <c r="AA68" s="96"/>
      <c r="AB68" s="96">
        <f>CEILING(AB65*0.57+5,0.5)</f>
        <v>155</v>
      </c>
      <c r="AC68" s="96"/>
      <c r="AD68" s="96"/>
      <c r="AE68" s="96"/>
    </row>
    <row r="69" spans="1:65" ht="16.5" customHeight="1">
      <c r="A69" s="184"/>
      <c r="B69" s="184"/>
      <c r="C69" s="184"/>
      <c r="D69" s="184"/>
      <c r="E69" s="184"/>
      <c r="F69" s="353"/>
      <c r="G69" s="353"/>
      <c r="H69" s="353"/>
      <c r="I69" s="359"/>
      <c r="J69" s="359"/>
      <c r="K69" s="359"/>
      <c r="L69" s="359"/>
      <c r="M69" s="359"/>
      <c r="N69" s="98" t="s">
        <v>186</v>
      </c>
      <c r="O69" s="98"/>
      <c r="P69" s="96">
        <f>CEILING(P68*0.95,0.5)</f>
        <v>123</v>
      </c>
      <c r="Q69" s="96"/>
      <c r="R69" s="96"/>
      <c r="S69" s="96"/>
      <c r="T69" s="96">
        <f>CEILING(T68*0.95,0.5)</f>
        <v>131.5</v>
      </c>
      <c r="U69" s="96"/>
      <c r="V69" s="96"/>
      <c r="W69" s="96"/>
      <c r="X69" s="96">
        <f>CEILING(X68*0.95,0.5)</f>
        <v>139.5</v>
      </c>
      <c r="Y69" s="96"/>
      <c r="Z69" s="96"/>
      <c r="AA69" s="96"/>
      <c r="AB69" s="96">
        <f>CEILING(AB68*0.95,0.5)</f>
        <v>147.5</v>
      </c>
      <c r="AC69" s="96"/>
      <c r="AD69" s="96"/>
      <c r="AE69" s="96"/>
    </row>
    <row r="70" spans="1:65" ht="16.5" customHeight="1">
      <c r="A70" s="184"/>
      <c r="B70" s="184"/>
      <c r="C70" s="184"/>
      <c r="D70" s="184"/>
      <c r="E70" s="184"/>
      <c r="F70" s="353"/>
      <c r="G70" s="353"/>
      <c r="H70" s="353"/>
      <c r="I70" s="359"/>
      <c r="J70" s="359"/>
      <c r="K70" s="359"/>
      <c r="L70" s="359"/>
      <c r="M70" s="359"/>
      <c r="N70" s="98" t="s">
        <v>96</v>
      </c>
      <c r="O70" s="98"/>
      <c r="P70" s="96">
        <f>CEILING(P67*0.57+5,0.5)</f>
        <v>116</v>
      </c>
      <c r="Q70" s="96"/>
      <c r="R70" s="96"/>
      <c r="S70" s="96"/>
      <c r="T70" s="96">
        <f>CEILING(T67*0.57+5,0.5)</f>
        <v>124.5</v>
      </c>
      <c r="U70" s="96"/>
      <c r="V70" s="96"/>
      <c r="W70" s="96"/>
      <c r="X70" s="96">
        <f>CEILING(X67*0.57+5,0.5)</f>
        <v>133</v>
      </c>
      <c r="Y70" s="96"/>
      <c r="Z70" s="96"/>
      <c r="AA70" s="96"/>
      <c r="AB70" s="96">
        <f>CEILING(AB67*0.57+5,0.5)</f>
        <v>141.5</v>
      </c>
      <c r="AC70" s="96"/>
      <c r="AD70" s="96"/>
      <c r="AE70" s="96"/>
    </row>
    <row r="71" spans="1:65" ht="16.5" customHeight="1">
      <c r="A71" s="184"/>
      <c r="B71" s="184"/>
      <c r="C71" s="184"/>
      <c r="D71" s="184"/>
      <c r="E71" s="184"/>
      <c r="F71" s="353"/>
      <c r="G71" s="353"/>
      <c r="H71" s="353"/>
      <c r="I71" s="95" t="s">
        <v>18</v>
      </c>
      <c r="J71" s="359"/>
      <c r="K71" s="359"/>
      <c r="L71" s="359"/>
      <c r="M71" s="359"/>
      <c r="N71" s="100" t="s">
        <v>184</v>
      </c>
      <c r="O71" s="100"/>
      <c r="P71" s="101">
        <f>CEILING(155.5*1.3,0.5)</f>
        <v>202.5</v>
      </c>
      <c r="Q71" s="101"/>
      <c r="R71" s="101"/>
      <c r="S71" s="101"/>
      <c r="T71" s="99">
        <f>P71+10</f>
        <v>212.5</v>
      </c>
      <c r="U71" s="99"/>
      <c r="V71" s="99"/>
      <c r="W71" s="99"/>
      <c r="X71" s="99">
        <f>T71+10</f>
        <v>222.5</v>
      </c>
      <c r="Y71" s="99"/>
      <c r="Z71" s="99"/>
      <c r="AA71" s="99"/>
      <c r="AB71" s="99">
        <f>X71+10</f>
        <v>232.5</v>
      </c>
      <c r="AC71" s="99"/>
      <c r="AD71" s="99"/>
      <c r="AE71" s="99"/>
    </row>
    <row r="72" spans="1:65" ht="16.5" customHeight="1">
      <c r="A72" s="184"/>
      <c r="B72" s="184"/>
      <c r="C72" s="184"/>
      <c r="D72" s="184"/>
      <c r="E72" s="184"/>
      <c r="F72" s="353"/>
      <c r="G72" s="353"/>
      <c r="H72" s="353"/>
      <c r="I72" s="359"/>
      <c r="J72" s="359"/>
      <c r="K72" s="359"/>
      <c r="L72" s="359"/>
      <c r="M72" s="359"/>
      <c r="N72" s="100" t="s">
        <v>186</v>
      </c>
      <c r="O72" s="100"/>
      <c r="P72" s="99">
        <f>CEILING(P71*0.95,0.5)</f>
        <v>192.5</v>
      </c>
      <c r="Q72" s="99"/>
      <c r="R72" s="99"/>
      <c r="S72" s="99"/>
      <c r="T72" s="99">
        <f>CEILING(T71*0.95,0.5)</f>
        <v>202</v>
      </c>
      <c r="U72" s="99"/>
      <c r="V72" s="99"/>
      <c r="W72" s="99"/>
      <c r="X72" s="99">
        <f>CEILING(X71*0.95,0.5)</f>
        <v>211.5</v>
      </c>
      <c r="Y72" s="99"/>
      <c r="Z72" s="99"/>
      <c r="AA72" s="99"/>
      <c r="AB72" s="99">
        <f>CEILING(AB71*0.95,0.5)</f>
        <v>221</v>
      </c>
      <c r="AC72" s="99"/>
      <c r="AD72" s="99"/>
      <c r="AE72" s="99"/>
    </row>
    <row r="73" spans="1:65" ht="16.5" customHeight="1">
      <c r="A73" s="184"/>
      <c r="B73" s="184"/>
      <c r="C73" s="184"/>
      <c r="D73" s="184"/>
      <c r="E73" s="184"/>
      <c r="F73" s="353"/>
      <c r="G73" s="353"/>
      <c r="H73" s="353"/>
      <c r="I73" s="359"/>
      <c r="J73" s="359"/>
      <c r="K73" s="359"/>
      <c r="L73" s="359"/>
      <c r="M73" s="359"/>
      <c r="N73" s="100" t="s">
        <v>96</v>
      </c>
      <c r="O73" s="100"/>
      <c r="P73" s="101">
        <f>CEILING(137.5*1.3,0.5)</f>
        <v>179</v>
      </c>
      <c r="Q73" s="101"/>
      <c r="R73" s="101"/>
      <c r="S73" s="101"/>
      <c r="T73" s="99">
        <f>P73+10</f>
        <v>189</v>
      </c>
      <c r="U73" s="99"/>
      <c r="V73" s="99"/>
      <c r="W73" s="99"/>
      <c r="X73" s="99">
        <f>T73+10</f>
        <v>199</v>
      </c>
      <c r="Y73" s="99"/>
      <c r="Z73" s="99"/>
      <c r="AA73" s="99"/>
      <c r="AB73" s="99">
        <f>X73+10</f>
        <v>209</v>
      </c>
      <c r="AC73" s="99"/>
      <c r="AD73" s="99"/>
      <c r="AE73" s="99"/>
    </row>
    <row r="74" spans="1:65" s="46" customFormat="1" ht="16.5" customHeight="1">
      <c r="A74" s="184"/>
      <c r="B74" s="184"/>
      <c r="C74" s="184"/>
      <c r="D74" s="184"/>
      <c r="E74" s="184"/>
      <c r="F74" s="353"/>
      <c r="G74" s="353"/>
      <c r="H74" s="353"/>
      <c r="I74" s="97" t="s">
        <v>64</v>
      </c>
      <c r="J74" s="359"/>
      <c r="K74" s="359"/>
      <c r="L74" s="359"/>
      <c r="M74" s="359"/>
      <c r="N74" s="98" t="s">
        <v>184</v>
      </c>
      <c r="O74" s="98"/>
      <c r="P74" s="96">
        <f>CEILING(P71*0.57+5,0.5)</f>
        <v>120.5</v>
      </c>
      <c r="Q74" s="96"/>
      <c r="R74" s="96"/>
      <c r="S74" s="96"/>
      <c r="T74" s="96">
        <f>CEILING(T71*0.57+5,0.5)</f>
        <v>126.5</v>
      </c>
      <c r="U74" s="96"/>
      <c r="V74" s="96"/>
      <c r="W74" s="96"/>
      <c r="X74" s="96">
        <f>CEILING(X71*0.57+5,0.5)</f>
        <v>132</v>
      </c>
      <c r="Y74" s="96"/>
      <c r="Z74" s="96"/>
      <c r="AA74" s="96"/>
      <c r="AB74" s="96">
        <f>CEILING(AB71*0.57+5,0.5)</f>
        <v>138</v>
      </c>
      <c r="AC74" s="96"/>
      <c r="AD74" s="96"/>
      <c r="AE74" s="96"/>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row>
    <row r="75" spans="1:65" s="46" customFormat="1" ht="16.5" customHeight="1">
      <c r="A75" s="184"/>
      <c r="B75" s="184"/>
      <c r="C75" s="184"/>
      <c r="D75" s="184"/>
      <c r="E75" s="184"/>
      <c r="F75" s="353"/>
      <c r="G75" s="353"/>
      <c r="H75" s="353"/>
      <c r="I75" s="359"/>
      <c r="J75" s="359"/>
      <c r="K75" s="359"/>
      <c r="L75" s="359"/>
      <c r="M75" s="359"/>
      <c r="N75" s="98" t="s">
        <v>186</v>
      </c>
      <c r="O75" s="98"/>
      <c r="P75" s="96">
        <f>CEILING(P74*0.95,0.5)</f>
        <v>114.5</v>
      </c>
      <c r="Q75" s="96"/>
      <c r="R75" s="96"/>
      <c r="S75" s="96"/>
      <c r="T75" s="96">
        <f>CEILING(T74*0.95,0.5)</f>
        <v>120.5</v>
      </c>
      <c r="U75" s="96"/>
      <c r="V75" s="96"/>
      <c r="W75" s="96"/>
      <c r="X75" s="96">
        <f>CEILING(X74*0.95,0.5)</f>
        <v>125.5</v>
      </c>
      <c r="Y75" s="96"/>
      <c r="Z75" s="96"/>
      <c r="AA75" s="96"/>
      <c r="AB75" s="96">
        <f>CEILING(AB74*0.95,0.5)</f>
        <v>131.5</v>
      </c>
      <c r="AC75" s="96"/>
      <c r="AD75" s="96"/>
      <c r="AE75" s="96"/>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row>
    <row r="76" spans="1:65" ht="16.5" customHeight="1">
      <c r="A76" s="184"/>
      <c r="B76" s="184"/>
      <c r="C76" s="184"/>
      <c r="D76" s="184"/>
      <c r="E76" s="184"/>
      <c r="F76" s="353"/>
      <c r="G76" s="353"/>
      <c r="H76" s="353"/>
      <c r="I76" s="359"/>
      <c r="J76" s="359"/>
      <c r="K76" s="359"/>
      <c r="L76" s="359"/>
      <c r="M76" s="359"/>
      <c r="N76" s="98" t="s">
        <v>96</v>
      </c>
      <c r="O76" s="98"/>
      <c r="P76" s="96">
        <f>CEILING(P73*0.57+5,0.5)</f>
        <v>107.5</v>
      </c>
      <c r="Q76" s="96"/>
      <c r="R76" s="96"/>
      <c r="S76" s="96"/>
      <c r="T76" s="96">
        <f>CEILING(T73*0.57+5,0.5)</f>
        <v>113</v>
      </c>
      <c r="U76" s="96"/>
      <c r="V76" s="96"/>
      <c r="W76" s="96"/>
      <c r="X76" s="96">
        <f>CEILING(X73*0.57+5,0.5)</f>
        <v>118.5</v>
      </c>
      <c r="Y76" s="96"/>
      <c r="Z76" s="96"/>
      <c r="AA76" s="96"/>
      <c r="AB76" s="96">
        <f>CEILING(AB73*0.57+5,0.5)</f>
        <v>124.5</v>
      </c>
      <c r="AC76" s="96"/>
      <c r="AD76" s="96"/>
      <c r="AE76" s="96"/>
    </row>
    <row r="77" spans="1:65" ht="16.5" customHeight="1">
      <c r="A77" s="184"/>
      <c r="B77" s="184"/>
      <c r="C77" s="184"/>
      <c r="D77" s="184"/>
      <c r="E77" s="184"/>
      <c r="F77" s="353"/>
      <c r="G77" s="353"/>
      <c r="H77" s="353"/>
      <c r="I77" s="82" t="s">
        <v>21</v>
      </c>
      <c r="J77" s="333"/>
      <c r="K77" s="333"/>
      <c r="L77" s="333"/>
      <c r="M77" s="333"/>
      <c r="N77" s="84" t="s">
        <v>184</v>
      </c>
      <c r="O77" s="84"/>
      <c r="P77" s="83">
        <f>P71-4</f>
        <v>198.5</v>
      </c>
      <c r="Q77" s="83"/>
      <c r="R77" s="83"/>
      <c r="S77" s="83"/>
      <c r="T77" s="83">
        <f>P77+8</f>
        <v>206.5</v>
      </c>
      <c r="U77" s="83"/>
      <c r="V77" s="83"/>
      <c r="W77" s="83"/>
      <c r="X77" s="83">
        <f>T77+8</f>
        <v>214.5</v>
      </c>
      <c r="Y77" s="83"/>
      <c r="Z77" s="83"/>
      <c r="AA77" s="83"/>
      <c r="AB77" s="83">
        <f>X77+8</f>
        <v>222.5</v>
      </c>
      <c r="AC77" s="83"/>
      <c r="AD77" s="83"/>
      <c r="AE77" s="83"/>
      <c r="AF77" s="46"/>
    </row>
    <row r="78" spans="1:65" ht="16.5" customHeight="1">
      <c r="A78" s="184"/>
      <c r="B78" s="184"/>
      <c r="C78" s="184"/>
      <c r="D78" s="184"/>
      <c r="E78" s="184"/>
      <c r="F78" s="353"/>
      <c r="G78" s="353"/>
      <c r="H78" s="353"/>
      <c r="I78" s="333"/>
      <c r="J78" s="333"/>
      <c r="K78" s="333"/>
      <c r="L78" s="333"/>
      <c r="M78" s="333"/>
      <c r="N78" s="84" t="s">
        <v>186</v>
      </c>
      <c r="O78" s="84"/>
      <c r="P78" s="83">
        <f>CEILING(P77*0.95,0.5)</f>
        <v>189</v>
      </c>
      <c r="Q78" s="83"/>
      <c r="R78" s="83"/>
      <c r="S78" s="83"/>
      <c r="T78" s="83">
        <f>CEILING(T77*0.95,0.5)</f>
        <v>196.5</v>
      </c>
      <c r="U78" s="83"/>
      <c r="V78" s="83"/>
      <c r="W78" s="83"/>
      <c r="X78" s="83">
        <f>CEILING(X77*0.95,0.5)</f>
        <v>204</v>
      </c>
      <c r="Y78" s="83"/>
      <c r="Z78" s="83"/>
      <c r="AA78" s="83"/>
      <c r="AB78" s="83">
        <f>CEILING(AB77*0.95,0.5)</f>
        <v>211.5</v>
      </c>
      <c r="AC78" s="83"/>
      <c r="AD78" s="83"/>
      <c r="AE78" s="83"/>
      <c r="AF78" s="46"/>
    </row>
    <row r="79" spans="1:65" ht="16.5" customHeight="1">
      <c r="A79" s="184"/>
      <c r="B79" s="184"/>
      <c r="C79" s="184"/>
      <c r="D79" s="184"/>
      <c r="E79" s="184"/>
      <c r="F79" s="353"/>
      <c r="G79" s="353"/>
      <c r="H79" s="353"/>
      <c r="I79" s="333"/>
      <c r="J79" s="333"/>
      <c r="K79" s="333"/>
      <c r="L79" s="333"/>
      <c r="M79" s="333"/>
      <c r="N79" s="84" t="s">
        <v>96</v>
      </c>
      <c r="O79" s="84"/>
      <c r="P79" s="83">
        <f>P73-4</f>
        <v>175</v>
      </c>
      <c r="Q79" s="83"/>
      <c r="R79" s="83"/>
      <c r="S79" s="83"/>
      <c r="T79" s="83">
        <f>P79+8</f>
        <v>183</v>
      </c>
      <c r="U79" s="83"/>
      <c r="V79" s="83"/>
      <c r="W79" s="83"/>
      <c r="X79" s="83">
        <f>T79+8</f>
        <v>191</v>
      </c>
      <c r="Y79" s="83"/>
      <c r="Z79" s="83"/>
      <c r="AA79" s="83"/>
      <c r="AB79" s="83">
        <f>X79+8</f>
        <v>199</v>
      </c>
      <c r="AC79" s="83"/>
      <c r="AD79" s="83"/>
      <c r="AE79" s="83"/>
    </row>
    <row r="80" spans="1:65" ht="16.5" customHeight="1">
      <c r="A80" s="184"/>
      <c r="B80" s="184"/>
      <c r="C80" s="184"/>
      <c r="D80" s="184"/>
      <c r="E80" s="184"/>
      <c r="F80" s="353"/>
      <c r="G80" s="353"/>
      <c r="H80" s="353"/>
      <c r="I80" s="80" t="s">
        <v>75</v>
      </c>
      <c r="J80" s="333"/>
      <c r="K80" s="333"/>
      <c r="L80" s="333"/>
      <c r="M80" s="333"/>
      <c r="N80" s="81" t="s">
        <v>184</v>
      </c>
      <c r="O80" s="81"/>
      <c r="P80" s="89">
        <f>CEILING(P77*0.57+5,0.5)</f>
        <v>118.5</v>
      </c>
      <c r="Q80" s="89"/>
      <c r="R80" s="89"/>
      <c r="S80" s="89"/>
      <c r="T80" s="89">
        <f>CEILING(T77*0.57+5,0.5)</f>
        <v>123</v>
      </c>
      <c r="U80" s="89"/>
      <c r="V80" s="89"/>
      <c r="W80" s="89"/>
      <c r="X80" s="89">
        <f>CEILING(X77*0.57+5,0.5)</f>
        <v>127.5</v>
      </c>
      <c r="Y80" s="89"/>
      <c r="Z80" s="89"/>
      <c r="AA80" s="89"/>
      <c r="AB80" s="89">
        <f>CEILING(AB77*0.57+5,0.5)</f>
        <v>132</v>
      </c>
      <c r="AC80" s="89"/>
      <c r="AD80" s="89"/>
      <c r="AE80" s="89"/>
    </row>
    <row r="81" spans="1:31" ht="16.5" customHeight="1">
      <c r="A81" s="184"/>
      <c r="B81" s="184"/>
      <c r="C81" s="184"/>
      <c r="D81" s="184"/>
      <c r="E81" s="184"/>
      <c r="F81" s="353"/>
      <c r="G81" s="353"/>
      <c r="H81" s="353"/>
      <c r="I81" s="333"/>
      <c r="J81" s="333"/>
      <c r="K81" s="333"/>
      <c r="L81" s="333"/>
      <c r="M81" s="333"/>
      <c r="N81" s="81" t="s">
        <v>186</v>
      </c>
      <c r="O81" s="81"/>
      <c r="P81" s="89">
        <f>CEILING(P80*0.95,0.5)</f>
        <v>113</v>
      </c>
      <c r="Q81" s="89"/>
      <c r="R81" s="89"/>
      <c r="S81" s="89"/>
      <c r="T81" s="89">
        <f>CEILING(T80*0.95,0.5)</f>
        <v>117</v>
      </c>
      <c r="U81" s="89"/>
      <c r="V81" s="89"/>
      <c r="W81" s="89"/>
      <c r="X81" s="89">
        <f>CEILING(X80*0.95,0.5)</f>
        <v>121.5</v>
      </c>
      <c r="Y81" s="89"/>
      <c r="Z81" s="89"/>
      <c r="AA81" s="89"/>
      <c r="AB81" s="89">
        <f>CEILING(AB80*0.95,0.5)</f>
        <v>125.5</v>
      </c>
      <c r="AC81" s="89"/>
      <c r="AD81" s="89"/>
      <c r="AE81" s="89"/>
    </row>
    <row r="82" spans="1:31" ht="16.5" customHeight="1">
      <c r="A82" s="184"/>
      <c r="B82" s="184"/>
      <c r="C82" s="184"/>
      <c r="D82" s="184"/>
      <c r="E82" s="184"/>
      <c r="F82" s="360"/>
      <c r="G82" s="360"/>
      <c r="H82" s="360"/>
      <c r="I82" s="333"/>
      <c r="J82" s="333"/>
      <c r="K82" s="333"/>
      <c r="L82" s="333"/>
      <c r="M82" s="333"/>
      <c r="N82" s="81" t="s">
        <v>96</v>
      </c>
      <c r="O82" s="81"/>
      <c r="P82" s="89">
        <f>CEILING(P79*0.57+5,0.5)</f>
        <v>105</v>
      </c>
      <c r="Q82" s="89"/>
      <c r="R82" s="89"/>
      <c r="S82" s="89"/>
      <c r="T82" s="89">
        <f>CEILING(T79*0.57+5,0.5)</f>
        <v>109.5</v>
      </c>
      <c r="U82" s="89"/>
      <c r="V82" s="89"/>
      <c r="W82" s="89"/>
      <c r="X82" s="89">
        <f>CEILING(X79*0.57+5,0.5)</f>
        <v>114</v>
      </c>
      <c r="Y82" s="89"/>
      <c r="Z82" s="89"/>
      <c r="AA82" s="89"/>
      <c r="AB82" s="89">
        <f>CEILING(AB79*0.57+5,0.5)</f>
        <v>118.5</v>
      </c>
      <c r="AC82" s="89"/>
      <c r="AD82" s="89"/>
      <c r="AE82" s="89"/>
    </row>
    <row r="83" spans="1:31" ht="16.5" customHeight="1">
      <c r="A83" s="9" t="s">
        <v>60</v>
      </c>
      <c r="B83" s="9"/>
    </row>
    <row r="84" spans="1:31" ht="16.5" customHeight="1">
      <c r="A84" s="9" t="s">
        <v>25</v>
      </c>
      <c r="B84" s="9"/>
    </row>
    <row r="85" spans="1:31" ht="16.5" customHeight="1">
      <c r="A85" s="9" t="s">
        <v>26</v>
      </c>
      <c r="B85" s="9"/>
    </row>
    <row r="86" spans="1:31" ht="16.5" customHeight="1" thickBot="1"/>
    <row r="87" spans="1:31" ht="16.5" customHeight="1" thickTop="1">
      <c r="A87" s="90" t="s">
        <v>27</v>
      </c>
      <c r="B87" s="91"/>
      <c r="C87" s="91"/>
      <c r="D87" s="91"/>
      <c r="E87" s="91"/>
      <c r="F87" s="91"/>
      <c r="G87" s="91"/>
      <c r="H87" s="91"/>
      <c r="I87" s="91"/>
      <c r="J87" s="91"/>
      <c r="K87" s="91"/>
      <c r="L87" s="91"/>
      <c r="M87" s="91"/>
      <c r="N87" s="91"/>
      <c r="O87" s="91"/>
      <c r="P87" s="91"/>
      <c r="Q87" s="91"/>
      <c r="R87" s="91"/>
      <c r="S87" s="91"/>
      <c r="T87" s="92"/>
    </row>
    <row r="88" spans="1:31" ht="16.5" customHeight="1" thickBot="1">
      <c r="A88" s="85" t="s">
        <v>73</v>
      </c>
      <c r="B88" s="86"/>
      <c r="C88" s="86"/>
      <c r="D88" s="86"/>
      <c r="E88" s="86"/>
      <c r="F88" s="86"/>
      <c r="G88" s="86"/>
      <c r="H88" s="87"/>
      <c r="I88" s="86" t="s">
        <v>74</v>
      </c>
      <c r="J88" s="86"/>
      <c r="K88" s="86"/>
      <c r="L88" s="86"/>
      <c r="M88" s="86"/>
      <c r="N88" s="86"/>
      <c r="O88" s="86"/>
      <c r="P88" s="86"/>
      <c r="Q88" s="86"/>
      <c r="R88" s="86"/>
      <c r="S88" s="86"/>
      <c r="T88" s="88"/>
    </row>
    <row r="89" spans="1:31" ht="16.5" customHeight="1" thickTop="1"/>
    <row r="90" spans="1:31" ht="16.5" customHeight="1"/>
    <row r="91" spans="1:31" ht="16.5" customHeight="1"/>
    <row r="92" spans="1:31" ht="16.5" customHeight="1"/>
    <row r="93" spans="1:31" ht="16.5" customHeight="1"/>
    <row r="94" spans="1:31" ht="16.5" customHeight="1"/>
    <row r="95" spans="1:31" ht="16.5" customHeight="1"/>
    <row r="96" spans="1:31"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sheetData>
  <mergeCells count="449">
    <mergeCell ref="AB81:AE81"/>
    <mergeCell ref="N82:O82"/>
    <mergeCell ref="P82:S82"/>
    <mergeCell ref="T82:W82"/>
    <mergeCell ref="X82:AA82"/>
    <mergeCell ref="AB82:AE82"/>
    <mergeCell ref="I80:M82"/>
    <mergeCell ref="N80:O80"/>
    <mergeCell ref="P80:S80"/>
    <mergeCell ref="T80:W80"/>
    <mergeCell ref="X80:AA80"/>
    <mergeCell ref="AB80:AE80"/>
    <mergeCell ref="N81:O81"/>
    <mergeCell ref="P81:S81"/>
    <mergeCell ref="T81:W81"/>
    <mergeCell ref="X81:AA81"/>
    <mergeCell ref="A88:H88"/>
    <mergeCell ref="AB72:AE72"/>
    <mergeCell ref="N73:O73"/>
    <mergeCell ref="P73:S73"/>
    <mergeCell ref="T73:W73"/>
    <mergeCell ref="X73:AA73"/>
    <mergeCell ref="AB73:AE73"/>
    <mergeCell ref="I71:M73"/>
    <mergeCell ref="N71:O71"/>
    <mergeCell ref="P71:S71"/>
    <mergeCell ref="T71:W71"/>
    <mergeCell ref="X71:AA71"/>
    <mergeCell ref="AB71:AE71"/>
    <mergeCell ref="N72:O72"/>
    <mergeCell ref="P72:S72"/>
    <mergeCell ref="T72:W72"/>
    <mergeCell ref="X72:AA72"/>
    <mergeCell ref="AB75:AE75"/>
    <mergeCell ref="N76:O76"/>
    <mergeCell ref="P76:S76"/>
    <mergeCell ref="T76:W76"/>
    <mergeCell ref="X76:AA76"/>
    <mergeCell ref="AB76:AE76"/>
    <mergeCell ref="I74:M76"/>
    <mergeCell ref="I88:T88"/>
    <mergeCell ref="I68:M70"/>
    <mergeCell ref="N68:O68"/>
    <mergeCell ref="P68:S68"/>
    <mergeCell ref="T68:W68"/>
    <mergeCell ref="X68:AA68"/>
    <mergeCell ref="AB68:AE68"/>
    <mergeCell ref="N69:O69"/>
    <mergeCell ref="P69:S69"/>
    <mergeCell ref="T69:W69"/>
    <mergeCell ref="N74:O74"/>
    <mergeCell ref="P74:S74"/>
    <mergeCell ref="T74:W74"/>
    <mergeCell ref="X74:AA74"/>
    <mergeCell ref="AB74:AE74"/>
    <mergeCell ref="N75:O75"/>
    <mergeCell ref="P75:S75"/>
    <mergeCell ref="T75:W75"/>
    <mergeCell ref="X75:AA75"/>
    <mergeCell ref="AB78:AE78"/>
    <mergeCell ref="N79:O79"/>
    <mergeCell ref="P79:S79"/>
    <mergeCell ref="T79:W79"/>
    <mergeCell ref="X79:AA79"/>
    <mergeCell ref="I62:M64"/>
    <mergeCell ref="N62:O62"/>
    <mergeCell ref="P62:S62"/>
    <mergeCell ref="T62:W62"/>
    <mergeCell ref="X62:AA62"/>
    <mergeCell ref="AB62:AE62"/>
    <mergeCell ref="N63:O63"/>
    <mergeCell ref="P63:S63"/>
    <mergeCell ref="X69:AA69"/>
    <mergeCell ref="AB69:AE69"/>
    <mergeCell ref="N67:O67"/>
    <mergeCell ref="P67:S67"/>
    <mergeCell ref="T67:W67"/>
    <mergeCell ref="X67:AA67"/>
    <mergeCell ref="AB67:AE67"/>
    <mergeCell ref="P66:S66"/>
    <mergeCell ref="T66:W66"/>
    <mergeCell ref="X66:AA66"/>
    <mergeCell ref="AB66:AE66"/>
    <mergeCell ref="X63:AA63"/>
    <mergeCell ref="A87:T87"/>
    <mergeCell ref="I65:M67"/>
    <mergeCell ref="N65:O65"/>
    <mergeCell ref="P65:S65"/>
    <mergeCell ref="T65:W65"/>
    <mergeCell ref="X65:AA65"/>
    <mergeCell ref="AB65:AE65"/>
    <mergeCell ref="N66:O66"/>
    <mergeCell ref="N70:O70"/>
    <mergeCell ref="P70:S70"/>
    <mergeCell ref="T70:W70"/>
    <mergeCell ref="X70:AA70"/>
    <mergeCell ref="AB70:AE70"/>
    <mergeCell ref="AB79:AE79"/>
    <mergeCell ref="I77:M79"/>
    <mergeCell ref="N77:O77"/>
    <mergeCell ref="P77:S77"/>
    <mergeCell ref="T77:W77"/>
    <mergeCell ref="X77:AA77"/>
    <mergeCell ref="AB77:AE77"/>
    <mergeCell ref="N78:O78"/>
    <mergeCell ref="P78:S78"/>
    <mergeCell ref="T78:W78"/>
    <mergeCell ref="X78:AA78"/>
    <mergeCell ref="N60:O60"/>
    <mergeCell ref="P60:S60"/>
    <mergeCell ref="T60:W60"/>
    <mergeCell ref="X60:AA60"/>
    <mergeCell ref="AB60:AE60"/>
    <mergeCell ref="AB63:AE63"/>
    <mergeCell ref="N64:O64"/>
    <mergeCell ref="P64:S64"/>
    <mergeCell ref="T64:W64"/>
    <mergeCell ref="X64:AA64"/>
    <mergeCell ref="AB64:AE64"/>
    <mergeCell ref="AZ34:BC34"/>
    <mergeCell ref="BD34:BG34"/>
    <mergeCell ref="BH34:BK34"/>
    <mergeCell ref="A59:E82"/>
    <mergeCell ref="F59:H82"/>
    <mergeCell ref="I59:M61"/>
    <mergeCell ref="N59:O59"/>
    <mergeCell ref="P59:S59"/>
    <mergeCell ref="T59:W59"/>
    <mergeCell ref="N34:O34"/>
    <mergeCell ref="P34:S34"/>
    <mergeCell ref="T34:W34"/>
    <mergeCell ref="X34:AA34"/>
    <mergeCell ref="AB34:AE34"/>
    <mergeCell ref="AT34:AU34"/>
    <mergeCell ref="I32:M34"/>
    <mergeCell ref="N61:O61"/>
    <mergeCell ref="P61:S61"/>
    <mergeCell ref="T61:W61"/>
    <mergeCell ref="X61:AA61"/>
    <mergeCell ref="AB61:AE61"/>
    <mergeCell ref="X59:AA59"/>
    <mergeCell ref="AB59:AE59"/>
    <mergeCell ref="T63:W63"/>
    <mergeCell ref="N33:O33"/>
    <mergeCell ref="P33:S33"/>
    <mergeCell ref="T33:W33"/>
    <mergeCell ref="X33:AA33"/>
    <mergeCell ref="AB33:AE33"/>
    <mergeCell ref="AT33:AU33"/>
    <mergeCell ref="AO32:AS34"/>
    <mergeCell ref="AT32:AU32"/>
    <mergeCell ref="AV32:AY32"/>
    <mergeCell ref="N32:O32"/>
    <mergeCell ref="P32:S32"/>
    <mergeCell ref="T32:W32"/>
    <mergeCell ref="X32:AA32"/>
    <mergeCell ref="AB32:AE32"/>
    <mergeCell ref="AV34:AY34"/>
    <mergeCell ref="AZ32:BC32"/>
    <mergeCell ref="BD32:BG32"/>
    <mergeCell ref="BH32:BK32"/>
    <mergeCell ref="AV33:AY33"/>
    <mergeCell ref="AZ33:BC33"/>
    <mergeCell ref="BD33:BG33"/>
    <mergeCell ref="BH33:BK33"/>
    <mergeCell ref="AV31:AY31"/>
    <mergeCell ref="AZ31:BC31"/>
    <mergeCell ref="BD31:BG31"/>
    <mergeCell ref="BH31:BK31"/>
    <mergeCell ref="AT31:AU31"/>
    <mergeCell ref="N30:O30"/>
    <mergeCell ref="P30:S30"/>
    <mergeCell ref="T30:W30"/>
    <mergeCell ref="X30:AA30"/>
    <mergeCell ref="AB30:AE30"/>
    <mergeCell ref="AT30:AU30"/>
    <mergeCell ref="AO29:AS31"/>
    <mergeCell ref="AT29:AU29"/>
    <mergeCell ref="AV29:AY29"/>
    <mergeCell ref="AZ29:BC29"/>
    <mergeCell ref="BD29:BG29"/>
    <mergeCell ref="BH29:BK29"/>
    <mergeCell ref="AV30:AY30"/>
    <mergeCell ref="AZ30:BC30"/>
    <mergeCell ref="BD30:BG30"/>
    <mergeCell ref="BH30:BK30"/>
    <mergeCell ref="AV28:AY28"/>
    <mergeCell ref="AZ28:BC28"/>
    <mergeCell ref="BD28:BG28"/>
    <mergeCell ref="BH28:BK28"/>
    <mergeCell ref="I29:M31"/>
    <mergeCell ref="N29:O29"/>
    <mergeCell ref="P29:S29"/>
    <mergeCell ref="T29:W29"/>
    <mergeCell ref="X29:AA29"/>
    <mergeCell ref="AB29:AE29"/>
    <mergeCell ref="N28:O28"/>
    <mergeCell ref="P28:S28"/>
    <mergeCell ref="T28:W28"/>
    <mergeCell ref="X28:AA28"/>
    <mergeCell ref="AB28:AE28"/>
    <mergeCell ref="I26:M28"/>
    <mergeCell ref="N31:O31"/>
    <mergeCell ref="P31:S31"/>
    <mergeCell ref="T31:W31"/>
    <mergeCell ref="X31:AA31"/>
    <mergeCell ref="AB31:AE31"/>
    <mergeCell ref="N27:O27"/>
    <mergeCell ref="P27:S27"/>
    <mergeCell ref="T27:W27"/>
    <mergeCell ref="X27:AA27"/>
    <mergeCell ref="AB27:AE27"/>
    <mergeCell ref="AT27:AU27"/>
    <mergeCell ref="AO26:AS28"/>
    <mergeCell ref="AT26:AU26"/>
    <mergeCell ref="N26:O26"/>
    <mergeCell ref="P26:S26"/>
    <mergeCell ref="T26:W26"/>
    <mergeCell ref="X26:AA26"/>
    <mergeCell ref="AB26:AE26"/>
    <mergeCell ref="AZ23:BC23"/>
    <mergeCell ref="BD23:BG23"/>
    <mergeCell ref="BH23:BK23"/>
    <mergeCell ref="AV24:AY24"/>
    <mergeCell ref="AZ24:BC24"/>
    <mergeCell ref="BD24:BG24"/>
    <mergeCell ref="BH24:BK24"/>
    <mergeCell ref="AT25:AU25"/>
    <mergeCell ref="AT28:AU28"/>
    <mergeCell ref="AV26:AY26"/>
    <mergeCell ref="AZ26:BC26"/>
    <mergeCell ref="BD26:BG26"/>
    <mergeCell ref="BH26:BK26"/>
    <mergeCell ref="AV27:AY27"/>
    <mergeCell ref="AZ27:BC27"/>
    <mergeCell ref="BD27:BG27"/>
    <mergeCell ref="BH27:BK27"/>
    <mergeCell ref="AV25:AY25"/>
    <mergeCell ref="AZ25:BC25"/>
    <mergeCell ref="BD25:BG25"/>
    <mergeCell ref="BH25:BK25"/>
    <mergeCell ref="AZ22:BC22"/>
    <mergeCell ref="BD22:BG22"/>
    <mergeCell ref="BH22:BK22"/>
    <mergeCell ref="I23:M25"/>
    <mergeCell ref="N23:O23"/>
    <mergeCell ref="P23:S23"/>
    <mergeCell ref="T23:W23"/>
    <mergeCell ref="X23:AA23"/>
    <mergeCell ref="AB23:AE23"/>
    <mergeCell ref="N22:O22"/>
    <mergeCell ref="P22:S22"/>
    <mergeCell ref="T22:W22"/>
    <mergeCell ref="X22:AA22"/>
    <mergeCell ref="AB22:AE22"/>
    <mergeCell ref="I20:M22"/>
    <mergeCell ref="N25:O25"/>
    <mergeCell ref="P25:S25"/>
    <mergeCell ref="T25:W25"/>
    <mergeCell ref="X25:AA25"/>
    <mergeCell ref="AB25:AE25"/>
    <mergeCell ref="AB21:AE21"/>
    <mergeCell ref="N24:O24"/>
    <mergeCell ref="P24:S24"/>
    <mergeCell ref="AT24:AU24"/>
    <mergeCell ref="T24:W24"/>
    <mergeCell ref="X24:AA24"/>
    <mergeCell ref="AB24:AE24"/>
    <mergeCell ref="N20:O20"/>
    <mergeCell ref="P20:S20"/>
    <mergeCell ref="T20:W20"/>
    <mergeCell ref="X20:AA20"/>
    <mergeCell ref="AB20:AE20"/>
    <mergeCell ref="AV20:AY20"/>
    <mergeCell ref="N21:O21"/>
    <mergeCell ref="P21:S21"/>
    <mergeCell ref="T21:W21"/>
    <mergeCell ref="AV22:AY22"/>
    <mergeCell ref="AO23:AS25"/>
    <mergeCell ref="AT23:AU23"/>
    <mergeCell ref="AV23:AY23"/>
    <mergeCell ref="AZ20:BC20"/>
    <mergeCell ref="BD20:BG20"/>
    <mergeCell ref="BH20:BK20"/>
    <mergeCell ref="AV21:AY21"/>
    <mergeCell ref="AZ21:BC21"/>
    <mergeCell ref="BD21:BG21"/>
    <mergeCell ref="BH21:BK21"/>
    <mergeCell ref="AV19:AY19"/>
    <mergeCell ref="AZ19:BC19"/>
    <mergeCell ref="BD19:BG19"/>
    <mergeCell ref="BH19:BK19"/>
    <mergeCell ref="BH17:BK17"/>
    <mergeCell ref="N18:O18"/>
    <mergeCell ref="P18:S18"/>
    <mergeCell ref="T18:W18"/>
    <mergeCell ref="X18:AA18"/>
    <mergeCell ref="AB18:AE18"/>
    <mergeCell ref="AT18:AU18"/>
    <mergeCell ref="AV18:AY18"/>
    <mergeCell ref="AZ18:BC18"/>
    <mergeCell ref="BD18:BG18"/>
    <mergeCell ref="BH18:BK18"/>
    <mergeCell ref="I17:M19"/>
    <mergeCell ref="N17:O17"/>
    <mergeCell ref="P17:S17"/>
    <mergeCell ref="T17:W17"/>
    <mergeCell ref="X17:AA17"/>
    <mergeCell ref="AB17:AE17"/>
    <mergeCell ref="AV17:AY17"/>
    <mergeCell ref="AZ17:BC17"/>
    <mergeCell ref="BD17:BG17"/>
    <mergeCell ref="N19:O19"/>
    <mergeCell ref="P19:S19"/>
    <mergeCell ref="T19:W19"/>
    <mergeCell ref="T16:W16"/>
    <mergeCell ref="X16:AA16"/>
    <mergeCell ref="AB16:AE16"/>
    <mergeCell ref="AT16:AU16"/>
    <mergeCell ref="AV16:AY16"/>
    <mergeCell ref="AZ16:BC16"/>
    <mergeCell ref="BD16:BG16"/>
    <mergeCell ref="BH14:BK14"/>
    <mergeCell ref="N15:O15"/>
    <mergeCell ref="P15:S15"/>
    <mergeCell ref="T15:W15"/>
    <mergeCell ref="X15:AA15"/>
    <mergeCell ref="AB15:AE15"/>
    <mergeCell ref="AT15:AU15"/>
    <mergeCell ref="AV15:AY15"/>
    <mergeCell ref="AZ15:BC15"/>
    <mergeCell ref="BD15:BG15"/>
    <mergeCell ref="BH15:BK15"/>
    <mergeCell ref="AV14:AY14"/>
    <mergeCell ref="AZ14:BC14"/>
    <mergeCell ref="BD14:BG14"/>
    <mergeCell ref="BH16:BK16"/>
    <mergeCell ref="AL11:AN34"/>
    <mergeCell ref="AO11:AS13"/>
    <mergeCell ref="X12:AA12"/>
    <mergeCell ref="AB12:AE12"/>
    <mergeCell ref="AT12:AU12"/>
    <mergeCell ref="X14:AA14"/>
    <mergeCell ref="AB14:AE14"/>
    <mergeCell ref="X13:AA13"/>
    <mergeCell ref="AB13:AE13"/>
    <mergeCell ref="AT13:AU13"/>
    <mergeCell ref="AT21:AU21"/>
    <mergeCell ref="AO20:AS22"/>
    <mergeCell ref="AT20:AU20"/>
    <mergeCell ref="AO14:AS16"/>
    <mergeCell ref="AT14:AU14"/>
    <mergeCell ref="AO17:AS19"/>
    <mergeCell ref="AT17:AU17"/>
    <mergeCell ref="X19:AA19"/>
    <mergeCell ref="AB19:AE19"/>
    <mergeCell ref="AT19:AU19"/>
    <mergeCell ref="AT22:AU22"/>
    <mergeCell ref="X21:AA21"/>
    <mergeCell ref="BD12:BG12"/>
    <mergeCell ref="BH12:BK12"/>
    <mergeCell ref="BH13:BK13"/>
    <mergeCell ref="AV10:AY10"/>
    <mergeCell ref="AZ10:BC10"/>
    <mergeCell ref="AT5:AU5"/>
    <mergeCell ref="AV5:BB5"/>
    <mergeCell ref="BD10:BG10"/>
    <mergeCell ref="BH10:BK10"/>
    <mergeCell ref="AV13:AY13"/>
    <mergeCell ref="AZ13:BC13"/>
    <mergeCell ref="BD13:BG13"/>
    <mergeCell ref="AV11:AY11"/>
    <mergeCell ref="AZ11:BC11"/>
    <mergeCell ref="BD11:BG11"/>
    <mergeCell ref="BH11:BK11"/>
    <mergeCell ref="AV12:AY12"/>
    <mergeCell ref="AZ12:BC12"/>
    <mergeCell ref="AT11:AU11"/>
    <mergeCell ref="A11:E34"/>
    <mergeCell ref="F11:H34"/>
    <mergeCell ref="I11:M13"/>
    <mergeCell ref="N11:O11"/>
    <mergeCell ref="P11:S11"/>
    <mergeCell ref="T11:W11"/>
    <mergeCell ref="X10:AA10"/>
    <mergeCell ref="AB10:AE10"/>
    <mergeCell ref="AG10:AK10"/>
    <mergeCell ref="X11:AA11"/>
    <mergeCell ref="AB11:AE11"/>
    <mergeCell ref="AG11:AK34"/>
    <mergeCell ref="N12:O12"/>
    <mergeCell ref="P12:S12"/>
    <mergeCell ref="T12:W12"/>
    <mergeCell ref="I14:M16"/>
    <mergeCell ref="N14:O14"/>
    <mergeCell ref="P14:S14"/>
    <mergeCell ref="T14:W14"/>
    <mergeCell ref="N13:O13"/>
    <mergeCell ref="P13:S13"/>
    <mergeCell ref="T13:W13"/>
    <mergeCell ref="N16:O16"/>
    <mergeCell ref="P16:S16"/>
    <mergeCell ref="AL10:AN10"/>
    <mergeCell ref="AO10:AS10"/>
    <mergeCell ref="AT10:AU10"/>
    <mergeCell ref="A10:E10"/>
    <mergeCell ref="F10:H10"/>
    <mergeCell ref="I10:M10"/>
    <mergeCell ref="N10:O10"/>
    <mergeCell ref="P10:S10"/>
    <mergeCell ref="T10:W10"/>
    <mergeCell ref="AT4:AU4"/>
    <mergeCell ref="AV4:BB4"/>
    <mergeCell ref="AB5:AC5"/>
    <mergeCell ref="AB7:AC7"/>
    <mergeCell ref="AD7:AJ7"/>
    <mergeCell ref="AK7:AL7"/>
    <mergeCell ref="AM7:AS7"/>
    <mergeCell ref="AB8:AC8"/>
    <mergeCell ref="AD8:AJ8"/>
    <mergeCell ref="AK8:AL8"/>
    <mergeCell ref="AM8:AS8"/>
    <mergeCell ref="AD5:AJ5"/>
    <mergeCell ref="AK5:AL5"/>
    <mergeCell ref="AM5:AS5"/>
    <mergeCell ref="A6:K7"/>
    <mergeCell ref="AB6:AC6"/>
    <mergeCell ref="AD6:AJ6"/>
    <mergeCell ref="AK6:AL6"/>
    <mergeCell ref="AM6:AS6"/>
    <mergeCell ref="A4:K5"/>
    <mergeCell ref="L4:Y7"/>
    <mergeCell ref="AB4:AC4"/>
    <mergeCell ref="AD4:AJ4"/>
    <mergeCell ref="AK4:AL4"/>
    <mergeCell ref="AM4:AS4"/>
    <mergeCell ref="X58:AA58"/>
    <mergeCell ref="AB58:AE58"/>
    <mergeCell ref="A39:T39"/>
    <mergeCell ref="A40:H40"/>
    <mergeCell ref="I40:T40"/>
    <mergeCell ref="A41:H41"/>
    <mergeCell ref="I41:T41"/>
    <mergeCell ref="A58:E58"/>
    <mergeCell ref="F58:H58"/>
    <mergeCell ref="I58:M58"/>
    <mergeCell ref="N58:O58"/>
    <mergeCell ref="P58:S58"/>
    <mergeCell ref="T58:W58"/>
  </mergeCells>
  <phoneticPr fontId="2"/>
  <pageMargins left="0.39370078740157483" right="0.39370078740157483" top="0.59055118110236227" bottom="0.39370078740157483" header="0.51181102362204722" footer="0.19685039370078741"/>
  <pageSetup paperSize="9" scale="90" firstPageNumber="19" orientation="portrait" useFirstPageNumber="1" r:id="rId1"/>
  <headerFooter alignWithMargins="0">
    <oddFooter>&amp;C20260511臨時改定価格_SP_マットポリポリ&amp;R　　&amp;P/&amp;N</oddFooter>
  </headerFooter>
  <rowBreaks count="1" manualBreakCount="1">
    <brk id="54" max="62"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6F23-4356-43B5-A179-D4CBC24B1917}">
  <sheetPr>
    <tabColor indexed="10"/>
  </sheetPr>
  <dimension ref="A1:BM161"/>
  <sheetViews>
    <sheetView view="pageBreakPreview" zoomScaleSheetLayoutView="100" workbookViewId="0">
      <selection activeCell="BS8" sqref="BS8"/>
    </sheetView>
  </sheetViews>
  <sheetFormatPr defaultColWidth="8.875" defaultRowHeight="13.5"/>
  <cols>
    <col min="1" max="90" width="1.625" style="1" customWidth="1"/>
    <col min="91" max="16384" width="8.875" style="1"/>
  </cols>
  <sheetData>
    <row r="1" spans="1:54" ht="21">
      <c r="A1" s="79"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54" ht="16.5" customHeight="1">
      <c r="A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row>
    <row r="3" spans="1:54" ht="16.5" customHeight="1"/>
    <row r="4" spans="1:54" ht="16.5" customHeight="1">
      <c r="A4" s="109" t="s">
        <v>0</v>
      </c>
      <c r="B4" s="110"/>
      <c r="C4" s="110"/>
      <c r="D4" s="110"/>
      <c r="E4" s="110"/>
      <c r="F4" s="110"/>
      <c r="G4" s="110"/>
      <c r="H4" s="110"/>
      <c r="I4" s="110"/>
      <c r="J4" s="110"/>
      <c r="K4" s="110"/>
      <c r="L4" s="123" t="s">
        <v>216</v>
      </c>
      <c r="M4" s="124"/>
      <c r="N4" s="124"/>
      <c r="O4" s="124"/>
      <c r="P4" s="124"/>
      <c r="Q4" s="124"/>
      <c r="R4" s="124"/>
      <c r="S4" s="124"/>
      <c r="T4" s="124"/>
      <c r="U4" s="124"/>
      <c r="V4" s="124"/>
      <c r="W4" s="124"/>
      <c r="X4" s="124"/>
      <c r="Y4" s="124"/>
      <c r="Z4" s="4"/>
      <c r="AA4" s="4"/>
    </row>
    <row r="5" spans="1:54" ht="16.5" customHeight="1">
      <c r="A5" s="111"/>
      <c r="B5" s="112"/>
      <c r="C5" s="112"/>
      <c r="D5" s="112"/>
      <c r="E5" s="112"/>
      <c r="F5" s="112"/>
      <c r="G5" s="112"/>
      <c r="H5" s="112"/>
      <c r="I5" s="112"/>
      <c r="J5" s="112"/>
      <c r="K5" s="112"/>
      <c r="L5" s="125"/>
      <c r="M5" s="126"/>
      <c r="N5" s="126"/>
      <c r="O5" s="126"/>
      <c r="P5" s="126"/>
      <c r="Q5" s="126"/>
      <c r="R5" s="126"/>
      <c r="S5" s="126"/>
      <c r="T5" s="126"/>
      <c r="U5" s="126"/>
      <c r="V5" s="126"/>
      <c r="W5" s="126"/>
      <c r="X5" s="126"/>
      <c r="Y5" s="126"/>
      <c r="Z5" s="4"/>
      <c r="AA5" s="4"/>
    </row>
    <row r="6" spans="1:54" ht="16.5" customHeight="1">
      <c r="A6" s="103" t="s">
        <v>2</v>
      </c>
      <c r="B6" s="104"/>
      <c r="C6" s="104"/>
      <c r="D6" s="104"/>
      <c r="E6" s="104"/>
      <c r="F6" s="104"/>
      <c r="G6" s="104"/>
      <c r="H6" s="104"/>
      <c r="I6" s="104"/>
      <c r="J6" s="104"/>
      <c r="K6" s="105"/>
      <c r="L6" s="125"/>
      <c r="M6" s="126"/>
      <c r="N6" s="126"/>
      <c r="O6" s="126"/>
      <c r="P6" s="126"/>
      <c r="Q6" s="126"/>
      <c r="R6" s="126"/>
      <c r="S6" s="126"/>
      <c r="T6" s="126"/>
      <c r="U6" s="126"/>
      <c r="V6" s="126"/>
      <c r="W6" s="126"/>
      <c r="X6" s="126"/>
      <c r="Y6" s="126"/>
      <c r="Z6" s="4"/>
      <c r="AA6" s="4"/>
    </row>
    <row r="7" spans="1:54" ht="16.5" customHeight="1">
      <c r="A7" s="106"/>
      <c r="B7" s="107"/>
      <c r="C7" s="107"/>
      <c r="D7" s="107"/>
      <c r="E7" s="107"/>
      <c r="F7" s="107"/>
      <c r="G7" s="107"/>
      <c r="H7" s="107"/>
      <c r="I7" s="107"/>
      <c r="J7" s="107"/>
      <c r="K7" s="108"/>
      <c r="L7" s="127"/>
      <c r="M7" s="128"/>
      <c r="N7" s="128"/>
      <c r="O7" s="128"/>
      <c r="P7" s="128"/>
      <c r="Q7" s="128"/>
      <c r="R7" s="128"/>
      <c r="S7" s="128"/>
      <c r="T7" s="128"/>
      <c r="U7" s="128"/>
      <c r="V7" s="128"/>
      <c r="W7" s="128"/>
      <c r="X7" s="128"/>
      <c r="Y7" s="128"/>
      <c r="Z7" s="4"/>
      <c r="AA7" s="4"/>
    </row>
    <row r="8" spans="1:54" ht="16.5" customHeight="1">
      <c r="A8" s="70"/>
      <c r="B8" s="70"/>
      <c r="C8" s="70"/>
      <c r="D8" s="70"/>
      <c r="E8" s="70"/>
      <c r="F8" s="70"/>
      <c r="G8" s="70"/>
      <c r="H8" s="70"/>
      <c r="I8" s="70"/>
      <c r="J8" s="70"/>
      <c r="K8" s="70"/>
      <c r="L8" s="4"/>
      <c r="M8" s="4"/>
      <c r="N8" s="4"/>
      <c r="O8" s="4"/>
      <c r="P8" s="4"/>
      <c r="Q8" s="4"/>
      <c r="R8" s="4"/>
      <c r="S8" s="4"/>
      <c r="T8" s="4"/>
      <c r="U8" s="4"/>
      <c r="V8" s="4"/>
      <c r="W8" s="4"/>
      <c r="X8" s="4"/>
      <c r="Y8" s="4"/>
      <c r="Z8" s="4"/>
      <c r="AA8" s="4"/>
    </row>
    <row r="9" spans="1:54" ht="16.5" customHeight="1">
      <c r="A9" s="119">
        <v>801</v>
      </c>
      <c r="B9" s="119"/>
      <c r="C9" s="140" t="s">
        <v>217</v>
      </c>
      <c r="D9" s="140"/>
      <c r="E9" s="140"/>
      <c r="F9" s="140"/>
      <c r="G9" s="140"/>
      <c r="H9" s="140"/>
      <c r="I9" s="140"/>
      <c r="J9" s="119">
        <v>869</v>
      </c>
      <c r="K9" s="119"/>
      <c r="L9" s="140" t="s">
        <v>245</v>
      </c>
      <c r="M9" s="140"/>
      <c r="N9" s="140"/>
      <c r="O9" s="140"/>
      <c r="P9" s="140"/>
      <c r="Q9" s="140"/>
      <c r="R9" s="140"/>
      <c r="S9" s="119">
        <v>920</v>
      </c>
      <c r="T9" s="119"/>
      <c r="U9" s="140" t="s">
        <v>238</v>
      </c>
      <c r="V9" s="140"/>
      <c r="W9" s="140"/>
      <c r="X9" s="140"/>
      <c r="Y9" s="140"/>
      <c r="Z9" s="140"/>
      <c r="AA9" s="140"/>
      <c r="AB9" s="119">
        <v>980</v>
      </c>
      <c r="AC9" s="119"/>
      <c r="AD9" s="140" t="s">
        <v>231</v>
      </c>
      <c r="AE9" s="140"/>
      <c r="AF9" s="140"/>
      <c r="AG9" s="140"/>
      <c r="AH9" s="140"/>
      <c r="AI9" s="140"/>
      <c r="AJ9" s="140"/>
      <c r="AK9" s="119">
        <v>1008</v>
      </c>
      <c r="AL9" s="119"/>
      <c r="AM9" s="140" t="s">
        <v>224</v>
      </c>
      <c r="AN9" s="140"/>
      <c r="AO9" s="140"/>
      <c r="AP9" s="140"/>
      <c r="AQ9" s="140"/>
      <c r="AR9" s="140"/>
      <c r="AS9" s="140"/>
      <c r="AT9" s="100">
        <v>1016</v>
      </c>
      <c r="AU9" s="100"/>
      <c r="AV9" s="102" t="s">
        <v>252</v>
      </c>
      <c r="AW9" s="102"/>
      <c r="AX9" s="102"/>
      <c r="AY9" s="102"/>
      <c r="AZ9" s="102"/>
      <c r="BA9" s="102"/>
      <c r="BB9" s="102"/>
    </row>
    <row r="10" spans="1:54" ht="16.5" customHeight="1">
      <c r="A10" s="141">
        <v>824</v>
      </c>
      <c r="B10" s="141"/>
      <c r="C10" s="142" t="s">
        <v>221</v>
      </c>
      <c r="D10" s="142"/>
      <c r="E10" s="142"/>
      <c r="F10" s="142"/>
      <c r="G10" s="142"/>
      <c r="H10" s="142"/>
      <c r="I10" s="142"/>
      <c r="J10" s="141">
        <v>870</v>
      </c>
      <c r="K10" s="141"/>
      <c r="L10" s="142" t="s">
        <v>249</v>
      </c>
      <c r="M10" s="142"/>
      <c r="N10" s="142"/>
      <c r="O10" s="142"/>
      <c r="P10" s="142"/>
      <c r="Q10" s="142"/>
      <c r="R10" s="142"/>
      <c r="S10" s="141">
        <v>931</v>
      </c>
      <c r="T10" s="141"/>
      <c r="U10" s="142" t="s">
        <v>242</v>
      </c>
      <c r="V10" s="142"/>
      <c r="W10" s="142"/>
      <c r="X10" s="142"/>
      <c r="Y10" s="142"/>
      <c r="Z10" s="142"/>
      <c r="AA10" s="142"/>
      <c r="AB10" s="141">
        <v>981</v>
      </c>
      <c r="AC10" s="141"/>
      <c r="AD10" s="142" t="s">
        <v>235</v>
      </c>
      <c r="AE10" s="142"/>
      <c r="AF10" s="142"/>
      <c r="AG10" s="142"/>
      <c r="AH10" s="142"/>
      <c r="AI10" s="142"/>
      <c r="AJ10" s="142"/>
      <c r="AK10" s="141">
        <v>1009</v>
      </c>
      <c r="AL10" s="141"/>
      <c r="AM10" s="142" t="s">
        <v>228</v>
      </c>
      <c r="AN10" s="142"/>
      <c r="AO10" s="142"/>
      <c r="AP10" s="142"/>
      <c r="AQ10" s="142"/>
      <c r="AR10" s="142"/>
      <c r="AS10" s="142"/>
    </row>
    <row r="11" spans="1:54" ht="16.5" customHeight="1">
      <c r="A11" s="141">
        <v>857</v>
      </c>
      <c r="B11" s="141"/>
      <c r="C11" s="142" t="s">
        <v>225</v>
      </c>
      <c r="D11" s="142"/>
      <c r="E11" s="142"/>
      <c r="F11" s="142"/>
      <c r="G11" s="142"/>
      <c r="H11" s="142"/>
      <c r="I11" s="142"/>
      <c r="J11" s="141">
        <v>892</v>
      </c>
      <c r="K11" s="141"/>
      <c r="L11" s="142" t="s">
        <v>218</v>
      </c>
      <c r="M11" s="142"/>
      <c r="N11" s="142"/>
      <c r="O11" s="142"/>
      <c r="P11" s="142"/>
      <c r="Q11" s="142"/>
      <c r="R11" s="142"/>
      <c r="S11" s="141">
        <v>945</v>
      </c>
      <c r="T11" s="141"/>
      <c r="U11" s="142" t="s">
        <v>246</v>
      </c>
      <c r="V11" s="142"/>
      <c r="W11" s="142"/>
      <c r="X11" s="142"/>
      <c r="Y11" s="142"/>
      <c r="Z11" s="142"/>
      <c r="AA11" s="142"/>
      <c r="AB11" s="141">
        <v>983</v>
      </c>
      <c r="AC11" s="141"/>
      <c r="AD11" s="142" t="s">
        <v>239</v>
      </c>
      <c r="AE11" s="142"/>
      <c r="AF11" s="142"/>
      <c r="AG11" s="142"/>
      <c r="AH11" s="142"/>
      <c r="AI11" s="142"/>
      <c r="AJ11" s="142"/>
      <c r="AK11" s="141">
        <v>1010</v>
      </c>
      <c r="AL11" s="141"/>
      <c r="AM11" s="142" t="s">
        <v>232</v>
      </c>
      <c r="AN11" s="142"/>
      <c r="AO11" s="142"/>
      <c r="AP11" s="142"/>
      <c r="AQ11" s="142"/>
      <c r="AR11" s="142"/>
      <c r="AS11" s="142"/>
    </row>
    <row r="12" spans="1:54" ht="16.5" customHeight="1">
      <c r="A12" s="141">
        <v>859</v>
      </c>
      <c r="B12" s="141"/>
      <c r="C12" s="142" t="s">
        <v>229</v>
      </c>
      <c r="D12" s="142"/>
      <c r="E12" s="142"/>
      <c r="F12" s="142"/>
      <c r="G12" s="142"/>
      <c r="H12" s="142"/>
      <c r="I12" s="142"/>
      <c r="J12" s="141">
        <v>893</v>
      </c>
      <c r="K12" s="141"/>
      <c r="L12" s="142" t="s">
        <v>222</v>
      </c>
      <c r="M12" s="142"/>
      <c r="N12" s="142"/>
      <c r="O12" s="142"/>
      <c r="P12" s="142"/>
      <c r="Q12" s="142"/>
      <c r="R12" s="142"/>
      <c r="S12" s="141">
        <v>950</v>
      </c>
      <c r="T12" s="141"/>
      <c r="U12" s="142" t="s">
        <v>250</v>
      </c>
      <c r="V12" s="142"/>
      <c r="W12" s="142"/>
      <c r="X12" s="142"/>
      <c r="Y12" s="142"/>
      <c r="Z12" s="142"/>
      <c r="AA12" s="142"/>
      <c r="AB12" s="141">
        <v>990</v>
      </c>
      <c r="AC12" s="141"/>
      <c r="AD12" s="142" t="s">
        <v>243</v>
      </c>
      <c r="AE12" s="142"/>
      <c r="AF12" s="142"/>
      <c r="AG12" s="142"/>
      <c r="AH12" s="142"/>
      <c r="AI12" s="142"/>
      <c r="AJ12" s="142"/>
      <c r="AK12" s="141">
        <v>1011</v>
      </c>
      <c r="AL12" s="141"/>
      <c r="AM12" s="142" t="s">
        <v>236</v>
      </c>
      <c r="AN12" s="142"/>
      <c r="AO12" s="142"/>
      <c r="AP12" s="142"/>
      <c r="AQ12" s="142"/>
      <c r="AR12" s="142"/>
      <c r="AS12" s="142"/>
    </row>
    <row r="13" spans="1:54" ht="16.5" customHeight="1">
      <c r="A13" s="141">
        <v>865</v>
      </c>
      <c r="B13" s="141"/>
      <c r="C13" s="142" t="s">
        <v>233</v>
      </c>
      <c r="D13" s="142"/>
      <c r="E13" s="142"/>
      <c r="F13" s="142"/>
      <c r="G13" s="142"/>
      <c r="H13" s="142"/>
      <c r="I13" s="142"/>
      <c r="J13" s="141">
        <v>894</v>
      </c>
      <c r="K13" s="141"/>
      <c r="L13" s="142" t="s">
        <v>226</v>
      </c>
      <c r="M13" s="142"/>
      <c r="N13" s="142"/>
      <c r="O13" s="142"/>
      <c r="P13" s="142"/>
      <c r="Q13" s="142"/>
      <c r="R13" s="142"/>
      <c r="S13" s="141">
        <v>957</v>
      </c>
      <c r="T13" s="141"/>
      <c r="U13" s="142" t="s">
        <v>219</v>
      </c>
      <c r="V13" s="142"/>
      <c r="W13" s="142"/>
      <c r="X13" s="142"/>
      <c r="Y13" s="142"/>
      <c r="Z13" s="142"/>
      <c r="AA13" s="142"/>
      <c r="AB13" s="141">
        <v>991</v>
      </c>
      <c r="AC13" s="141"/>
      <c r="AD13" s="142" t="s">
        <v>247</v>
      </c>
      <c r="AE13" s="142"/>
      <c r="AF13" s="142"/>
      <c r="AG13" s="142"/>
      <c r="AH13" s="142"/>
      <c r="AI13" s="142"/>
      <c r="AJ13" s="142"/>
      <c r="AK13" s="141">
        <v>1012</v>
      </c>
      <c r="AL13" s="141"/>
      <c r="AM13" s="142" t="s">
        <v>240</v>
      </c>
      <c r="AN13" s="142"/>
      <c r="AO13" s="142"/>
      <c r="AP13" s="142"/>
      <c r="AQ13" s="142"/>
      <c r="AR13" s="142"/>
      <c r="AS13" s="142"/>
    </row>
    <row r="14" spans="1:54" ht="16.5" customHeight="1">
      <c r="A14" s="141">
        <v>867</v>
      </c>
      <c r="B14" s="141"/>
      <c r="C14" s="142" t="s">
        <v>237</v>
      </c>
      <c r="D14" s="142"/>
      <c r="E14" s="142"/>
      <c r="F14" s="142"/>
      <c r="G14" s="142"/>
      <c r="H14" s="142"/>
      <c r="I14" s="142"/>
      <c r="J14" s="141">
        <v>895</v>
      </c>
      <c r="K14" s="141"/>
      <c r="L14" s="142" t="s">
        <v>230</v>
      </c>
      <c r="M14" s="142"/>
      <c r="N14" s="142"/>
      <c r="O14" s="142"/>
      <c r="P14" s="142"/>
      <c r="Q14" s="142"/>
      <c r="R14" s="142"/>
      <c r="S14" s="141">
        <v>960</v>
      </c>
      <c r="T14" s="141"/>
      <c r="U14" s="142" t="s">
        <v>223</v>
      </c>
      <c r="V14" s="142"/>
      <c r="W14" s="142"/>
      <c r="X14" s="142"/>
      <c r="Y14" s="142"/>
      <c r="Z14" s="142"/>
      <c r="AA14" s="142"/>
      <c r="AB14" s="141">
        <v>1006</v>
      </c>
      <c r="AC14" s="141"/>
      <c r="AD14" s="142" t="s">
        <v>251</v>
      </c>
      <c r="AE14" s="142"/>
      <c r="AF14" s="142"/>
      <c r="AG14" s="142"/>
      <c r="AH14" s="142"/>
      <c r="AI14" s="142"/>
      <c r="AJ14" s="142"/>
      <c r="AK14" s="141">
        <v>1014</v>
      </c>
      <c r="AL14" s="141"/>
      <c r="AM14" s="142" t="s">
        <v>244</v>
      </c>
      <c r="AN14" s="142"/>
      <c r="AO14" s="142"/>
      <c r="AP14" s="142"/>
      <c r="AQ14" s="142"/>
      <c r="AR14" s="142"/>
      <c r="AS14" s="142"/>
    </row>
    <row r="15" spans="1:54" ht="16.5" customHeight="1">
      <c r="A15" s="151">
        <v>868</v>
      </c>
      <c r="B15" s="151"/>
      <c r="C15" s="152" t="s">
        <v>241</v>
      </c>
      <c r="D15" s="152"/>
      <c r="E15" s="152"/>
      <c r="F15" s="152"/>
      <c r="G15" s="152"/>
      <c r="H15" s="152"/>
      <c r="I15" s="152"/>
      <c r="J15" s="151">
        <v>896</v>
      </c>
      <c r="K15" s="151"/>
      <c r="L15" s="152" t="s">
        <v>234</v>
      </c>
      <c r="M15" s="152"/>
      <c r="N15" s="152"/>
      <c r="O15" s="152"/>
      <c r="P15" s="152"/>
      <c r="Q15" s="152"/>
      <c r="R15" s="152"/>
      <c r="S15" s="151">
        <v>973</v>
      </c>
      <c r="T15" s="151"/>
      <c r="U15" s="152" t="s">
        <v>227</v>
      </c>
      <c r="V15" s="152"/>
      <c r="W15" s="152"/>
      <c r="X15" s="152"/>
      <c r="Y15" s="152"/>
      <c r="Z15" s="152"/>
      <c r="AA15" s="152"/>
      <c r="AB15" s="151">
        <v>1007</v>
      </c>
      <c r="AC15" s="151"/>
      <c r="AD15" s="152" t="s">
        <v>220</v>
      </c>
      <c r="AE15" s="152"/>
      <c r="AF15" s="152"/>
      <c r="AG15" s="152"/>
      <c r="AH15" s="152"/>
      <c r="AI15" s="152"/>
      <c r="AJ15" s="152"/>
      <c r="AK15" s="151">
        <v>1015</v>
      </c>
      <c r="AL15" s="151"/>
      <c r="AM15" s="152" t="s">
        <v>248</v>
      </c>
      <c r="AN15" s="152"/>
      <c r="AO15" s="152"/>
      <c r="AP15" s="152"/>
      <c r="AQ15" s="152"/>
      <c r="AR15" s="152"/>
      <c r="AS15" s="152"/>
    </row>
    <row r="16" spans="1:54" ht="16.5" customHeight="1"/>
    <row r="17" spans="1:49" ht="16.5" customHeight="1">
      <c r="A17" s="98" t="s">
        <v>3</v>
      </c>
      <c r="B17" s="98"/>
      <c r="C17" s="98"/>
      <c r="D17" s="98"/>
      <c r="E17" s="98"/>
      <c r="F17" s="98" t="s">
        <v>4</v>
      </c>
      <c r="G17" s="98"/>
      <c r="H17" s="98"/>
      <c r="I17" s="98" t="s">
        <v>5</v>
      </c>
      <c r="J17" s="98"/>
      <c r="K17" s="98"/>
      <c r="L17" s="98"/>
      <c r="M17" s="98"/>
      <c r="N17" s="98"/>
      <c r="O17" s="98"/>
      <c r="P17" s="98" t="s">
        <v>6</v>
      </c>
      <c r="Q17" s="98"/>
      <c r="R17" s="98"/>
      <c r="S17" s="98"/>
      <c r="T17" s="98" t="s">
        <v>253</v>
      </c>
      <c r="U17" s="98"/>
      <c r="V17" s="98"/>
      <c r="W17" s="98"/>
      <c r="AA17" s="98" t="s">
        <v>3</v>
      </c>
      <c r="AB17" s="98"/>
      <c r="AC17" s="98"/>
      <c r="AD17" s="98"/>
      <c r="AE17" s="98"/>
      <c r="AF17" s="98" t="s">
        <v>4</v>
      </c>
      <c r="AG17" s="98"/>
      <c r="AH17" s="98"/>
      <c r="AI17" s="98" t="s">
        <v>5</v>
      </c>
      <c r="AJ17" s="98"/>
      <c r="AK17" s="98"/>
      <c r="AL17" s="98"/>
      <c r="AM17" s="98"/>
      <c r="AN17" s="98"/>
      <c r="AO17" s="98"/>
      <c r="AP17" s="98" t="s">
        <v>6</v>
      </c>
      <c r="AQ17" s="98"/>
      <c r="AR17" s="98"/>
      <c r="AS17" s="98"/>
      <c r="AT17" s="98" t="s">
        <v>253</v>
      </c>
      <c r="AU17" s="98"/>
      <c r="AV17" s="98"/>
      <c r="AW17" s="98"/>
    </row>
    <row r="18" spans="1:49" ht="16.5" customHeight="1">
      <c r="A18" s="93" t="s">
        <v>254</v>
      </c>
      <c r="B18" s="93"/>
      <c r="C18" s="93"/>
      <c r="D18" s="93"/>
      <c r="E18" s="93"/>
      <c r="F18" s="164">
        <v>2</v>
      </c>
      <c r="G18" s="164"/>
      <c r="H18" s="164"/>
      <c r="I18" s="95" t="s">
        <v>255</v>
      </c>
      <c r="J18" s="95"/>
      <c r="K18" s="95"/>
      <c r="L18" s="95"/>
      <c r="M18" s="95"/>
      <c r="N18" s="100" t="s">
        <v>184</v>
      </c>
      <c r="O18" s="100"/>
      <c r="P18" s="361">
        <f>CEILING(79.5*1.35,0.5)</f>
        <v>107.5</v>
      </c>
      <c r="Q18" s="361"/>
      <c r="R18" s="361"/>
      <c r="S18" s="361"/>
      <c r="T18" s="362">
        <f>P18+15</f>
        <v>122.5</v>
      </c>
      <c r="U18" s="362"/>
      <c r="V18" s="362"/>
      <c r="W18" s="362"/>
      <c r="AA18" s="365">
        <v>1016</v>
      </c>
      <c r="AB18" s="365"/>
      <c r="AC18" s="365"/>
      <c r="AD18" s="365"/>
      <c r="AE18" s="365"/>
      <c r="AF18" s="164">
        <v>4</v>
      </c>
      <c r="AG18" s="164"/>
      <c r="AH18" s="164"/>
      <c r="AI18" s="95" t="s">
        <v>255</v>
      </c>
      <c r="AJ18" s="95"/>
      <c r="AK18" s="95"/>
      <c r="AL18" s="95"/>
      <c r="AM18" s="95"/>
      <c r="AN18" s="100" t="s">
        <v>10</v>
      </c>
      <c r="AO18" s="100"/>
      <c r="AP18" s="101">
        <f>CEILING(90*1.35,0.5)</f>
        <v>121.5</v>
      </c>
      <c r="AQ18" s="101"/>
      <c r="AR18" s="101"/>
      <c r="AS18" s="101"/>
      <c r="AT18" s="99">
        <f>AP18+15</f>
        <v>136.5</v>
      </c>
      <c r="AU18" s="99"/>
      <c r="AV18" s="99"/>
      <c r="AW18" s="99"/>
    </row>
    <row r="19" spans="1:49" ht="16.5" customHeight="1">
      <c r="A19" s="93"/>
      <c r="B19" s="93"/>
      <c r="C19" s="93"/>
      <c r="D19" s="93"/>
      <c r="E19" s="93"/>
      <c r="F19" s="165"/>
      <c r="G19" s="165"/>
      <c r="H19" s="165"/>
      <c r="I19" s="95"/>
      <c r="J19" s="95"/>
      <c r="K19" s="95"/>
      <c r="L19" s="95"/>
      <c r="M19" s="95"/>
      <c r="N19" s="100" t="s">
        <v>186</v>
      </c>
      <c r="O19" s="100"/>
      <c r="P19" s="362">
        <f>CEILING(P18*0.92,0.5)</f>
        <v>99</v>
      </c>
      <c r="Q19" s="362"/>
      <c r="R19" s="362"/>
      <c r="S19" s="362"/>
      <c r="T19" s="362">
        <f>CEILING(T18*0.92,0.5)</f>
        <v>113</v>
      </c>
      <c r="U19" s="362"/>
      <c r="V19" s="362"/>
      <c r="W19" s="362"/>
      <c r="AA19" s="365"/>
      <c r="AB19" s="365"/>
      <c r="AC19" s="365"/>
      <c r="AD19" s="365"/>
      <c r="AE19" s="365"/>
      <c r="AF19" s="165"/>
      <c r="AG19" s="165"/>
      <c r="AH19" s="165"/>
      <c r="AI19" s="95"/>
      <c r="AJ19" s="95"/>
      <c r="AK19" s="95"/>
      <c r="AL19" s="95"/>
      <c r="AM19" s="95"/>
      <c r="AN19" s="100" t="s">
        <v>11</v>
      </c>
      <c r="AO19" s="100"/>
      <c r="AP19" s="99">
        <f>CEILING(AP18*0.92,0.5)</f>
        <v>112</v>
      </c>
      <c r="AQ19" s="99"/>
      <c r="AR19" s="99"/>
      <c r="AS19" s="99"/>
      <c r="AT19" s="99">
        <f>CEILING(AT18*0.92,0.5)</f>
        <v>126</v>
      </c>
      <c r="AU19" s="99"/>
      <c r="AV19" s="99"/>
      <c r="AW19" s="99"/>
    </row>
    <row r="20" spans="1:49" ht="16.5" customHeight="1">
      <c r="A20" s="93"/>
      <c r="B20" s="93"/>
      <c r="C20" s="93"/>
      <c r="D20" s="93"/>
      <c r="E20" s="93"/>
      <c r="F20" s="165"/>
      <c r="G20" s="165"/>
      <c r="H20" s="165"/>
      <c r="I20" s="95"/>
      <c r="J20" s="95"/>
      <c r="K20" s="95"/>
      <c r="L20" s="95"/>
      <c r="M20" s="95"/>
      <c r="N20" s="100" t="s">
        <v>96</v>
      </c>
      <c r="O20" s="100"/>
      <c r="P20" s="361">
        <f>CEILING(70*1.35,0.5)</f>
        <v>94.5</v>
      </c>
      <c r="Q20" s="361"/>
      <c r="R20" s="361"/>
      <c r="S20" s="361"/>
      <c r="T20" s="362">
        <f>P20+15</f>
        <v>109.5</v>
      </c>
      <c r="U20" s="362"/>
      <c r="V20" s="362"/>
      <c r="W20" s="362"/>
      <c r="AA20" s="365"/>
      <c r="AB20" s="365"/>
      <c r="AC20" s="365"/>
      <c r="AD20" s="365"/>
      <c r="AE20" s="365"/>
      <c r="AF20" s="165"/>
      <c r="AG20" s="165"/>
      <c r="AH20" s="165"/>
      <c r="AI20" s="95"/>
      <c r="AJ20" s="95"/>
      <c r="AK20" s="95"/>
      <c r="AL20" s="95"/>
      <c r="AM20" s="95"/>
      <c r="AN20" s="100" t="s">
        <v>12</v>
      </c>
      <c r="AO20" s="100"/>
      <c r="AP20" s="101">
        <f>CEILING(78*1.35,0.5)</f>
        <v>105.5</v>
      </c>
      <c r="AQ20" s="101"/>
      <c r="AR20" s="101"/>
      <c r="AS20" s="101"/>
      <c r="AT20" s="99">
        <f>AP20+15</f>
        <v>120.5</v>
      </c>
      <c r="AU20" s="99"/>
      <c r="AV20" s="99"/>
      <c r="AW20" s="99"/>
    </row>
    <row r="21" spans="1:49" ht="16.5" customHeight="1">
      <c r="A21" s="93"/>
      <c r="B21" s="93"/>
      <c r="C21" s="93"/>
      <c r="D21" s="93"/>
      <c r="E21" s="93"/>
      <c r="F21" s="165"/>
      <c r="G21" s="165"/>
      <c r="H21" s="165"/>
      <c r="I21" s="97" t="s">
        <v>256</v>
      </c>
      <c r="J21" s="97"/>
      <c r="K21" s="97"/>
      <c r="L21" s="97"/>
      <c r="M21" s="97"/>
      <c r="N21" s="98" t="s">
        <v>184</v>
      </c>
      <c r="O21" s="98"/>
      <c r="P21" s="363">
        <f>CEILING(P18*0.35+5,0.5)</f>
        <v>43</v>
      </c>
      <c r="Q21" s="363"/>
      <c r="R21" s="363"/>
      <c r="S21" s="363"/>
      <c r="T21" s="363">
        <f>CEILING(T18*0.35+5,0.5)</f>
        <v>48</v>
      </c>
      <c r="U21" s="363"/>
      <c r="V21" s="363"/>
      <c r="W21" s="363"/>
      <c r="AA21" s="365"/>
      <c r="AB21" s="365"/>
      <c r="AC21" s="365"/>
      <c r="AD21" s="365"/>
      <c r="AE21" s="365"/>
      <c r="AF21" s="165"/>
      <c r="AG21" s="165"/>
      <c r="AH21" s="165"/>
      <c r="AI21" s="97" t="s">
        <v>257</v>
      </c>
      <c r="AJ21" s="97"/>
      <c r="AK21" s="97"/>
      <c r="AL21" s="97"/>
      <c r="AM21" s="97"/>
      <c r="AN21" s="98" t="s">
        <v>10</v>
      </c>
      <c r="AO21" s="98"/>
      <c r="AP21" s="96">
        <f>CEILING(AP18*0.42+5,0.5)</f>
        <v>56.5</v>
      </c>
      <c r="AQ21" s="96"/>
      <c r="AR21" s="96"/>
      <c r="AS21" s="96"/>
      <c r="AT21" s="96">
        <f>CEILING(AT18*0.42+5,0.5)</f>
        <v>62.5</v>
      </c>
      <c r="AU21" s="96"/>
      <c r="AV21" s="96"/>
      <c r="AW21" s="96"/>
    </row>
    <row r="22" spans="1:49" ht="16.5" customHeight="1">
      <c r="A22" s="93"/>
      <c r="B22" s="93"/>
      <c r="C22" s="93"/>
      <c r="D22" s="93"/>
      <c r="E22" s="93"/>
      <c r="F22" s="165"/>
      <c r="G22" s="165"/>
      <c r="H22" s="165"/>
      <c r="I22" s="97"/>
      <c r="J22" s="97"/>
      <c r="K22" s="97"/>
      <c r="L22" s="97"/>
      <c r="M22" s="97"/>
      <c r="N22" s="98" t="s">
        <v>186</v>
      </c>
      <c r="O22" s="98"/>
      <c r="P22" s="363">
        <f>CEILING(P21*0.92,0.5)</f>
        <v>40</v>
      </c>
      <c r="Q22" s="363"/>
      <c r="R22" s="363"/>
      <c r="S22" s="363"/>
      <c r="T22" s="363">
        <f>CEILING(T21*0.92,0.5)</f>
        <v>44.5</v>
      </c>
      <c r="U22" s="363"/>
      <c r="V22" s="363"/>
      <c r="W22" s="363"/>
      <c r="AA22" s="365"/>
      <c r="AB22" s="365"/>
      <c r="AC22" s="365"/>
      <c r="AD22" s="365"/>
      <c r="AE22" s="365"/>
      <c r="AF22" s="165"/>
      <c r="AG22" s="165"/>
      <c r="AH22" s="165"/>
      <c r="AI22" s="97"/>
      <c r="AJ22" s="97"/>
      <c r="AK22" s="97"/>
      <c r="AL22" s="97"/>
      <c r="AM22" s="97"/>
      <c r="AN22" s="98" t="s">
        <v>11</v>
      </c>
      <c r="AO22" s="98"/>
      <c r="AP22" s="96">
        <f>CEILING(AP21*0.92,0.5)</f>
        <v>52</v>
      </c>
      <c r="AQ22" s="96"/>
      <c r="AR22" s="96"/>
      <c r="AS22" s="96"/>
      <c r="AT22" s="96">
        <f>CEILING(AT21*0.92,0.5)</f>
        <v>57.5</v>
      </c>
      <c r="AU22" s="96"/>
      <c r="AV22" s="96"/>
      <c r="AW22" s="96"/>
    </row>
    <row r="23" spans="1:49" ht="16.5" customHeight="1">
      <c r="A23" s="93"/>
      <c r="B23" s="93"/>
      <c r="C23" s="93"/>
      <c r="D23" s="93"/>
      <c r="E23" s="93"/>
      <c r="F23" s="165"/>
      <c r="G23" s="165"/>
      <c r="H23" s="165"/>
      <c r="I23" s="97"/>
      <c r="J23" s="97"/>
      <c r="K23" s="97"/>
      <c r="L23" s="97"/>
      <c r="M23" s="97"/>
      <c r="N23" s="98" t="s">
        <v>96</v>
      </c>
      <c r="O23" s="98"/>
      <c r="P23" s="363">
        <f>CEILING(P20*0.35+5,0.5)</f>
        <v>38.5</v>
      </c>
      <c r="Q23" s="363"/>
      <c r="R23" s="363"/>
      <c r="S23" s="363"/>
      <c r="T23" s="363">
        <f>CEILING(T20*0.35+5,0.5)</f>
        <v>43.5</v>
      </c>
      <c r="U23" s="363"/>
      <c r="V23" s="363"/>
      <c r="W23" s="363"/>
      <c r="AA23" s="365"/>
      <c r="AB23" s="365"/>
      <c r="AC23" s="365"/>
      <c r="AD23" s="365"/>
      <c r="AE23" s="365"/>
      <c r="AF23" s="165"/>
      <c r="AG23" s="165"/>
      <c r="AH23" s="165"/>
      <c r="AI23" s="97"/>
      <c r="AJ23" s="97"/>
      <c r="AK23" s="97"/>
      <c r="AL23" s="97"/>
      <c r="AM23" s="97"/>
      <c r="AN23" s="98" t="s">
        <v>12</v>
      </c>
      <c r="AO23" s="98"/>
      <c r="AP23" s="96">
        <f>CEILING(AP20*0.42+5,0.5)</f>
        <v>49.5</v>
      </c>
      <c r="AQ23" s="96"/>
      <c r="AR23" s="96"/>
      <c r="AS23" s="96"/>
      <c r="AT23" s="96">
        <f>CEILING(AT20*0.42+5,0.5)</f>
        <v>56</v>
      </c>
      <c r="AU23" s="96"/>
      <c r="AV23" s="96"/>
      <c r="AW23" s="96"/>
    </row>
    <row r="24" spans="1:49" ht="16.5" customHeight="1">
      <c r="A24" s="93"/>
      <c r="B24" s="93"/>
      <c r="C24" s="93"/>
      <c r="D24" s="93"/>
      <c r="E24" s="93"/>
      <c r="F24" s="165"/>
      <c r="G24" s="165"/>
      <c r="H24" s="165"/>
      <c r="I24" s="95" t="s">
        <v>258</v>
      </c>
      <c r="J24" s="95"/>
      <c r="K24" s="95"/>
      <c r="L24" s="95"/>
      <c r="M24" s="95"/>
      <c r="N24" s="100" t="s">
        <v>184</v>
      </c>
      <c r="O24" s="100"/>
      <c r="P24" s="362">
        <f>P18-5</f>
        <v>102.5</v>
      </c>
      <c r="Q24" s="362"/>
      <c r="R24" s="362"/>
      <c r="S24" s="362"/>
      <c r="T24" s="362">
        <f>P24+10</f>
        <v>112.5</v>
      </c>
      <c r="U24" s="362"/>
      <c r="V24" s="362"/>
      <c r="W24" s="362"/>
      <c r="AA24" s="365"/>
      <c r="AB24" s="365"/>
      <c r="AC24" s="365"/>
      <c r="AD24" s="365"/>
      <c r="AE24" s="365"/>
      <c r="AF24" s="165"/>
      <c r="AG24" s="165"/>
      <c r="AH24" s="165"/>
      <c r="AI24" s="95" t="s">
        <v>258</v>
      </c>
      <c r="AJ24" s="95"/>
      <c r="AK24" s="95"/>
      <c r="AL24" s="95"/>
      <c r="AM24" s="95"/>
      <c r="AN24" s="100" t="s">
        <v>10</v>
      </c>
      <c r="AO24" s="100"/>
      <c r="AP24" s="99">
        <f>AP18-5</f>
        <v>116.5</v>
      </c>
      <c r="AQ24" s="99"/>
      <c r="AR24" s="99"/>
      <c r="AS24" s="99"/>
      <c r="AT24" s="99">
        <f>AP24+10</f>
        <v>126.5</v>
      </c>
      <c r="AU24" s="99"/>
      <c r="AV24" s="99"/>
      <c r="AW24" s="99"/>
    </row>
    <row r="25" spans="1:49" ht="16.5" customHeight="1">
      <c r="A25" s="93"/>
      <c r="B25" s="93"/>
      <c r="C25" s="93"/>
      <c r="D25" s="93"/>
      <c r="E25" s="93"/>
      <c r="F25" s="165"/>
      <c r="G25" s="165"/>
      <c r="H25" s="165"/>
      <c r="I25" s="95"/>
      <c r="J25" s="95"/>
      <c r="K25" s="95"/>
      <c r="L25" s="95"/>
      <c r="M25" s="95"/>
      <c r="N25" s="100" t="s">
        <v>186</v>
      </c>
      <c r="O25" s="100"/>
      <c r="P25" s="362">
        <f>CEILING(P24*0.92,0.5)</f>
        <v>94.5</v>
      </c>
      <c r="Q25" s="362"/>
      <c r="R25" s="362"/>
      <c r="S25" s="362"/>
      <c r="T25" s="362">
        <f>CEILING(T24*0.92,0.5)</f>
        <v>103.5</v>
      </c>
      <c r="U25" s="362"/>
      <c r="V25" s="362"/>
      <c r="W25" s="362"/>
      <c r="AA25" s="365"/>
      <c r="AB25" s="365"/>
      <c r="AC25" s="365"/>
      <c r="AD25" s="365"/>
      <c r="AE25" s="365"/>
      <c r="AF25" s="165"/>
      <c r="AG25" s="165"/>
      <c r="AH25" s="165"/>
      <c r="AI25" s="95"/>
      <c r="AJ25" s="95"/>
      <c r="AK25" s="95"/>
      <c r="AL25" s="95"/>
      <c r="AM25" s="95"/>
      <c r="AN25" s="100" t="s">
        <v>11</v>
      </c>
      <c r="AO25" s="100"/>
      <c r="AP25" s="99">
        <f>CEILING(AP24*0.92,0.5)</f>
        <v>107.5</v>
      </c>
      <c r="AQ25" s="99"/>
      <c r="AR25" s="99"/>
      <c r="AS25" s="99"/>
      <c r="AT25" s="99">
        <f>CEILING(AT24*0.92,0.5)</f>
        <v>116.5</v>
      </c>
      <c r="AU25" s="99"/>
      <c r="AV25" s="99"/>
      <c r="AW25" s="99"/>
    </row>
    <row r="26" spans="1:49" ht="16.5" customHeight="1">
      <c r="A26" s="93"/>
      <c r="B26" s="93"/>
      <c r="C26" s="93"/>
      <c r="D26" s="93"/>
      <c r="E26" s="93"/>
      <c r="F26" s="165"/>
      <c r="G26" s="165"/>
      <c r="H26" s="165"/>
      <c r="I26" s="95"/>
      <c r="J26" s="95"/>
      <c r="K26" s="95"/>
      <c r="L26" s="95"/>
      <c r="M26" s="95"/>
      <c r="N26" s="100" t="s">
        <v>96</v>
      </c>
      <c r="O26" s="100"/>
      <c r="P26" s="362">
        <f>P20-5</f>
        <v>89.5</v>
      </c>
      <c r="Q26" s="362"/>
      <c r="R26" s="362"/>
      <c r="S26" s="362"/>
      <c r="T26" s="362">
        <f>P26+10</f>
        <v>99.5</v>
      </c>
      <c r="U26" s="362"/>
      <c r="V26" s="362"/>
      <c r="W26" s="362"/>
      <c r="AA26" s="365"/>
      <c r="AB26" s="365"/>
      <c r="AC26" s="365"/>
      <c r="AD26" s="365"/>
      <c r="AE26" s="365"/>
      <c r="AF26" s="165"/>
      <c r="AG26" s="165"/>
      <c r="AH26" s="165"/>
      <c r="AI26" s="95"/>
      <c r="AJ26" s="95"/>
      <c r="AK26" s="95"/>
      <c r="AL26" s="95"/>
      <c r="AM26" s="95"/>
      <c r="AN26" s="100" t="s">
        <v>12</v>
      </c>
      <c r="AO26" s="100"/>
      <c r="AP26" s="99">
        <f>AP20-5</f>
        <v>100.5</v>
      </c>
      <c r="AQ26" s="99"/>
      <c r="AR26" s="99"/>
      <c r="AS26" s="99"/>
      <c r="AT26" s="99">
        <f>AP26+10</f>
        <v>110.5</v>
      </c>
      <c r="AU26" s="99"/>
      <c r="AV26" s="99"/>
      <c r="AW26" s="99"/>
    </row>
    <row r="27" spans="1:49" ht="16.5" customHeight="1">
      <c r="A27" s="93"/>
      <c r="B27" s="93"/>
      <c r="C27" s="93"/>
      <c r="D27" s="93"/>
      <c r="E27" s="93"/>
      <c r="F27" s="165"/>
      <c r="G27" s="165"/>
      <c r="H27" s="165"/>
      <c r="I27" s="97" t="s">
        <v>259</v>
      </c>
      <c r="J27" s="97"/>
      <c r="K27" s="97"/>
      <c r="L27" s="97"/>
      <c r="M27" s="97"/>
      <c r="N27" s="98" t="s">
        <v>184</v>
      </c>
      <c r="O27" s="98"/>
      <c r="P27" s="363">
        <f>CEILING(P24*0.35+5,0.5)</f>
        <v>41</v>
      </c>
      <c r="Q27" s="363"/>
      <c r="R27" s="363"/>
      <c r="S27" s="363"/>
      <c r="T27" s="363">
        <f>CEILING(T24*0.35+5,0.5)</f>
        <v>44.5</v>
      </c>
      <c r="U27" s="363"/>
      <c r="V27" s="363"/>
      <c r="W27" s="363"/>
      <c r="AA27" s="365"/>
      <c r="AB27" s="365"/>
      <c r="AC27" s="365"/>
      <c r="AD27" s="365"/>
      <c r="AE27" s="365"/>
      <c r="AF27" s="165"/>
      <c r="AG27" s="165"/>
      <c r="AH27" s="165"/>
      <c r="AI27" s="97" t="s">
        <v>20</v>
      </c>
      <c r="AJ27" s="97"/>
      <c r="AK27" s="97"/>
      <c r="AL27" s="97"/>
      <c r="AM27" s="97"/>
      <c r="AN27" s="98" t="s">
        <v>10</v>
      </c>
      <c r="AO27" s="98"/>
      <c r="AP27" s="96">
        <f>CEILING(AP24*0.42+5,0.5)</f>
        <v>54</v>
      </c>
      <c r="AQ27" s="96"/>
      <c r="AR27" s="96"/>
      <c r="AS27" s="96"/>
      <c r="AT27" s="96">
        <f>CEILING(AT24*0.42+5,0.5)</f>
        <v>58.5</v>
      </c>
      <c r="AU27" s="96"/>
      <c r="AV27" s="96"/>
      <c r="AW27" s="96"/>
    </row>
    <row r="28" spans="1:49" ht="16.5" customHeight="1">
      <c r="A28" s="93"/>
      <c r="B28" s="93"/>
      <c r="C28" s="93"/>
      <c r="D28" s="93"/>
      <c r="E28" s="93"/>
      <c r="F28" s="165"/>
      <c r="G28" s="165"/>
      <c r="H28" s="165"/>
      <c r="I28" s="97"/>
      <c r="J28" s="97"/>
      <c r="K28" s="97"/>
      <c r="L28" s="97"/>
      <c r="M28" s="97"/>
      <c r="N28" s="98" t="s">
        <v>186</v>
      </c>
      <c r="O28" s="98"/>
      <c r="P28" s="363">
        <f>CEILING(P27*0.92,0.5)</f>
        <v>38</v>
      </c>
      <c r="Q28" s="363"/>
      <c r="R28" s="363"/>
      <c r="S28" s="363"/>
      <c r="T28" s="363">
        <f>CEILING(T27*0.92,0.5)</f>
        <v>41</v>
      </c>
      <c r="U28" s="363"/>
      <c r="V28" s="363"/>
      <c r="W28" s="363"/>
      <c r="AA28" s="365"/>
      <c r="AB28" s="365"/>
      <c r="AC28" s="365"/>
      <c r="AD28" s="365"/>
      <c r="AE28" s="365"/>
      <c r="AF28" s="165"/>
      <c r="AG28" s="165"/>
      <c r="AH28" s="165"/>
      <c r="AI28" s="97"/>
      <c r="AJ28" s="97"/>
      <c r="AK28" s="97"/>
      <c r="AL28" s="97"/>
      <c r="AM28" s="97"/>
      <c r="AN28" s="98" t="s">
        <v>11</v>
      </c>
      <c r="AO28" s="98"/>
      <c r="AP28" s="96">
        <f>CEILING(AP27*0.92,0.5)</f>
        <v>50</v>
      </c>
      <c r="AQ28" s="96"/>
      <c r="AR28" s="96"/>
      <c r="AS28" s="96"/>
      <c r="AT28" s="96">
        <f>CEILING(AT27*0.92,0.5)</f>
        <v>54</v>
      </c>
      <c r="AU28" s="96"/>
      <c r="AV28" s="96"/>
      <c r="AW28" s="96"/>
    </row>
    <row r="29" spans="1:49" ht="16.5" customHeight="1">
      <c r="A29" s="93"/>
      <c r="B29" s="93"/>
      <c r="C29" s="93"/>
      <c r="D29" s="93"/>
      <c r="E29" s="93"/>
      <c r="F29" s="165"/>
      <c r="G29" s="165"/>
      <c r="H29" s="165"/>
      <c r="I29" s="97"/>
      <c r="J29" s="97"/>
      <c r="K29" s="97"/>
      <c r="L29" s="97"/>
      <c r="M29" s="97"/>
      <c r="N29" s="98" t="s">
        <v>96</v>
      </c>
      <c r="O29" s="98"/>
      <c r="P29" s="363">
        <f>CEILING(P26*0.35+5,0.5)</f>
        <v>36.5</v>
      </c>
      <c r="Q29" s="363"/>
      <c r="R29" s="363"/>
      <c r="S29" s="363"/>
      <c r="T29" s="363">
        <f>CEILING(T26*0.35+5,0.5)</f>
        <v>40</v>
      </c>
      <c r="U29" s="363"/>
      <c r="V29" s="363"/>
      <c r="W29" s="363"/>
      <c r="AA29" s="365"/>
      <c r="AB29" s="365"/>
      <c r="AC29" s="365"/>
      <c r="AD29" s="365"/>
      <c r="AE29" s="365"/>
      <c r="AF29" s="165"/>
      <c r="AG29" s="165"/>
      <c r="AH29" s="165"/>
      <c r="AI29" s="97"/>
      <c r="AJ29" s="97"/>
      <c r="AK29" s="97"/>
      <c r="AL29" s="97"/>
      <c r="AM29" s="97"/>
      <c r="AN29" s="98" t="s">
        <v>12</v>
      </c>
      <c r="AO29" s="98"/>
      <c r="AP29" s="96">
        <f>CEILING(AP26*0.42+5,0.5)</f>
        <v>47.5</v>
      </c>
      <c r="AQ29" s="96"/>
      <c r="AR29" s="96"/>
      <c r="AS29" s="96"/>
      <c r="AT29" s="96">
        <f>CEILING(AT26*0.42+5,0.5)</f>
        <v>51.5</v>
      </c>
      <c r="AU29" s="96"/>
      <c r="AV29" s="96"/>
      <c r="AW29" s="96"/>
    </row>
    <row r="30" spans="1:49" ht="16.5" customHeight="1">
      <c r="A30" s="93"/>
      <c r="B30" s="93"/>
      <c r="C30" s="93"/>
      <c r="D30" s="93"/>
      <c r="E30" s="93"/>
      <c r="F30" s="165"/>
      <c r="G30" s="165"/>
      <c r="H30" s="165"/>
      <c r="I30" s="82" t="s">
        <v>260</v>
      </c>
      <c r="J30" s="82"/>
      <c r="K30" s="82"/>
      <c r="L30" s="82"/>
      <c r="M30" s="82"/>
      <c r="N30" s="84" t="s">
        <v>184</v>
      </c>
      <c r="O30" s="84"/>
      <c r="P30" s="366">
        <f>P24-2</f>
        <v>100.5</v>
      </c>
      <c r="Q30" s="366"/>
      <c r="R30" s="366"/>
      <c r="S30" s="366"/>
      <c r="T30" s="366">
        <f>P30+8</f>
        <v>108.5</v>
      </c>
      <c r="U30" s="366"/>
      <c r="V30" s="366"/>
      <c r="W30" s="366"/>
      <c r="AA30" s="365"/>
      <c r="AB30" s="365"/>
      <c r="AC30" s="365"/>
      <c r="AD30" s="365"/>
      <c r="AE30" s="365"/>
      <c r="AF30" s="165"/>
      <c r="AG30" s="165"/>
      <c r="AH30" s="165"/>
      <c r="AI30" s="82" t="s">
        <v>260</v>
      </c>
      <c r="AJ30" s="82"/>
      <c r="AK30" s="82"/>
      <c r="AL30" s="82"/>
      <c r="AM30" s="82"/>
      <c r="AN30" s="84" t="s">
        <v>10</v>
      </c>
      <c r="AO30" s="84"/>
      <c r="AP30" s="83">
        <f>AP24-2</f>
        <v>114.5</v>
      </c>
      <c r="AQ30" s="83"/>
      <c r="AR30" s="83"/>
      <c r="AS30" s="83"/>
      <c r="AT30" s="83">
        <f>AP30+8</f>
        <v>122.5</v>
      </c>
      <c r="AU30" s="83"/>
      <c r="AV30" s="83"/>
      <c r="AW30" s="83"/>
    </row>
    <row r="31" spans="1:49" ht="16.5" customHeight="1">
      <c r="A31" s="93"/>
      <c r="B31" s="93"/>
      <c r="C31" s="93"/>
      <c r="D31" s="93"/>
      <c r="E31" s="93"/>
      <c r="F31" s="165"/>
      <c r="G31" s="165"/>
      <c r="H31" s="165"/>
      <c r="I31" s="82"/>
      <c r="J31" s="82"/>
      <c r="K31" s="82"/>
      <c r="L31" s="82"/>
      <c r="M31" s="82"/>
      <c r="N31" s="84" t="s">
        <v>186</v>
      </c>
      <c r="O31" s="84"/>
      <c r="P31" s="366">
        <f>CEILING(P30*0.92,0.5)</f>
        <v>92.5</v>
      </c>
      <c r="Q31" s="366"/>
      <c r="R31" s="366"/>
      <c r="S31" s="366"/>
      <c r="T31" s="366">
        <f>CEILING(T30*0.92,0.5)</f>
        <v>100</v>
      </c>
      <c r="U31" s="366"/>
      <c r="V31" s="366"/>
      <c r="W31" s="366"/>
      <c r="AA31" s="365"/>
      <c r="AB31" s="365"/>
      <c r="AC31" s="365"/>
      <c r="AD31" s="365"/>
      <c r="AE31" s="365"/>
      <c r="AF31" s="165"/>
      <c r="AG31" s="165"/>
      <c r="AH31" s="165"/>
      <c r="AI31" s="82"/>
      <c r="AJ31" s="82"/>
      <c r="AK31" s="82"/>
      <c r="AL31" s="82"/>
      <c r="AM31" s="82"/>
      <c r="AN31" s="84" t="s">
        <v>11</v>
      </c>
      <c r="AO31" s="84"/>
      <c r="AP31" s="83">
        <f>CEILING(AP30*0.92,0.5)</f>
        <v>105.5</v>
      </c>
      <c r="AQ31" s="83"/>
      <c r="AR31" s="83"/>
      <c r="AS31" s="83"/>
      <c r="AT31" s="83">
        <f>CEILING(AT30*0.92,0.5)</f>
        <v>113</v>
      </c>
      <c r="AU31" s="83"/>
      <c r="AV31" s="83"/>
      <c r="AW31" s="83"/>
    </row>
    <row r="32" spans="1:49" ht="16.5" customHeight="1">
      <c r="A32" s="93"/>
      <c r="B32" s="93"/>
      <c r="C32" s="93"/>
      <c r="D32" s="93"/>
      <c r="E32" s="93"/>
      <c r="F32" s="165"/>
      <c r="G32" s="165"/>
      <c r="H32" s="165"/>
      <c r="I32" s="82"/>
      <c r="J32" s="82"/>
      <c r="K32" s="82"/>
      <c r="L32" s="82"/>
      <c r="M32" s="82"/>
      <c r="N32" s="84" t="s">
        <v>96</v>
      </c>
      <c r="O32" s="84"/>
      <c r="P32" s="366">
        <f>P26-2</f>
        <v>87.5</v>
      </c>
      <c r="Q32" s="366"/>
      <c r="R32" s="366"/>
      <c r="S32" s="366"/>
      <c r="T32" s="366">
        <f>P32+8</f>
        <v>95.5</v>
      </c>
      <c r="U32" s="366"/>
      <c r="V32" s="366"/>
      <c r="W32" s="366"/>
      <c r="AA32" s="365"/>
      <c r="AB32" s="365"/>
      <c r="AC32" s="365"/>
      <c r="AD32" s="365"/>
      <c r="AE32" s="365"/>
      <c r="AF32" s="165"/>
      <c r="AG32" s="165"/>
      <c r="AH32" s="165"/>
      <c r="AI32" s="82"/>
      <c r="AJ32" s="82"/>
      <c r="AK32" s="82"/>
      <c r="AL32" s="82"/>
      <c r="AM32" s="82"/>
      <c r="AN32" s="84" t="s">
        <v>12</v>
      </c>
      <c r="AO32" s="84"/>
      <c r="AP32" s="83">
        <f>AP26-2</f>
        <v>98.5</v>
      </c>
      <c r="AQ32" s="83"/>
      <c r="AR32" s="83"/>
      <c r="AS32" s="83"/>
      <c r="AT32" s="83">
        <f>AP32+8</f>
        <v>106.5</v>
      </c>
      <c r="AU32" s="83"/>
      <c r="AV32" s="83"/>
      <c r="AW32" s="83"/>
    </row>
    <row r="33" spans="1:49" ht="16.5" customHeight="1">
      <c r="A33" s="93"/>
      <c r="B33" s="93"/>
      <c r="C33" s="93"/>
      <c r="D33" s="93"/>
      <c r="E33" s="93"/>
      <c r="F33" s="165"/>
      <c r="G33" s="165"/>
      <c r="H33" s="165"/>
      <c r="I33" s="80" t="s">
        <v>261</v>
      </c>
      <c r="J33" s="80"/>
      <c r="K33" s="80"/>
      <c r="L33" s="80"/>
      <c r="M33" s="80"/>
      <c r="N33" s="81" t="s">
        <v>184</v>
      </c>
      <c r="O33" s="81"/>
      <c r="P33" s="364">
        <f>CEILING(P30*0.35+5,0.5)</f>
        <v>40.5</v>
      </c>
      <c r="Q33" s="364"/>
      <c r="R33" s="364"/>
      <c r="S33" s="364"/>
      <c r="T33" s="364">
        <f>CEILING(T30*0.35+5,0.5)</f>
        <v>43</v>
      </c>
      <c r="U33" s="364"/>
      <c r="V33" s="364"/>
      <c r="W33" s="364"/>
      <c r="AA33" s="365"/>
      <c r="AB33" s="365"/>
      <c r="AC33" s="365"/>
      <c r="AD33" s="365"/>
      <c r="AE33" s="365"/>
      <c r="AF33" s="165"/>
      <c r="AG33" s="165"/>
      <c r="AH33" s="165"/>
      <c r="AI33" s="80" t="s">
        <v>262</v>
      </c>
      <c r="AJ33" s="80"/>
      <c r="AK33" s="80"/>
      <c r="AL33" s="80"/>
      <c r="AM33" s="80"/>
      <c r="AN33" s="81" t="s">
        <v>10</v>
      </c>
      <c r="AO33" s="81"/>
      <c r="AP33" s="89">
        <f>CEILING(AP30*0.42+5,0.5)</f>
        <v>53.5</v>
      </c>
      <c r="AQ33" s="89"/>
      <c r="AR33" s="89"/>
      <c r="AS33" s="89"/>
      <c r="AT33" s="89">
        <f>CEILING(AT30*0.42+5,0.5)</f>
        <v>56.5</v>
      </c>
      <c r="AU33" s="89"/>
      <c r="AV33" s="89"/>
      <c r="AW33" s="89"/>
    </row>
    <row r="34" spans="1:49" ht="16.5" customHeight="1">
      <c r="A34" s="93"/>
      <c r="B34" s="93"/>
      <c r="C34" s="93"/>
      <c r="D34" s="93"/>
      <c r="E34" s="93"/>
      <c r="F34" s="165"/>
      <c r="G34" s="165"/>
      <c r="H34" s="165"/>
      <c r="I34" s="80"/>
      <c r="J34" s="80"/>
      <c r="K34" s="80"/>
      <c r="L34" s="80"/>
      <c r="M34" s="80"/>
      <c r="N34" s="81" t="s">
        <v>186</v>
      </c>
      <c r="O34" s="81"/>
      <c r="P34" s="364">
        <f>CEILING(P33*0.92,0.5)</f>
        <v>37.5</v>
      </c>
      <c r="Q34" s="364"/>
      <c r="R34" s="364"/>
      <c r="S34" s="364"/>
      <c r="T34" s="364">
        <f>CEILING(T33*0.92,0.5)</f>
        <v>40</v>
      </c>
      <c r="U34" s="364"/>
      <c r="V34" s="364"/>
      <c r="W34" s="364"/>
      <c r="AA34" s="365"/>
      <c r="AB34" s="365"/>
      <c r="AC34" s="365"/>
      <c r="AD34" s="365"/>
      <c r="AE34" s="365"/>
      <c r="AF34" s="165"/>
      <c r="AG34" s="165"/>
      <c r="AH34" s="165"/>
      <c r="AI34" s="80"/>
      <c r="AJ34" s="80"/>
      <c r="AK34" s="80"/>
      <c r="AL34" s="80"/>
      <c r="AM34" s="80"/>
      <c r="AN34" s="81" t="s">
        <v>11</v>
      </c>
      <c r="AO34" s="81"/>
      <c r="AP34" s="89">
        <f>CEILING(AP33*0.92,0.5)</f>
        <v>49.5</v>
      </c>
      <c r="AQ34" s="89"/>
      <c r="AR34" s="89"/>
      <c r="AS34" s="89"/>
      <c r="AT34" s="89">
        <f>CEILING(AT33*0.92,0.5)</f>
        <v>52</v>
      </c>
      <c r="AU34" s="89"/>
      <c r="AV34" s="89"/>
      <c r="AW34" s="89"/>
    </row>
    <row r="35" spans="1:49" ht="16.5" customHeight="1">
      <c r="A35" s="93"/>
      <c r="B35" s="93"/>
      <c r="C35" s="93"/>
      <c r="D35" s="93"/>
      <c r="E35" s="93"/>
      <c r="F35" s="165"/>
      <c r="G35" s="165"/>
      <c r="H35" s="165"/>
      <c r="I35" s="80"/>
      <c r="J35" s="80"/>
      <c r="K35" s="80"/>
      <c r="L35" s="80"/>
      <c r="M35" s="80"/>
      <c r="N35" s="81" t="s">
        <v>96</v>
      </c>
      <c r="O35" s="81"/>
      <c r="P35" s="364">
        <f>CEILING(P32*0.35+5,0.5)</f>
        <v>36</v>
      </c>
      <c r="Q35" s="364"/>
      <c r="R35" s="364"/>
      <c r="S35" s="364"/>
      <c r="T35" s="364">
        <f>CEILING(T32*0.35+5,0.5)</f>
        <v>38.5</v>
      </c>
      <c r="U35" s="364"/>
      <c r="V35" s="364"/>
      <c r="W35" s="364"/>
      <c r="AA35" s="365"/>
      <c r="AB35" s="365"/>
      <c r="AC35" s="365"/>
      <c r="AD35" s="365"/>
      <c r="AE35" s="365"/>
      <c r="AF35" s="165"/>
      <c r="AG35" s="165"/>
      <c r="AH35" s="165"/>
      <c r="AI35" s="80"/>
      <c r="AJ35" s="80"/>
      <c r="AK35" s="80"/>
      <c r="AL35" s="80"/>
      <c r="AM35" s="80"/>
      <c r="AN35" s="81" t="s">
        <v>12</v>
      </c>
      <c r="AO35" s="81"/>
      <c r="AP35" s="89">
        <f>CEILING(AP32*0.42+5,0.5)</f>
        <v>46.5</v>
      </c>
      <c r="AQ35" s="89"/>
      <c r="AR35" s="89"/>
      <c r="AS35" s="89"/>
      <c r="AT35" s="89">
        <f>CEILING(AT32*0.42+5,0.5)</f>
        <v>50</v>
      </c>
      <c r="AU35" s="89"/>
      <c r="AV35" s="89"/>
      <c r="AW35" s="89"/>
    </row>
    <row r="36" spans="1:49" ht="16.5" customHeight="1">
      <c r="A36" s="71" t="s">
        <v>266</v>
      </c>
      <c r="B36" s="72"/>
      <c r="C36" s="72"/>
      <c r="D36" s="72"/>
      <c r="E36" s="72"/>
      <c r="F36" s="14"/>
      <c r="G36" s="14"/>
      <c r="H36" s="14"/>
      <c r="I36" s="14"/>
      <c r="J36" s="14"/>
      <c r="K36" s="14"/>
    </row>
    <row r="37" spans="1:49" ht="16.5" customHeight="1">
      <c r="A37" s="71" t="s">
        <v>267</v>
      </c>
      <c r="B37" s="72"/>
      <c r="C37" s="72"/>
      <c r="D37" s="72"/>
      <c r="E37" s="72"/>
      <c r="F37" s="10"/>
      <c r="G37" s="10"/>
      <c r="H37" s="10"/>
      <c r="I37" s="10"/>
    </row>
    <row r="38" spans="1:49" ht="16.5" customHeight="1">
      <c r="A38" s="71" t="s">
        <v>25</v>
      </c>
      <c r="B38" s="72"/>
      <c r="C38" s="72"/>
      <c r="D38" s="72"/>
      <c r="E38" s="72"/>
      <c r="F38" s="10"/>
      <c r="G38" s="10"/>
      <c r="H38" s="10"/>
      <c r="I38" s="10"/>
    </row>
    <row r="39" spans="1:49" ht="16.5" customHeight="1">
      <c r="A39" s="71" t="s">
        <v>26</v>
      </c>
      <c r="B39" s="72"/>
      <c r="C39" s="72"/>
      <c r="D39" s="72"/>
      <c r="E39" s="72"/>
      <c r="F39" s="10"/>
      <c r="G39" s="10"/>
      <c r="H39" s="10"/>
      <c r="I39" s="10"/>
    </row>
    <row r="40" spans="1:49" ht="16.5" customHeight="1" thickBot="1"/>
    <row r="41" spans="1:49" ht="16.5" customHeight="1" thickTop="1">
      <c r="A41" s="90" t="s">
        <v>27</v>
      </c>
      <c r="B41" s="91"/>
      <c r="C41" s="91"/>
      <c r="D41" s="91"/>
      <c r="E41" s="91"/>
      <c r="F41" s="91"/>
      <c r="G41" s="91"/>
      <c r="H41" s="91"/>
      <c r="I41" s="91"/>
      <c r="J41" s="91"/>
      <c r="K41" s="91"/>
      <c r="L41" s="91"/>
      <c r="M41" s="91"/>
      <c r="N41" s="91"/>
      <c r="O41" s="91"/>
      <c r="P41" s="91"/>
      <c r="Q41" s="91"/>
      <c r="R41" s="91"/>
      <c r="S41" s="91"/>
      <c r="T41" s="92"/>
    </row>
    <row r="42" spans="1:49" ht="16.5" customHeight="1">
      <c r="A42" s="186" t="s">
        <v>28</v>
      </c>
      <c r="B42" s="187"/>
      <c r="C42" s="187"/>
      <c r="D42" s="187"/>
      <c r="E42" s="187"/>
      <c r="F42" s="187"/>
      <c r="G42" s="187"/>
      <c r="H42" s="188"/>
      <c r="I42" s="227" t="s">
        <v>29</v>
      </c>
      <c r="J42" s="187"/>
      <c r="K42" s="187"/>
      <c r="L42" s="187"/>
      <c r="M42" s="187"/>
      <c r="N42" s="187"/>
      <c r="O42" s="187"/>
      <c r="P42" s="187"/>
      <c r="Q42" s="187"/>
      <c r="R42" s="187"/>
      <c r="S42" s="187"/>
      <c r="T42" s="189"/>
    </row>
    <row r="43" spans="1:49" ht="16.5" customHeight="1" thickBot="1">
      <c r="A43" s="85" t="s">
        <v>328</v>
      </c>
      <c r="B43" s="86"/>
      <c r="C43" s="86"/>
      <c r="D43" s="86"/>
      <c r="E43" s="86"/>
      <c r="F43" s="86"/>
      <c r="G43" s="86"/>
      <c r="H43" s="87"/>
      <c r="I43" s="86" t="s">
        <v>31</v>
      </c>
      <c r="J43" s="86"/>
      <c r="K43" s="86"/>
      <c r="L43" s="86"/>
      <c r="M43" s="86"/>
      <c r="N43" s="86"/>
      <c r="O43" s="86"/>
      <c r="P43" s="86"/>
      <c r="Q43" s="86"/>
      <c r="R43" s="86"/>
      <c r="S43" s="86"/>
      <c r="T43" s="88"/>
    </row>
    <row r="44" spans="1:49" ht="16.5" customHeight="1" thickTop="1">
      <c r="A44" s="12"/>
      <c r="B44" s="12"/>
      <c r="C44" s="12"/>
      <c r="D44" s="12"/>
      <c r="E44" s="12"/>
      <c r="F44" s="12"/>
      <c r="G44" s="12"/>
      <c r="H44" s="12"/>
      <c r="I44" s="12"/>
      <c r="J44" s="12"/>
      <c r="K44" s="12"/>
      <c r="L44" s="12"/>
      <c r="M44" s="12"/>
      <c r="N44" s="12"/>
      <c r="O44" s="12"/>
      <c r="P44" s="12"/>
      <c r="Q44" s="12"/>
      <c r="R44" s="12"/>
      <c r="S44" s="12"/>
      <c r="T44" s="12"/>
    </row>
    <row r="45" spans="1:49" ht="16.5" customHeight="1">
      <c r="A45" s="12"/>
      <c r="B45" s="12"/>
      <c r="C45" s="12"/>
      <c r="D45" s="12"/>
      <c r="E45" s="12"/>
      <c r="F45" s="12"/>
      <c r="G45" s="12"/>
      <c r="H45" s="12"/>
      <c r="I45" s="12"/>
      <c r="J45" s="12"/>
      <c r="K45" s="12"/>
      <c r="L45" s="12"/>
      <c r="M45" s="12"/>
      <c r="N45" s="12"/>
      <c r="O45" s="12"/>
      <c r="P45" s="12"/>
      <c r="Q45" s="12"/>
      <c r="R45" s="12"/>
      <c r="S45" s="12"/>
      <c r="T45" s="12"/>
    </row>
    <row r="46" spans="1:49" ht="16.5" customHeight="1">
      <c r="A46" s="12"/>
      <c r="B46" s="12"/>
      <c r="C46" s="12"/>
      <c r="D46" s="12"/>
      <c r="E46" s="12"/>
      <c r="F46" s="12"/>
      <c r="G46" s="12"/>
      <c r="H46" s="12"/>
      <c r="I46" s="12"/>
      <c r="J46" s="12"/>
      <c r="K46" s="12"/>
      <c r="L46" s="12"/>
      <c r="M46" s="12"/>
      <c r="N46" s="12"/>
      <c r="O46" s="12"/>
      <c r="P46" s="12"/>
      <c r="Q46" s="12"/>
      <c r="R46" s="12"/>
      <c r="S46" s="12"/>
      <c r="T46" s="12"/>
    </row>
    <row r="47" spans="1:49" ht="16.5" customHeight="1">
      <c r="A47" s="12"/>
      <c r="B47" s="12"/>
      <c r="C47" s="12"/>
      <c r="D47" s="12"/>
      <c r="E47" s="12"/>
      <c r="F47" s="12"/>
      <c r="G47" s="12"/>
      <c r="H47" s="12"/>
      <c r="I47" s="12"/>
      <c r="J47" s="12"/>
      <c r="K47" s="12"/>
      <c r="L47" s="12"/>
      <c r="M47" s="12"/>
      <c r="N47" s="12"/>
      <c r="O47" s="12"/>
      <c r="P47" s="12"/>
      <c r="Q47" s="12"/>
      <c r="R47" s="12"/>
      <c r="S47" s="12"/>
      <c r="T47" s="12"/>
    </row>
    <row r="48" spans="1:49" ht="16.5" customHeight="1">
      <c r="A48" s="12"/>
      <c r="B48" s="12"/>
      <c r="C48" s="12"/>
      <c r="D48" s="12"/>
      <c r="E48" s="12"/>
      <c r="F48" s="12"/>
      <c r="G48" s="12"/>
      <c r="H48" s="12"/>
      <c r="I48" s="12"/>
      <c r="J48" s="12"/>
      <c r="K48" s="12"/>
      <c r="L48" s="12"/>
      <c r="M48" s="12"/>
      <c r="N48" s="12"/>
      <c r="O48" s="12"/>
      <c r="P48" s="12"/>
      <c r="Q48" s="12"/>
      <c r="R48" s="12"/>
      <c r="S48" s="12"/>
      <c r="T48" s="12"/>
    </row>
    <row r="49" spans="1:65" ht="16.5" customHeight="1">
      <c r="A49" s="12"/>
      <c r="B49" s="12"/>
      <c r="C49" s="12"/>
      <c r="D49" s="12"/>
      <c r="E49" s="12"/>
      <c r="F49" s="12"/>
      <c r="G49" s="12"/>
      <c r="H49" s="12"/>
      <c r="I49" s="12"/>
      <c r="J49" s="12"/>
      <c r="K49" s="12"/>
      <c r="L49" s="12"/>
      <c r="M49" s="12"/>
      <c r="N49" s="12"/>
      <c r="O49" s="12"/>
      <c r="P49" s="12"/>
      <c r="Q49" s="12"/>
      <c r="R49" s="12"/>
      <c r="S49" s="12"/>
      <c r="T49" s="12"/>
    </row>
    <row r="50" spans="1:65" ht="16.5" customHeight="1">
      <c r="A50" s="12"/>
      <c r="B50" s="12"/>
      <c r="C50" s="12"/>
      <c r="D50" s="12"/>
      <c r="E50" s="12"/>
      <c r="F50" s="12"/>
      <c r="G50" s="12"/>
      <c r="H50" s="12"/>
      <c r="I50" s="12"/>
      <c r="J50" s="12"/>
      <c r="K50" s="12"/>
      <c r="L50" s="12"/>
      <c r="M50" s="12"/>
      <c r="N50" s="12"/>
      <c r="O50" s="12"/>
      <c r="P50" s="12"/>
      <c r="Q50" s="12"/>
      <c r="R50" s="12"/>
      <c r="S50" s="12"/>
      <c r="T50" s="12"/>
    </row>
    <row r="51" spans="1:65" ht="16.5" customHeight="1">
      <c r="A51" s="12"/>
      <c r="B51" s="12"/>
      <c r="C51" s="12"/>
      <c r="D51" s="12"/>
      <c r="E51" s="12"/>
      <c r="F51" s="12"/>
      <c r="G51" s="12"/>
      <c r="H51" s="12"/>
      <c r="I51" s="12"/>
      <c r="J51" s="12"/>
      <c r="K51" s="12"/>
      <c r="L51" s="12"/>
      <c r="M51" s="12"/>
      <c r="N51" s="12"/>
      <c r="O51" s="12"/>
      <c r="P51" s="12"/>
      <c r="Q51" s="12"/>
      <c r="R51" s="12"/>
      <c r="S51" s="12"/>
      <c r="T51" s="12"/>
    </row>
    <row r="52" spans="1:65" ht="16.5" customHeight="1">
      <c r="A52" s="12"/>
      <c r="B52" s="12"/>
      <c r="C52" s="12"/>
      <c r="D52" s="12"/>
      <c r="E52" s="12"/>
      <c r="F52" s="12"/>
      <c r="G52" s="12"/>
      <c r="H52" s="12"/>
      <c r="I52" s="12"/>
      <c r="J52" s="12"/>
      <c r="K52" s="12"/>
      <c r="L52" s="12"/>
      <c r="M52" s="12"/>
      <c r="N52" s="12"/>
      <c r="O52" s="12"/>
      <c r="P52" s="12"/>
      <c r="Q52" s="12"/>
      <c r="R52" s="12"/>
      <c r="S52" s="12"/>
      <c r="T52" s="12"/>
    </row>
    <row r="53" spans="1:65" ht="16.5" customHeight="1">
      <c r="A53" s="12"/>
      <c r="B53" s="12"/>
      <c r="C53" s="12"/>
      <c r="D53" s="12"/>
      <c r="E53" s="12"/>
      <c r="F53" s="12"/>
      <c r="G53" s="12"/>
      <c r="H53" s="12"/>
      <c r="I53" s="12"/>
      <c r="J53" s="12"/>
      <c r="K53" s="12"/>
      <c r="L53" s="12"/>
      <c r="M53" s="12"/>
      <c r="N53" s="12"/>
      <c r="O53" s="12"/>
      <c r="P53" s="12"/>
      <c r="Q53" s="12"/>
      <c r="R53" s="12"/>
      <c r="S53" s="12"/>
      <c r="T53" s="12"/>
    </row>
    <row r="54" spans="1:65" ht="16.5" customHeight="1"/>
    <row r="55" spans="1:65" ht="16.5" customHeight="1"/>
    <row r="56" spans="1:65" ht="16.5" customHeight="1"/>
    <row r="57" spans="1:65" ht="16.5" customHeight="1"/>
    <row r="58" spans="1:65" ht="16.5" customHeight="1">
      <c r="A58" s="98" t="s">
        <v>3</v>
      </c>
      <c r="B58" s="98"/>
      <c r="C58" s="98"/>
      <c r="D58" s="98"/>
      <c r="E58" s="98"/>
      <c r="F58" s="98" t="s">
        <v>4</v>
      </c>
      <c r="G58" s="98"/>
      <c r="H58" s="98"/>
      <c r="I58" s="98" t="s">
        <v>5</v>
      </c>
      <c r="J58" s="98"/>
      <c r="K58" s="98"/>
      <c r="L58" s="98"/>
      <c r="M58" s="98"/>
      <c r="N58" s="98"/>
      <c r="O58" s="98"/>
      <c r="P58" s="98" t="s">
        <v>6</v>
      </c>
      <c r="Q58" s="98"/>
      <c r="R58" s="98"/>
      <c r="S58" s="98"/>
      <c r="T58" s="98" t="s">
        <v>253</v>
      </c>
      <c r="U58" s="98"/>
      <c r="V58" s="98"/>
      <c r="W58" s="98"/>
      <c r="Z58" s="98" t="s">
        <v>3</v>
      </c>
      <c r="AA58" s="98"/>
      <c r="AB58" s="98"/>
      <c r="AC58" s="98"/>
      <c r="AD58" s="98"/>
      <c r="AE58" s="98" t="s">
        <v>4</v>
      </c>
      <c r="AF58" s="98"/>
      <c r="AG58" s="98"/>
      <c r="AH58" s="98" t="s">
        <v>5</v>
      </c>
      <c r="AI58" s="98"/>
      <c r="AJ58" s="98"/>
      <c r="AK58" s="98"/>
      <c r="AL58" s="98"/>
      <c r="AM58" s="98"/>
      <c r="AN58" s="98"/>
      <c r="AO58" s="98" t="s">
        <v>6</v>
      </c>
      <c r="AP58" s="98"/>
      <c r="AQ58" s="98"/>
      <c r="AR58" s="98"/>
      <c r="AS58" s="98" t="s">
        <v>253</v>
      </c>
      <c r="AT58" s="98"/>
      <c r="AU58" s="98"/>
      <c r="AV58" s="98"/>
    </row>
    <row r="59" spans="1:65" ht="16.5" customHeight="1">
      <c r="A59" s="365" t="s">
        <v>263</v>
      </c>
      <c r="B59" s="365"/>
      <c r="C59" s="365"/>
      <c r="D59" s="365"/>
      <c r="E59" s="365"/>
      <c r="F59" s="165">
        <v>5</v>
      </c>
      <c r="G59" s="165"/>
      <c r="H59" s="165"/>
      <c r="I59" s="95" t="s">
        <v>255</v>
      </c>
      <c r="J59" s="95"/>
      <c r="K59" s="95"/>
      <c r="L59" s="95"/>
      <c r="M59" s="95"/>
      <c r="N59" s="100" t="s">
        <v>10</v>
      </c>
      <c r="O59" s="100"/>
      <c r="P59" s="101">
        <f>CEILING(90*1.35,0.5)</f>
        <v>121.5</v>
      </c>
      <c r="Q59" s="101"/>
      <c r="R59" s="101"/>
      <c r="S59" s="101"/>
      <c r="T59" s="99">
        <f>P59+15</f>
        <v>136.5</v>
      </c>
      <c r="U59" s="99"/>
      <c r="V59" s="99"/>
      <c r="W59" s="99"/>
      <c r="Z59" s="93" t="s">
        <v>264</v>
      </c>
      <c r="AA59" s="93"/>
      <c r="AB59" s="93"/>
      <c r="AC59" s="93"/>
      <c r="AD59" s="93"/>
      <c r="AE59" s="165">
        <v>10</v>
      </c>
      <c r="AF59" s="165"/>
      <c r="AG59" s="165"/>
      <c r="AH59" s="95" t="s">
        <v>255</v>
      </c>
      <c r="AI59" s="95"/>
      <c r="AJ59" s="95"/>
      <c r="AK59" s="95"/>
      <c r="AL59" s="95"/>
      <c r="AM59" s="100" t="s">
        <v>184</v>
      </c>
      <c r="AN59" s="100"/>
      <c r="AO59" s="361">
        <f>CEILING(102*1.35,0.5)</f>
        <v>138</v>
      </c>
      <c r="AP59" s="361"/>
      <c r="AQ59" s="361"/>
      <c r="AR59" s="361"/>
      <c r="AS59" s="362">
        <f>AO59+15</f>
        <v>153</v>
      </c>
      <c r="AT59" s="362"/>
      <c r="AU59" s="362"/>
      <c r="AV59" s="362"/>
    </row>
    <row r="60" spans="1:65" ht="16.5" customHeight="1">
      <c r="A60" s="365"/>
      <c r="B60" s="365"/>
      <c r="C60" s="365"/>
      <c r="D60" s="365"/>
      <c r="E60" s="365"/>
      <c r="F60" s="165"/>
      <c r="G60" s="165"/>
      <c r="H60" s="165"/>
      <c r="I60" s="95"/>
      <c r="J60" s="95"/>
      <c r="K60" s="95"/>
      <c r="L60" s="95"/>
      <c r="M60" s="95"/>
      <c r="N60" s="100" t="s">
        <v>11</v>
      </c>
      <c r="O60" s="100"/>
      <c r="P60" s="99">
        <f>CEILING(P59*0.92,0.5)</f>
        <v>112</v>
      </c>
      <c r="Q60" s="99"/>
      <c r="R60" s="99"/>
      <c r="S60" s="99"/>
      <c r="T60" s="99">
        <f>CEILING(T59*0.92,0.5)</f>
        <v>126</v>
      </c>
      <c r="U60" s="99"/>
      <c r="V60" s="99"/>
      <c r="W60" s="99"/>
      <c r="Z60" s="93"/>
      <c r="AA60" s="93"/>
      <c r="AB60" s="93"/>
      <c r="AC60" s="93"/>
      <c r="AD60" s="93"/>
      <c r="AE60" s="165"/>
      <c r="AF60" s="165"/>
      <c r="AG60" s="165"/>
      <c r="AH60" s="95"/>
      <c r="AI60" s="95"/>
      <c r="AJ60" s="95"/>
      <c r="AK60" s="95"/>
      <c r="AL60" s="95"/>
      <c r="AM60" s="100" t="s">
        <v>186</v>
      </c>
      <c r="AN60" s="100"/>
      <c r="AO60" s="362">
        <f>CEILING(AO59*0.92,0.5)</f>
        <v>127</v>
      </c>
      <c r="AP60" s="362"/>
      <c r="AQ60" s="362"/>
      <c r="AR60" s="362"/>
      <c r="AS60" s="362">
        <f>CEILING(AS59*0.92,0.5)</f>
        <v>141</v>
      </c>
      <c r="AT60" s="362"/>
      <c r="AU60" s="362"/>
      <c r="AV60" s="362"/>
    </row>
    <row r="61" spans="1:65" ht="16.5" customHeight="1">
      <c r="A61" s="365"/>
      <c r="B61" s="365"/>
      <c r="C61" s="365"/>
      <c r="D61" s="365"/>
      <c r="E61" s="365"/>
      <c r="F61" s="165"/>
      <c r="G61" s="165"/>
      <c r="H61" s="165"/>
      <c r="I61" s="95"/>
      <c r="J61" s="95"/>
      <c r="K61" s="95"/>
      <c r="L61" s="95"/>
      <c r="M61" s="95"/>
      <c r="N61" s="100" t="s">
        <v>12</v>
      </c>
      <c r="O61" s="100"/>
      <c r="P61" s="101">
        <f>CEILING(78*1.35,0.5)</f>
        <v>105.5</v>
      </c>
      <c r="Q61" s="101"/>
      <c r="R61" s="101"/>
      <c r="S61" s="101"/>
      <c r="T61" s="99">
        <f>P61+15</f>
        <v>120.5</v>
      </c>
      <c r="U61" s="99"/>
      <c r="V61" s="99"/>
      <c r="W61" s="99"/>
      <c r="Z61" s="93"/>
      <c r="AA61" s="93"/>
      <c r="AB61" s="93"/>
      <c r="AC61" s="93"/>
      <c r="AD61" s="93"/>
      <c r="AE61" s="165"/>
      <c r="AF61" s="165"/>
      <c r="AG61" s="165"/>
      <c r="AH61" s="95"/>
      <c r="AI61" s="95"/>
      <c r="AJ61" s="95"/>
      <c r="AK61" s="95"/>
      <c r="AL61" s="95"/>
      <c r="AM61" s="100" t="s">
        <v>96</v>
      </c>
      <c r="AN61" s="100"/>
      <c r="AO61" s="361">
        <f>CEILING(89*1.35,0.5)</f>
        <v>120.5</v>
      </c>
      <c r="AP61" s="361"/>
      <c r="AQ61" s="361"/>
      <c r="AR61" s="361"/>
      <c r="AS61" s="362">
        <f>AO61+15</f>
        <v>135.5</v>
      </c>
      <c r="AT61" s="362"/>
      <c r="AU61" s="362"/>
      <c r="AV61" s="362"/>
      <c r="BH61" s="12"/>
      <c r="BI61" s="12"/>
      <c r="BJ61" s="12"/>
      <c r="BK61" s="12"/>
      <c r="BL61" s="12"/>
      <c r="BM61" s="12"/>
    </row>
    <row r="62" spans="1:65" ht="16.5" customHeight="1">
      <c r="A62" s="365"/>
      <c r="B62" s="365"/>
      <c r="C62" s="365"/>
      <c r="D62" s="365"/>
      <c r="E62" s="365"/>
      <c r="F62" s="165"/>
      <c r="G62" s="165"/>
      <c r="H62" s="165"/>
      <c r="I62" s="97" t="s">
        <v>13</v>
      </c>
      <c r="J62" s="97"/>
      <c r="K62" s="97"/>
      <c r="L62" s="97"/>
      <c r="M62" s="97"/>
      <c r="N62" s="98" t="s">
        <v>10</v>
      </c>
      <c r="O62" s="98"/>
      <c r="P62" s="96">
        <f>CEILING(P59*0.47+5,0.5)</f>
        <v>62.5</v>
      </c>
      <c r="Q62" s="96"/>
      <c r="R62" s="96"/>
      <c r="S62" s="96"/>
      <c r="T62" s="96">
        <f>CEILING(T59*0.47+5,0.5)</f>
        <v>69.5</v>
      </c>
      <c r="U62" s="96"/>
      <c r="V62" s="96"/>
      <c r="W62" s="96"/>
      <c r="Z62" s="93"/>
      <c r="AA62" s="93"/>
      <c r="AB62" s="93"/>
      <c r="AC62" s="93"/>
      <c r="AD62" s="93"/>
      <c r="AE62" s="165"/>
      <c r="AF62" s="165"/>
      <c r="AG62" s="165"/>
      <c r="AH62" s="97" t="s">
        <v>193</v>
      </c>
      <c r="AI62" s="97"/>
      <c r="AJ62" s="97"/>
      <c r="AK62" s="97"/>
      <c r="AL62" s="97"/>
      <c r="AM62" s="98" t="s">
        <v>184</v>
      </c>
      <c r="AN62" s="98"/>
      <c r="AO62" s="363">
        <f>CEILING(AO59*0.57+5,0.5)</f>
        <v>84</v>
      </c>
      <c r="AP62" s="363"/>
      <c r="AQ62" s="363"/>
      <c r="AR62" s="363"/>
      <c r="AS62" s="363">
        <f>CEILING(AS59*0.57+5,0.5)</f>
        <v>92.5</v>
      </c>
      <c r="AT62" s="363"/>
      <c r="AU62" s="363"/>
      <c r="AV62" s="363"/>
      <c r="BH62" s="12"/>
      <c r="BI62" s="12"/>
      <c r="BJ62" s="12"/>
      <c r="BK62" s="12"/>
      <c r="BL62" s="12"/>
      <c r="BM62" s="12"/>
    </row>
    <row r="63" spans="1:65" ht="16.5" customHeight="1">
      <c r="A63" s="365"/>
      <c r="B63" s="365"/>
      <c r="C63" s="365"/>
      <c r="D63" s="365"/>
      <c r="E63" s="365"/>
      <c r="F63" s="165"/>
      <c r="G63" s="165"/>
      <c r="H63" s="165"/>
      <c r="I63" s="97"/>
      <c r="J63" s="97"/>
      <c r="K63" s="97"/>
      <c r="L63" s="97"/>
      <c r="M63" s="97"/>
      <c r="N63" s="98" t="s">
        <v>11</v>
      </c>
      <c r="O63" s="98"/>
      <c r="P63" s="96">
        <f>CEILING(P62*0.92,0.5)</f>
        <v>57.5</v>
      </c>
      <c r="Q63" s="96"/>
      <c r="R63" s="96"/>
      <c r="S63" s="96"/>
      <c r="T63" s="96">
        <f>CEILING(T62*0.92,0.5)</f>
        <v>64</v>
      </c>
      <c r="U63" s="96"/>
      <c r="V63" s="96"/>
      <c r="W63" s="96"/>
      <c r="Z63" s="93"/>
      <c r="AA63" s="93"/>
      <c r="AB63" s="93"/>
      <c r="AC63" s="93"/>
      <c r="AD63" s="93"/>
      <c r="AE63" s="165"/>
      <c r="AF63" s="165"/>
      <c r="AG63" s="165"/>
      <c r="AH63" s="97"/>
      <c r="AI63" s="97"/>
      <c r="AJ63" s="97"/>
      <c r="AK63" s="97"/>
      <c r="AL63" s="97"/>
      <c r="AM63" s="98" t="s">
        <v>186</v>
      </c>
      <c r="AN63" s="98"/>
      <c r="AO63" s="363">
        <f>CEILING(AO62*0.92,0.5)</f>
        <v>77.5</v>
      </c>
      <c r="AP63" s="363"/>
      <c r="AQ63" s="363"/>
      <c r="AR63" s="363"/>
      <c r="AS63" s="363">
        <f>CEILING(AS62*0.92,0.5)</f>
        <v>85.5</v>
      </c>
      <c r="AT63" s="363"/>
      <c r="AU63" s="363"/>
      <c r="AV63" s="363"/>
      <c r="AW63" s="12"/>
      <c r="AX63" s="12"/>
      <c r="AY63" s="12"/>
      <c r="AZ63" s="12"/>
      <c r="BA63" s="12"/>
      <c r="BB63" s="12"/>
      <c r="BC63" s="12"/>
      <c r="BD63" s="12"/>
      <c r="BE63" s="12"/>
      <c r="BF63" s="12"/>
      <c r="BG63" s="12"/>
      <c r="BH63" s="12"/>
      <c r="BI63" s="12"/>
      <c r="BJ63" s="12"/>
      <c r="BK63" s="12"/>
      <c r="BL63" s="12"/>
      <c r="BM63" s="12"/>
    </row>
    <row r="64" spans="1:65" ht="16.5" customHeight="1">
      <c r="A64" s="365"/>
      <c r="B64" s="365"/>
      <c r="C64" s="365"/>
      <c r="D64" s="365"/>
      <c r="E64" s="365"/>
      <c r="F64" s="165"/>
      <c r="G64" s="165"/>
      <c r="H64" s="165"/>
      <c r="I64" s="97"/>
      <c r="J64" s="97"/>
      <c r="K64" s="97"/>
      <c r="L64" s="97"/>
      <c r="M64" s="97"/>
      <c r="N64" s="98" t="s">
        <v>12</v>
      </c>
      <c r="O64" s="98"/>
      <c r="P64" s="96">
        <f>CEILING(P61*0.47+5,0.5)</f>
        <v>55</v>
      </c>
      <c r="Q64" s="96"/>
      <c r="R64" s="96"/>
      <c r="S64" s="96"/>
      <c r="T64" s="96">
        <f>CEILING(T61*0.47+5,0.5)</f>
        <v>62</v>
      </c>
      <c r="U64" s="96"/>
      <c r="V64" s="96"/>
      <c r="W64" s="96"/>
      <c r="Z64" s="93"/>
      <c r="AA64" s="93"/>
      <c r="AB64" s="93"/>
      <c r="AC64" s="93"/>
      <c r="AD64" s="93"/>
      <c r="AE64" s="165"/>
      <c r="AF64" s="165"/>
      <c r="AG64" s="165"/>
      <c r="AH64" s="97"/>
      <c r="AI64" s="97"/>
      <c r="AJ64" s="97"/>
      <c r="AK64" s="97"/>
      <c r="AL64" s="97"/>
      <c r="AM64" s="98" t="s">
        <v>96</v>
      </c>
      <c r="AN64" s="98"/>
      <c r="AO64" s="363">
        <f>CEILING(AO61*0.57+5,0.5)</f>
        <v>74</v>
      </c>
      <c r="AP64" s="363"/>
      <c r="AQ64" s="363"/>
      <c r="AR64" s="363"/>
      <c r="AS64" s="363">
        <f>CEILING(AS61*0.57+5,0.5)</f>
        <v>82.5</v>
      </c>
      <c r="AT64" s="363"/>
      <c r="AU64" s="363"/>
      <c r="AV64" s="363"/>
      <c r="AW64" s="12"/>
      <c r="AX64" s="12"/>
      <c r="AY64" s="12"/>
      <c r="AZ64" s="12"/>
      <c r="BA64" s="12"/>
      <c r="BB64" s="12"/>
      <c r="BC64" s="12"/>
      <c r="BD64" s="12"/>
      <c r="BE64" s="12"/>
      <c r="BF64" s="12"/>
      <c r="BG64" s="12"/>
      <c r="BH64" s="12"/>
      <c r="BI64" s="12"/>
      <c r="BJ64" s="12"/>
      <c r="BK64" s="12"/>
      <c r="BL64" s="12"/>
      <c r="BM64" s="12"/>
    </row>
    <row r="65" spans="1:65" ht="16.5" customHeight="1">
      <c r="A65" s="365"/>
      <c r="B65" s="365"/>
      <c r="C65" s="365"/>
      <c r="D65" s="365"/>
      <c r="E65" s="365"/>
      <c r="F65" s="165"/>
      <c r="G65" s="165"/>
      <c r="H65" s="165"/>
      <c r="I65" s="95" t="s">
        <v>258</v>
      </c>
      <c r="J65" s="95"/>
      <c r="K65" s="95"/>
      <c r="L65" s="95"/>
      <c r="M65" s="95"/>
      <c r="N65" s="100" t="s">
        <v>10</v>
      </c>
      <c r="O65" s="100"/>
      <c r="P65" s="99">
        <f>P59-5</f>
        <v>116.5</v>
      </c>
      <c r="Q65" s="99"/>
      <c r="R65" s="99"/>
      <c r="S65" s="99"/>
      <c r="T65" s="99">
        <f>P65+10</f>
        <v>126.5</v>
      </c>
      <c r="U65" s="99"/>
      <c r="V65" s="99"/>
      <c r="W65" s="99"/>
      <c r="Z65" s="93"/>
      <c r="AA65" s="93"/>
      <c r="AB65" s="93"/>
      <c r="AC65" s="93"/>
      <c r="AD65" s="93"/>
      <c r="AE65" s="165"/>
      <c r="AF65" s="165"/>
      <c r="AG65" s="165"/>
      <c r="AH65" s="95" t="s">
        <v>258</v>
      </c>
      <c r="AI65" s="95"/>
      <c r="AJ65" s="95"/>
      <c r="AK65" s="95"/>
      <c r="AL65" s="95"/>
      <c r="AM65" s="100" t="s">
        <v>184</v>
      </c>
      <c r="AN65" s="100"/>
      <c r="AO65" s="362">
        <f>AO59-5</f>
        <v>133</v>
      </c>
      <c r="AP65" s="362"/>
      <c r="AQ65" s="362"/>
      <c r="AR65" s="362"/>
      <c r="AS65" s="362">
        <f>AO65+10</f>
        <v>143</v>
      </c>
      <c r="AT65" s="362"/>
      <c r="AU65" s="362"/>
      <c r="AV65" s="362"/>
      <c r="AW65" s="12"/>
      <c r="AX65" s="12"/>
      <c r="AY65" s="12"/>
      <c r="AZ65" s="12"/>
      <c r="BA65" s="12"/>
      <c r="BB65" s="12"/>
      <c r="BC65" s="12"/>
      <c r="BD65" s="12"/>
      <c r="BE65" s="12"/>
      <c r="BF65" s="12"/>
      <c r="BG65" s="12"/>
      <c r="BH65" s="12"/>
      <c r="BI65" s="12"/>
      <c r="BJ65" s="12"/>
      <c r="BK65" s="12"/>
      <c r="BL65" s="12"/>
      <c r="BM65" s="12"/>
    </row>
    <row r="66" spans="1:65" ht="16.5" customHeight="1">
      <c r="A66" s="365"/>
      <c r="B66" s="365"/>
      <c r="C66" s="365"/>
      <c r="D66" s="365"/>
      <c r="E66" s="365"/>
      <c r="F66" s="165"/>
      <c r="G66" s="165"/>
      <c r="H66" s="165"/>
      <c r="I66" s="95"/>
      <c r="J66" s="95"/>
      <c r="K66" s="95"/>
      <c r="L66" s="95"/>
      <c r="M66" s="95"/>
      <c r="N66" s="100" t="s">
        <v>11</v>
      </c>
      <c r="O66" s="100"/>
      <c r="P66" s="99">
        <f>CEILING(P65*0.92,0.5)</f>
        <v>107.5</v>
      </c>
      <c r="Q66" s="99"/>
      <c r="R66" s="99"/>
      <c r="S66" s="99"/>
      <c r="T66" s="99">
        <f>CEILING(T65*0.92,0.5)</f>
        <v>116.5</v>
      </c>
      <c r="U66" s="99"/>
      <c r="V66" s="99"/>
      <c r="W66" s="99"/>
      <c r="Z66" s="93"/>
      <c r="AA66" s="93"/>
      <c r="AB66" s="93"/>
      <c r="AC66" s="93"/>
      <c r="AD66" s="93"/>
      <c r="AE66" s="165"/>
      <c r="AF66" s="165"/>
      <c r="AG66" s="165"/>
      <c r="AH66" s="95"/>
      <c r="AI66" s="95"/>
      <c r="AJ66" s="95"/>
      <c r="AK66" s="95"/>
      <c r="AL66" s="95"/>
      <c r="AM66" s="100" t="s">
        <v>186</v>
      </c>
      <c r="AN66" s="100"/>
      <c r="AO66" s="362">
        <f>CEILING(AO65*0.92,0.5)</f>
        <v>122.5</v>
      </c>
      <c r="AP66" s="362"/>
      <c r="AQ66" s="362"/>
      <c r="AR66" s="362"/>
      <c r="AS66" s="362">
        <f>CEILING(AS65*0.92,0.5)</f>
        <v>132</v>
      </c>
      <c r="AT66" s="362"/>
      <c r="AU66" s="362"/>
      <c r="AV66" s="362"/>
      <c r="AW66" s="12"/>
      <c r="AX66" s="12"/>
      <c r="AY66" s="12"/>
      <c r="AZ66" s="12"/>
      <c r="BA66" s="12"/>
      <c r="BB66" s="12"/>
      <c r="BC66" s="12"/>
      <c r="BD66" s="12"/>
      <c r="BE66" s="12"/>
      <c r="BF66" s="12"/>
      <c r="BG66" s="12"/>
      <c r="BH66" s="12"/>
      <c r="BI66" s="12"/>
      <c r="BJ66" s="12"/>
      <c r="BK66" s="12"/>
      <c r="BL66" s="12"/>
      <c r="BM66" s="12"/>
    </row>
    <row r="67" spans="1:65" ht="16.5" customHeight="1">
      <c r="A67" s="365"/>
      <c r="B67" s="365"/>
      <c r="C67" s="365"/>
      <c r="D67" s="365"/>
      <c r="E67" s="365"/>
      <c r="F67" s="165"/>
      <c r="G67" s="165"/>
      <c r="H67" s="165"/>
      <c r="I67" s="95"/>
      <c r="J67" s="95"/>
      <c r="K67" s="95"/>
      <c r="L67" s="95"/>
      <c r="M67" s="95"/>
      <c r="N67" s="100" t="s">
        <v>12</v>
      </c>
      <c r="O67" s="100"/>
      <c r="P67" s="99">
        <f>P61-5</f>
        <v>100.5</v>
      </c>
      <c r="Q67" s="99"/>
      <c r="R67" s="99"/>
      <c r="S67" s="99"/>
      <c r="T67" s="99">
        <f>P67+10</f>
        <v>110.5</v>
      </c>
      <c r="U67" s="99"/>
      <c r="V67" s="99"/>
      <c r="W67" s="99"/>
      <c r="Z67" s="93"/>
      <c r="AA67" s="93"/>
      <c r="AB67" s="93"/>
      <c r="AC67" s="93"/>
      <c r="AD67" s="93"/>
      <c r="AE67" s="165"/>
      <c r="AF67" s="165"/>
      <c r="AG67" s="165"/>
      <c r="AH67" s="95"/>
      <c r="AI67" s="95"/>
      <c r="AJ67" s="95"/>
      <c r="AK67" s="95"/>
      <c r="AL67" s="95"/>
      <c r="AM67" s="100" t="s">
        <v>96</v>
      </c>
      <c r="AN67" s="100"/>
      <c r="AO67" s="362">
        <f>AO61-5</f>
        <v>115.5</v>
      </c>
      <c r="AP67" s="362"/>
      <c r="AQ67" s="362"/>
      <c r="AR67" s="362"/>
      <c r="AS67" s="362">
        <f>AO67+10</f>
        <v>125.5</v>
      </c>
      <c r="AT67" s="362"/>
      <c r="AU67" s="362"/>
      <c r="AV67" s="362"/>
      <c r="AW67" s="12"/>
      <c r="AX67" s="12"/>
      <c r="AY67" s="12"/>
      <c r="AZ67" s="12"/>
      <c r="BA67" s="12"/>
      <c r="BB67" s="12"/>
      <c r="BC67" s="12"/>
      <c r="BD67" s="12"/>
      <c r="BE67" s="12"/>
      <c r="BF67" s="12"/>
      <c r="BG67" s="12"/>
      <c r="BH67" s="12"/>
      <c r="BI67" s="12"/>
      <c r="BJ67" s="12"/>
      <c r="BK67" s="12"/>
      <c r="BL67" s="12"/>
      <c r="BM67" s="12"/>
    </row>
    <row r="68" spans="1:65" ht="16.5" customHeight="1">
      <c r="A68" s="365"/>
      <c r="B68" s="365"/>
      <c r="C68" s="365"/>
      <c r="D68" s="365"/>
      <c r="E68" s="365"/>
      <c r="F68" s="165"/>
      <c r="G68" s="165"/>
      <c r="H68" s="165"/>
      <c r="I68" s="97" t="s">
        <v>16</v>
      </c>
      <c r="J68" s="97"/>
      <c r="K68" s="97"/>
      <c r="L68" s="97"/>
      <c r="M68" s="97"/>
      <c r="N68" s="98" t="s">
        <v>10</v>
      </c>
      <c r="O68" s="98"/>
      <c r="P68" s="96">
        <f>CEILING(P65*0.47+5,0.5)</f>
        <v>60</v>
      </c>
      <c r="Q68" s="96"/>
      <c r="R68" s="96"/>
      <c r="S68" s="96"/>
      <c r="T68" s="96">
        <f>CEILING(T65*0.47+5,0.5)</f>
        <v>64.5</v>
      </c>
      <c r="U68" s="96"/>
      <c r="V68" s="96"/>
      <c r="W68" s="96"/>
      <c r="Z68" s="93"/>
      <c r="AA68" s="93"/>
      <c r="AB68" s="93"/>
      <c r="AC68" s="93"/>
      <c r="AD68" s="93"/>
      <c r="AE68" s="165"/>
      <c r="AF68" s="165"/>
      <c r="AG68" s="165"/>
      <c r="AH68" s="97" t="s">
        <v>195</v>
      </c>
      <c r="AI68" s="97"/>
      <c r="AJ68" s="97"/>
      <c r="AK68" s="97"/>
      <c r="AL68" s="97"/>
      <c r="AM68" s="98" t="s">
        <v>184</v>
      </c>
      <c r="AN68" s="98"/>
      <c r="AO68" s="363">
        <f>CEILING(AO65*0.57+5,0.5)</f>
        <v>81</v>
      </c>
      <c r="AP68" s="363"/>
      <c r="AQ68" s="363"/>
      <c r="AR68" s="363"/>
      <c r="AS68" s="363">
        <f>CEILING(AS65*0.57+5,0.5)</f>
        <v>87</v>
      </c>
      <c r="AT68" s="363"/>
      <c r="AU68" s="363"/>
      <c r="AV68" s="363"/>
      <c r="AW68" s="12"/>
      <c r="AX68" s="12"/>
      <c r="AY68" s="12"/>
      <c r="AZ68" s="12"/>
      <c r="BA68" s="12"/>
      <c r="BB68" s="12"/>
      <c r="BC68" s="12"/>
      <c r="BD68" s="12"/>
      <c r="BE68" s="12"/>
      <c r="BF68" s="12"/>
      <c r="BG68" s="12"/>
      <c r="BH68" s="12"/>
      <c r="BI68" s="12"/>
      <c r="BJ68" s="12"/>
      <c r="BK68" s="12"/>
      <c r="BL68" s="12"/>
      <c r="BM68" s="12"/>
    </row>
    <row r="69" spans="1:65" ht="16.5" customHeight="1">
      <c r="A69" s="365"/>
      <c r="B69" s="365"/>
      <c r="C69" s="365"/>
      <c r="D69" s="365"/>
      <c r="E69" s="365"/>
      <c r="F69" s="165"/>
      <c r="G69" s="165"/>
      <c r="H69" s="165"/>
      <c r="I69" s="97"/>
      <c r="J69" s="97"/>
      <c r="K69" s="97"/>
      <c r="L69" s="97"/>
      <c r="M69" s="97"/>
      <c r="N69" s="98" t="s">
        <v>11</v>
      </c>
      <c r="O69" s="98"/>
      <c r="P69" s="96">
        <f>CEILING(P68*0.92,0.5)</f>
        <v>55.5</v>
      </c>
      <c r="Q69" s="96"/>
      <c r="R69" s="96"/>
      <c r="S69" s="96"/>
      <c r="T69" s="96">
        <f>CEILING(T68*0.92,0.5)</f>
        <v>59.5</v>
      </c>
      <c r="U69" s="96"/>
      <c r="V69" s="96"/>
      <c r="W69" s="96"/>
      <c r="Z69" s="93"/>
      <c r="AA69" s="93"/>
      <c r="AB69" s="93"/>
      <c r="AC69" s="93"/>
      <c r="AD69" s="93"/>
      <c r="AE69" s="165"/>
      <c r="AF69" s="165"/>
      <c r="AG69" s="165"/>
      <c r="AH69" s="97"/>
      <c r="AI69" s="97"/>
      <c r="AJ69" s="97"/>
      <c r="AK69" s="97"/>
      <c r="AL69" s="97"/>
      <c r="AM69" s="98" t="s">
        <v>186</v>
      </c>
      <c r="AN69" s="98"/>
      <c r="AO69" s="363">
        <f>CEILING(AO68*0.92,0.5)</f>
        <v>75</v>
      </c>
      <c r="AP69" s="363"/>
      <c r="AQ69" s="363"/>
      <c r="AR69" s="363"/>
      <c r="AS69" s="363">
        <f>CEILING(AS68*0.92,0.5)</f>
        <v>80.5</v>
      </c>
      <c r="AT69" s="363"/>
      <c r="AU69" s="363"/>
      <c r="AV69" s="363"/>
      <c r="AW69" s="12"/>
      <c r="AX69" s="12"/>
      <c r="AY69" s="12"/>
      <c r="AZ69" s="12"/>
      <c r="BA69" s="12"/>
      <c r="BB69" s="12"/>
      <c r="BC69" s="12"/>
      <c r="BD69" s="12"/>
      <c r="BE69" s="12"/>
      <c r="BF69" s="12"/>
      <c r="BG69" s="12"/>
      <c r="BH69" s="12"/>
      <c r="BI69" s="12"/>
      <c r="BJ69" s="12"/>
      <c r="BK69" s="12"/>
      <c r="BL69" s="12"/>
      <c r="BM69" s="12"/>
    </row>
    <row r="70" spans="1:65" ht="16.5" customHeight="1">
      <c r="A70" s="365"/>
      <c r="B70" s="365"/>
      <c r="C70" s="365"/>
      <c r="D70" s="365"/>
      <c r="E70" s="365"/>
      <c r="F70" s="165"/>
      <c r="G70" s="165"/>
      <c r="H70" s="165"/>
      <c r="I70" s="97"/>
      <c r="J70" s="97"/>
      <c r="K70" s="97"/>
      <c r="L70" s="97"/>
      <c r="M70" s="97"/>
      <c r="N70" s="98" t="s">
        <v>12</v>
      </c>
      <c r="O70" s="98"/>
      <c r="P70" s="96">
        <f>CEILING(P67*0.47+5,0.5)</f>
        <v>52.5</v>
      </c>
      <c r="Q70" s="96"/>
      <c r="R70" s="96"/>
      <c r="S70" s="96"/>
      <c r="T70" s="96">
        <f>CEILING(T67*0.47+5,0.5)</f>
        <v>57</v>
      </c>
      <c r="U70" s="96"/>
      <c r="V70" s="96"/>
      <c r="W70" s="96"/>
      <c r="Z70" s="93"/>
      <c r="AA70" s="93"/>
      <c r="AB70" s="93"/>
      <c r="AC70" s="93"/>
      <c r="AD70" s="93"/>
      <c r="AE70" s="165"/>
      <c r="AF70" s="165"/>
      <c r="AG70" s="165"/>
      <c r="AH70" s="97"/>
      <c r="AI70" s="97"/>
      <c r="AJ70" s="97"/>
      <c r="AK70" s="97"/>
      <c r="AL70" s="97"/>
      <c r="AM70" s="98" t="s">
        <v>96</v>
      </c>
      <c r="AN70" s="98"/>
      <c r="AO70" s="363">
        <f>CEILING(AO67*0.57+5,0.5)</f>
        <v>71</v>
      </c>
      <c r="AP70" s="363"/>
      <c r="AQ70" s="363"/>
      <c r="AR70" s="363"/>
      <c r="AS70" s="363">
        <f>CEILING(AS67*0.57+5,0.5)</f>
        <v>77</v>
      </c>
      <c r="AT70" s="363"/>
      <c r="AU70" s="363"/>
      <c r="AV70" s="363"/>
      <c r="AW70" s="12"/>
      <c r="AX70" s="12"/>
      <c r="AY70" s="12"/>
      <c r="AZ70" s="12"/>
      <c r="BA70" s="12"/>
      <c r="BB70" s="12"/>
      <c r="BC70" s="12"/>
      <c r="BD70" s="12"/>
      <c r="BE70" s="12"/>
      <c r="BF70" s="12"/>
      <c r="BG70" s="12"/>
      <c r="BH70" s="12"/>
      <c r="BI70" s="12"/>
      <c r="BJ70" s="12"/>
      <c r="BK70" s="12"/>
      <c r="BL70" s="12"/>
      <c r="BM70" s="12"/>
    </row>
    <row r="71" spans="1:65" ht="16.5" customHeight="1">
      <c r="A71" s="365"/>
      <c r="B71" s="365"/>
      <c r="C71" s="365"/>
      <c r="D71" s="365"/>
      <c r="E71" s="365"/>
      <c r="F71" s="165"/>
      <c r="G71" s="165"/>
      <c r="H71" s="165"/>
      <c r="I71" s="82" t="s">
        <v>260</v>
      </c>
      <c r="J71" s="82"/>
      <c r="K71" s="82"/>
      <c r="L71" s="82"/>
      <c r="M71" s="82"/>
      <c r="N71" s="84" t="s">
        <v>10</v>
      </c>
      <c r="O71" s="84"/>
      <c r="P71" s="83">
        <f>P65-2</f>
        <v>114.5</v>
      </c>
      <c r="Q71" s="83"/>
      <c r="R71" s="83"/>
      <c r="S71" s="83"/>
      <c r="T71" s="83">
        <f>P71+8</f>
        <v>122.5</v>
      </c>
      <c r="U71" s="83"/>
      <c r="V71" s="83"/>
      <c r="W71" s="83"/>
      <c r="Z71" s="93"/>
      <c r="AA71" s="93"/>
      <c r="AB71" s="93"/>
      <c r="AC71" s="93"/>
      <c r="AD71" s="93"/>
      <c r="AE71" s="165"/>
      <c r="AF71" s="165"/>
      <c r="AG71" s="165"/>
      <c r="AH71" s="82" t="s">
        <v>260</v>
      </c>
      <c r="AI71" s="82"/>
      <c r="AJ71" s="82"/>
      <c r="AK71" s="82"/>
      <c r="AL71" s="82"/>
      <c r="AM71" s="84" t="s">
        <v>184</v>
      </c>
      <c r="AN71" s="84"/>
      <c r="AO71" s="366">
        <f>AO65-2</f>
        <v>131</v>
      </c>
      <c r="AP71" s="366"/>
      <c r="AQ71" s="366"/>
      <c r="AR71" s="366"/>
      <c r="AS71" s="366">
        <f>AO71+8</f>
        <v>139</v>
      </c>
      <c r="AT71" s="366"/>
      <c r="AU71" s="366"/>
      <c r="AV71" s="366"/>
      <c r="AW71" s="12"/>
      <c r="AX71" s="12"/>
      <c r="AY71" s="12"/>
      <c r="AZ71" s="12"/>
      <c r="BA71" s="12"/>
      <c r="BB71" s="12"/>
      <c r="BC71" s="12"/>
      <c r="BD71" s="12"/>
      <c r="BE71" s="12"/>
      <c r="BF71" s="12"/>
      <c r="BG71" s="12"/>
      <c r="BH71" s="12"/>
      <c r="BI71" s="12"/>
      <c r="BJ71" s="12"/>
      <c r="BK71" s="12"/>
      <c r="BL71" s="12"/>
      <c r="BM71" s="12"/>
    </row>
    <row r="72" spans="1:65" ht="16.5" customHeight="1">
      <c r="A72" s="365"/>
      <c r="B72" s="365"/>
      <c r="C72" s="365"/>
      <c r="D72" s="365"/>
      <c r="E72" s="365"/>
      <c r="F72" s="165"/>
      <c r="G72" s="165"/>
      <c r="H72" s="165"/>
      <c r="I72" s="82"/>
      <c r="J72" s="82"/>
      <c r="K72" s="82"/>
      <c r="L72" s="82"/>
      <c r="M72" s="82"/>
      <c r="N72" s="84" t="s">
        <v>11</v>
      </c>
      <c r="O72" s="84"/>
      <c r="P72" s="83">
        <f>CEILING(P71*0.92,0.5)</f>
        <v>105.5</v>
      </c>
      <c r="Q72" s="83"/>
      <c r="R72" s="83"/>
      <c r="S72" s="83"/>
      <c r="T72" s="83">
        <f>CEILING(T71*0.92,0.5)</f>
        <v>113</v>
      </c>
      <c r="U72" s="83"/>
      <c r="V72" s="83"/>
      <c r="W72" s="83"/>
      <c r="Z72" s="93"/>
      <c r="AA72" s="93"/>
      <c r="AB72" s="93"/>
      <c r="AC72" s="93"/>
      <c r="AD72" s="93"/>
      <c r="AE72" s="165"/>
      <c r="AF72" s="165"/>
      <c r="AG72" s="165"/>
      <c r="AH72" s="82"/>
      <c r="AI72" s="82"/>
      <c r="AJ72" s="82"/>
      <c r="AK72" s="82"/>
      <c r="AL72" s="82"/>
      <c r="AM72" s="84" t="s">
        <v>186</v>
      </c>
      <c r="AN72" s="84"/>
      <c r="AO72" s="366">
        <f>CEILING(AO71*0.92,0.5)</f>
        <v>121</v>
      </c>
      <c r="AP72" s="366"/>
      <c r="AQ72" s="366"/>
      <c r="AR72" s="366"/>
      <c r="AS72" s="366">
        <f>CEILING(AS71*0.92,0.5)</f>
        <v>128</v>
      </c>
      <c r="AT72" s="366"/>
      <c r="AU72" s="366"/>
      <c r="AV72" s="366"/>
      <c r="AW72" s="12"/>
      <c r="AX72" s="12"/>
      <c r="AY72" s="12"/>
      <c r="AZ72" s="12"/>
      <c r="BA72" s="12"/>
      <c r="BB72" s="12"/>
      <c r="BC72" s="12"/>
      <c r="BD72" s="12"/>
      <c r="BE72" s="12"/>
      <c r="BF72" s="12"/>
      <c r="BG72" s="12"/>
      <c r="BH72" s="12"/>
      <c r="BI72" s="12"/>
      <c r="BJ72" s="12"/>
      <c r="BK72" s="12"/>
      <c r="BL72" s="12"/>
      <c r="BM72" s="12"/>
    </row>
    <row r="73" spans="1:65" ht="16.5" customHeight="1">
      <c r="A73" s="365"/>
      <c r="B73" s="365"/>
      <c r="C73" s="365"/>
      <c r="D73" s="365"/>
      <c r="E73" s="365"/>
      <c r="F73" s="165"/>
      <c r="G73" s="165"/>
      <c r="H73" s="165"/>
      <c r="I73" s="82"/>
      <c r="J73" s="82"/>
      <c r="K73" s="82"/>
      <c r="L73" s="82"/>
      <c r="M73" s="82"/>
      <c r="N73" s="84" t="s">
        <v>12</v>
      </c>
      <c r="O73" s="84"/>
      <c r="P73" s="83">
        <f>P67-2</f>
        <v>98.5</v>
      </c>
      <c r="Q73" s="83"/>
      <c r="R73" s="83"/>
      <c r="S73" s="83"/>
      <c r="T73" s="83">
        <f>P73+8</f>
        <v>106.5</v>
      </c>
      <c r="U73" s="83"/>
      <c r="V73" s="83"/>
      <c r="W73" s="83"/>
      <c r="Z73" s="93"/>
      <c r="AA73" s="93"/>
      <c r="AB73" s="93"/>
      <c r="AC73" s="93"/>
      <c r="AD73" s="93"/>
      <c r="AE73" s="165"/>
      <c r="AF73" s="165"/>
      <c r="AG73" s="165"/>
      <c r="AH73" s="82"/>
      <c r="AI73" s="82"/>
      <c r="AJ73" s="82"/>
      <c r="AK73" s="82"/>
      <c r="AL73" s="82"/>
      <c r="AM73" s="84" t="s">
        <v>96</v>
      </c>
      <c r="AN73" s="84"/>
      <c r="AO73" s="366">
        <f>AO67-2</f>
        <v>113.5</v>
      </c>
      <c r="AP73" s="366"/>
      <c r="AQ73" s="366"/>
      <c r="AR73" s="366"/>
      <c r="AS73" s="366">
        <f>AO73+8</f>
        <v>121.5</v>
      </c>
      <c r="AT73" s="366"/>
      <c r="AU73" s="366"/>
      <c r="AV73" s="366"/>
      <c r="AW73" s="12"/>
      <c r="AX73" s="12"/>
      <c r="AY73" s="12"/>
      <c r="AZ73" s="12"/>
      <c r="BA73" s="12"/>
      <c r="BB73" s="12"/>
      <c r="BC73" s="12"/>
      <c r="BD73" s="12"/>
      <c r="BE73" s="12"/>
      <c r="BF73" s="12"/>
      <c r="BG73" s="12"/>
      <c r="BH73" s="12"/>
      <c r="BI73" s="12"/>
      <c r="BJ73" s="12"/>
      <c r="BK73" s="12"/>
      <c r="BL73" s="12"/>
      <c r="BM73" s="12"/>
    </row>
    <row r="74" spans="1:65" ht="16.5" customHeight="1">
      <c r="A74" s="365"/>
      <c r="B74" s="365"/>
      <c r="C74" s="365"/>
      <c r="D74" s="365"/>
      <c r="E74" s="365"/>
      <c r="F74" s="165"/>
      <c r="G74" s="165"/>
      <c r="H74" s="165"/>
      <c r="I74" s="80" t="s">
        <v>196</v>
      </c>
      <c r="J74" s="80"/>
      <c r="K74" s="80"/>
      <c r="L74" s="80"/>
      <c r="M74" s="80"/>
      <c r="N74" s="81" t="s">
        <v>10</v>
      </c>
      <c r="O74" s="81"/>
      <c r="P74" s="89">
        <f>CEILING(P71*0.47+5,0.5)</f>
        <v>59</v>
      </c>
      <c r="Q74" s="89"/>
      <c r="R74" s="89"/>
      <c r="S74" s="89"/>
      <c r="T74" s="89">
        <f>CEILING(T71*0.47+5,0.5)</f>
        <v>63</v>
      </c>
      <c r="U74" s="89"/>
      <c r="V74" s="89"/>
      <c r="W74" s="89"/>
      <c r="Z74" s="93"/>
      <c r="AA74" s="93"/>
      <c r="AB74" s="93"/>
      <c r="AC74" s="93"/>
      <c r="AD74" s="93"/>
      <c r="AE74" s="165"/>
      <c r="AF74" s="165"/>
      <c r="AG74" s="165"/>
      <c r="AH74" s="80" t="s">
        <v>265</v>
      </c>
      <c r="AI74" s="80"/>
      <c r="AJ74" s="80"/>
      <c r="AK74" s="80"/>
      <c r="AL74" s="80"/>
      <c r="AM74" s="81" t="s">
        <v>184</v>
      </c>
      <c r="AN74" s="81"/>
      <c r="AO74" s="364">
        <f>CEILING(AO71*0.57+5,0.5)</f>
        <v>80</v>
      </c>
      <c r="AP74" s="364"/>
      <c r="AQ74" s="364"/>
      <c r="AR74" s="364"/>
      <c r="AS74" s="364">
        <f>CEILING(AS71*0.57+5,0.5)</f>
        <v>84.5</v>
      </c>
      <c r="AT74" s="364"/>
      <c r="AU74" s="364"/>
      <c r="AV74" s="364"/>
      <c r="AW74" s="12"/>
      <c r="AX74" s="12"/>
      <c r="AY74" s="12"/>
      <c r="AZ74" s="12"/>
      <c r="BA74" s="12"/>
      <c r="BB74" s="12"/>
      <c r="BC74" s="12"/>
      <c r="BD74" s="12"/>
      <c r="BE74" s="12"/>
      <c r="BF74" s="12"/>
      <c r="BG74" s="12"/>
      <c r="BH74" s="12"/>
      <c r="BI74" s="12"/>
      <c r="BJ74" s="12"/>
      <c r="BK74" s="12"/>
      <c r="BL74" s="12"/>
      <c r="BM74" s="12"/>
    </row>
    <row r="75" spans="1:65" ht="16.5" customHeight="1">
      <c r="A75" s="365"/>
      <c r="B75" s="365"/>
      <c r="C75" s="365"/>
      <c r="D75" s="365"/>
      <c r="E75" s="365"/>
      <c r="F75" s="165"/>
      <c r="G75" s="165"/>
      <c r="H75" s="165"/>
      <c r="I75" s="80"/>
      <c r="J75" s="80"/>
      <c r="K75" s="80"/>
      <c r="L75" s="80"/>
      <c r="M75" s="80"/>
      <c r="N75" s="81" t="s">
        <v>11</v>
      </c>
      <c r="O75" s="81"/>
      <c r="P75" s="89">
        <f>CEILING(P74*0.92,0.5)</f>
        <v>54.5</v>
      </c>
      <c r="Q75" s="89"/>
      <c r="R75" s="89"/>
      <c r="S75" s="89"/>
      <c r="T75" s="89">
        <f>CEILING(T74*0.92,0.5)</f>
        <v>58</v>
      </c>
      <c r="U75" s="89"/>
      <c r="V75" s="89"/>
      <c r="W75" s="89"/>
      <c r="Z75" s="93"/>
      <c r="AA75" s="93"/>
      <c r="AB75" s="93"/>
      <c r="AC75" s="93"/>
      <c r="AD75" s="93"/>
      <c r="AE75" s="165"/>
      <c r="AF75" s="165"/>
      <c r="AG75" s="165"/>
      <c r="AH75" s="80"/>
      <c r="AI75" s="80"/>
      <c r="AJ75" s="80"/>
      <c r="AK75" s="80"/>
      <c r="AL75" s="80"/>
      <c r="AM75" s="81" t="s">
        <v>186</v>
      </c>
      <c r="AN75" s="81"/>
      <c r="AO75" s="364">
        <f>CEILING(AO74*0.92,0.5)</f>
        <v>74</v>
      </c>
      <c r="AP75" s="364"/>
      <c r="AQ75" s="364"/>
      <c r="AR75" s="364"/>
      <c r="AS75" s="364">
        <f>CEILING(AS74*0.92,0.5)</f>
        <v>78</v>
      </c>
      <c r="AT75" s="364"/>
      <c r="AU75" s="364"/>
      <c r="AV75" s="364"/>
      <c r="AW75" s="12"/>
      <c r="AX75" s="12"/>
      <c r="AY75" s="12"/>
      <c r="AZ75" s="12"/>
      <c r="BA75" s="12"/>
      <c r="BB75" s="12"/>
      <c r="BC75" s="12"/>
      <c r="BD75" s="12"/>
      <c r="BE75" s="12"/>
      <c r="BF75" s="12"/>
      <c r="BG75" s="12"/>
      <c r="BH75" s="12"/>
      <c r="BI75" s="12"/>
      <c r="BJ75" s="12"/>
    </row>
    <row r="76" spans="1:65" ht="16.5" customHeight="1">
      <c r="A76" s="365"/>
      <c r="B76" s="365"/>
      <c r="C76" s="365"/>
      <c r="D76" s="365"/>
      <c r="E76" s="365"/>
      <c r="F76" s="167"/>
      <c r="G76" s="167"/>
      <c r="H76" s="167"/>
      <c r="I76" s="80"/>
      <c r="J76" s="80"/>
      <c r="K76" s="80"/>
      <c r="L76" s="80"/>
      <c r="M76" s="80"/>
      <c r="N76" s="81" t="s">
        <v>12</v>
      </c>
      <c r="O76" s="81"/>
      <c r="P76" s="89">
        <f>CEILING(P73*0.47+5,0.5)</f>
        <v>51.5</v>
      </c>
      <c r="Q76" s="89"/>
      <c r="R76" s="89"/>
      <c r="S76" s="89"/>
      <c r="T76" s="89">
        <f>CEILING(T73*0.47+5,0.5)</f>
        <v>55.5</v>
      </c>
      <c r="U76" s="89"/>
      <c r="V76" s="89"/>
      <c r="W76" s="89"/>
      <c r="Z76" s="93"/>
      <c r="AA76" s="93"/>
      <c r="AB76" s="93"/>
      <c r="AC76" s="93"/>
      <c r="AD76" s="93"/>
      <c r="AE76" s="167"/>
      <c r="AF76" s="167"/>
      <c r="AG76" s="167"/>
      <c r="AH76" s="80"/>
      <c r="AI76" s="80"/>
      <c r="AJ76" s="80"/>
      <c r="AK76" s="80"/>
      <c r="AL76" s="80"/>
      <c r="AM76" s="81" t="s">
        <v>96</v>
      </c>
      <c r="AN76" s="81"/>
      <c r="AO76" s="364">
        <f>CEILING(AO73*0.57+5,0.5)</f>
        <v>70</v>
      </c>
      <c r="AP76" s="364"/>
      <c r="AQ76" s="364"/>
      <c r="AR76" s="364"/>
      <c r="AS76" s="364">
        <f>CEILING(AS73*0.57+5,0.5)</f>
        <v>74.5</v>
      </c>
      <c r="AT76" s="364"/>
      <c r="AU76" s="364"/>
      <c r="AV76" s="364"/>
      <c r="AW76" s="12"/>
      <c r="AX76" s="12"/>
      <c r="AY76" s="12"/>
      <c r="AZ76" s="12"/>
      <c r="BA76" s="12"/>
      <c r="BB76" s="12"/>
      <c r="BC76" s="12"/>
      <c r="BD76" s="12"/>
      <c r="BE76" s="12"/>
      <c r="BF76" s="12"/>
      <c r="BG76" s="12"/>
      <c r="BH76" s="12"/>
      <c r="BI76" s="12"/>
      <c r="BJ76" s="12"/>
    </row>
    <row r="77" spans="1:65" ht="16.5" customHeight="1">
      <c r="A77" s="71" t="s">
        <v>266</v>
      </c>
      <c r="B77" s="72"/>
      <c r="C77" s="72"/>
      <c r="D77" s="72"/>
      <c r="E77" s="72"/>
      <c r="F77" s="14"/>
      <c r="G77" s="14"/>
      <c r="H77" s="14"/>
      <c r="I77" s="14"/>
      <c r="J77" s="14"/>
      <c r="K77" s="14"/>
      <c r="X77" s="10"/>
      <c r="Y77" s="10"/>
      <c r="Z77" s="10"/>
      <c r="AA77" s="10"/>
      <c r="AB77" s="10"/>
      <c r="AC77" s="10"/>
      <c r="AD77" s="10"/>
      <c r="AE77" s="10"/>
      <c r="AQ77" s="12"/>
      <c r="AR77" s="12"/>
      <c r="AS77" s="12"/>
      <c r="AT77" s="12"/>
      <c r="AU77" s="12"/>
      <c r="AV77" s="12"/>
      <c r="AW77" s="12"/>
      <c r="AX77" s="12"/>
      <c r="AY77" s="12"/>
      <c r="AZ77" s="12"/>
      <c r="BA77" s="12"/>
      <c r="BB77" s="12"/>
      <c r="BC77" s="12"/>
      <c r="BD77" s="12"/>
      <c r="BE77" s="12"/>
      <c r="BF77" s="12"/>
      <c r="BG77" s="12"/>
      <c r="BH77" s="12"/>
      <c r="BI77" s="12"/>
      <c r="BJ77" s="12"/>
    </row>
    <row r="78" spans="1:65" ht="16.5" customHeight="1">
      <c r="A78" s="71" t="s">
        <v>267</v>
      </c>
      <c r="B78" s="72"/>
      <c r="C78" s="72"/>
      <c r="D78" s="72"/>
      <c r="E78" s="72"/>
      <c r="F78" s="10"/>
      <c r="G78" s="10"/>
      <c r="H78" s="10"/>
      <c r="I78" s="10"/>
      <c r="X78" s="10"/>
      <c r="Y78" s="10"/>
      <c r="Z78" s="10"/>
      <c r="AA78" s="10"/>
      <c r="AB78" s="10"/>
      <c r="AC78" s="10"/>
      <c r="AD78" s="10"/>
      <c r="AE78" s="10"/>
      <c r="BI78" s="12"/>
      <c r="BJ78" s="12"/>
    </row>
    <row r="79" spans="1:65" ht="16.5" customHeight="1">
      <c r="A79" s="71" t="s">
        <v>25</v>
      </c>
      <c r="B79" s="72"/>
      <c r="C79" s="72"/>
      <c r="D79" s="72"/>
      <c r="E79" s="72"/>
      <c r="F79" s="10"/>
      <c r="G79" s="10"/>
      <c r="H79" s="10"/>
      <c r="I79" s="10"/>
      <c r="X79" s="10"/>
      <c r="Y79" s="10"/>
      <c r="Z79" s="10"/>
      <c r="AA79" s="10"/>
      <c r="AB79" s="10"/>
      <c r="AC79" s="10"/>
      <c r="AD79" s="10"/>
      <c r="AE79" s="10"/>
      <c r="BI79" s="12"/>
      <c r="BJ79" s="12"/>
    </row>
    <row r="80" spans="1:65" ht="16.5" customHeight="1">
      <c r="A80" s="71" t="s">
        <v>26</v>
      </c>
      <c r="B80" s="72"/>
      <c r="C80" s="72"/>
      <c r="D80" s="72"/>
      <c r="E80" s="72"/>
      <c r="F80" s="10"/>
      <c r="G80" s="10"/>
      <c r="H80" s="10"/>
      <c r="I80" s="10"/>
      <c r="X80" s="10"/>
      <c r="Y80" s="10"/>
      <c r="Z80" s="10"/>
      <c r="AA80" s="10"/>
      <c r="AB80" s="10"/>
      <c r="AC80" s="10"/>
      <c r="AD80" s="10"/>
      <c r="AE80" s="10"/>
      <c r="BI80" s="12"/>
      <c r="BJ80" s="12"/>
    </row>
    <row r="81" spans="1:62" ht="16.5" customHeight="1" thickBot="1">
      <c r="A81" s="9"/>
      <c r="X81" s="10"/>
      <c r="Y81" s="10"/>
      <c r="Z81" s="10"/>
      <c r="AA81" s="10"/>
      <c r="AB81" s="10"/>
      <c r="AC81" s="10"/>
      <c r="AD81" s="10"/>
      <c r="AE81" s="10"/>
      <c r="BI81" s="12"/>
      <c r="BJ81" s="12"/>
    </row>
    <row r="82" spans="1:62" ht="16.5" customHeight="1" thickTop="1">
      <c r="A82" s="90" t="s">
        <v>27</v>
      </c>
      <c r="B82" s="91"/>
      <c r="C82" s="91"/>
      <c r="D82" s="91"/>
      <c r="E82" s="91"/>
      <c r="F82" s="91"/>
      <c r="G82" s="91"/>
      <c r="H82" s="91"/>
      <c r="I82" s="91"/>
      <c r="J82" s="91"/>
      <c r="K82" s="91"/>
      <c r="L82" s="91"/>
      <c r="M82" s="91"/>
      <c r="N82" s="91"/>
      <c r="O82" s="91"/>
      <c r="P82" s="91"/>
      <c r="Q82" s="91"/>
      <c r="R82" s="91"/>
      <c r="S82" s="91"/>
      <c r="T82" s="92"/>
      <c r="X82" s="10"/>
      <c r="Y82" s="10"/>
      <c r="Z82" s="10"/>
      <c r="AA82" s="10"/>
      <c r="AB82" s="10"/>
      <c r="AC82" s="10"/>
      <c r="AD82" s="10"/>
      <c r="AE82" s="10"/>
      <c r="AQ82" s="12"/>
      <c r="AR82" s="12"/>
      <c r="AS82" s="12"/>
      <c r="AT82" s="12"/>
      <c r="AU82" s="12"/>
      <c r="AV82" s="12"/>
      <c r="AW82" s="12"/>
      <c r="AX82" s="12"/>
      <c r="AY82" s="12"/>
      <c r="AZ82" s="12"/>
      <c r="BA82" s="12"/>
      <c r="BB82" s="12"/>
      <c r="BC82" s="12"/>
      <c r="BD82" s="12"/>
      <c r="BE82" s="12"/>
      <c r="BF82" s="12"/>
      <c r="BG82" s="12"/>
      <c r="BH82" s="12"/>
      <c r="BI82" s="12"/>
      <c r="BJ82" s="12"/>
    </row>
    <row r="83" spans="1:62" ht="16.5" customHeight="1">
      <c r="A83" s="168" t="s">
        <v>30</v>
      </c>
      <c r="B83" s="169"/>
      <c r="C83" s="169"/>
      <c r="D83" s="169"/>
      <c r="E83" s="169"/>
      <c r="F83" s="169"/>
      <c r="G83" s="169"/>
      <c r="H83" s="170"/>
      <c r="I83" s="169" t="s">
        <v>31</v>
      </c>
      <c r="J83" s="169"/>
      <c r="K83" s="169"/>
      <c r="L83" s="169"/>
      <c r="M83" s="169"/>
      <c r="N83" s="169"/>
      <c r="O83" s="169"/>
      <c r="P83" s="169"/>
      <c r="Q83" s="169"/>
      <c r="R83" s="169"/>
      <c r="S83" s="169"/>
      <c r="T83" s="171"/>
    </row>
    <row r="84" spans="1:62" ht="16.5" customHeight="1" thickBot="1">
      <c r="A84" s="85" t="s">
        <v>73</v>
      </c>
      <c r="B84" s="86"/>
      <c r="C84" s="86"/>
      <c r="D84" s="86"/>
      <c r="E84" s="86"/>
      <c r="F84" s="86"/>
      <c r="G84" s="86"/>
      <c r="H84" s="87"/>
      <c r="I84" s="86" t="s">
        <v>74</v>
      </c>
      <c r="J84" s="86"/>
      <c r="K84" s="86"/>
      <c r="L84" s="86"/>
      <c r="M84" s="86"/>
      <c r="N84" s="86"/>
      <c r="O84" s="86"/>
      <c r="P84" s="86"/>
      <c r="Q84" s="86"/>
      <c r="R84" s="86"/>
      <c r="S84" s="86"/>
      <c r="T84" s="88"/>
    </row>
    <row r="85" spans="1:62" ht="16.5" customHeight="1" thickTop="1"/>
    <row r="86" spans="1:62" ht="16.5" customHeight="1"/>
    <row r="87" spans="1:62" ht="16.5" customHeight="1"/>
    <row r="88" spans="1:62" ht="16.5" customHeight="1"/>
    <row r="89" spans="1:62" ht="16.5" customHeight="1"/>
    <row r="90" spans="1:62" ht="16.5" customHeight="1"/>
    <row r="91" spans="1:62" ht="16.5" customHeight="1"/>
    <row r="92" spans="1:62" ht="16.5" customHeight="1"/>
    <row r="93" spans="1:62" ht="16.5" customHeight="1"/>
    <row r="94" spans="1:62" ht="16.5" customHeight="1"/>
    <row r="95" spans="1:62" ht="16.5" customHeight="1"/>
    <row r="96" spans="1:62"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sheetData>
  <mergeCells count="357">
    <mergeCell ref="A82:T82"/>
    <mergeCell ref="A83:H83"/>
    <mergeCell ref="I83:T83"/>
    <mergeCell ref="A84:H84"/>
    <mergeCell ref="I84:T84"/>
    <mergeCell ref="N76:O76"/>
    <mergeCell ref="P76:S76"/>
    <mergeCell ref="T76:W76"/>
    <mergeCell ref="AM76:AN76"/>
    <mergeCell ref="A59:E76"/>
    <mergeCell ref="F59:H76"/>
    <mergeCell ref="I59:M61"/>
    <mergeCell ref="N59:O59"/>
    <mergeCell ref="P59:S59"/>
    <mergeCell ref="T59:W59"/>
    <mergeCell ref="N60:O60"/>
    <mergeCell ref="P60:S60"/>
    <mergeCell ref="T60:W60"/>
    <mergeCell ref="N61:O61"/>
    <mergeCell ref="P61:S61"/>
    <mergeCell ref="T61:W61"/>
    <mergeCell ref="I68:M70"/>
    <mergeCell ref="AM75:AN75"/>
    <mergeCell ref="AH68:AL70"/>
    <mergeCell ref="AO75:AR75"/>
    <mergeCell ref="AS75:AV75"/>
    <mergeCell ref="AO73:AR73"/>
    <mergeCell ref="AS73:AV73"/>
    <mergeCell ref="I74:M76"/>
    <mergeCell ref="N74:O74"/>
    <mergeCell ref="P74:S74"/>
    <mergeCell ref="T74:W74"/>
    <mergeCell ref="AH74:AL76"/>
    <mergeCell ref="AM74:AN74"/>
    <mergeCell ref="AO74:AR74"/>
    <mergeCell ref="AS74:AV74"/>
    <mergeCell ref="AO76:AR76"/>
    <mergeCell ref="AS76:AV76"/>
    <mergeCell ref="N75:O75"/>
    <mergeCell ref="P75:S75"/>
    <mergeCell ref="T75:W75"/>
    <mergeCell ref="AO71:AR71"/>
    <mergeCell ref="AS71:AV71"/>
    <mergeCell ref="N72:O72"/>
    <mergeCell ref="P72:S72"/>
    <mergeCell ref="T72:W72"/>
    <mergeCell ref="AM72:AN72"/>
    <mergeCell ref="AO72:AR72"/>
    <mergeCell ref="AS72:AV72"/>
    <mergeCell ref="I71:M73"/>
    <mergeCell ref="N71:O71"/>
    <mergeCell ref="P71:S71"/>
    <mergeCell ref="T71:W71"/>
    <mergeCell ref="AH71:AL73"/>
    <mergeCell ref="AM71:AN71"/>
    <mergeCell ref="N73:O73"/>
    <mergeCell ref="P73:S73"/>
    <mergeCell ref="T73:W73"/>
    <mergeCell ref="AM73:AN73"/>
    <mergeCell ref="AM68:AN68"/>
    <mergeCell ref="AO68:AR68"/>
    <mergeCell ref="AS68:AV68"/>
    <mergeCell ref="N70:O70"/>
    <mergeCell ref="P70:S70"/>
    <mergeCell ref="T70:W70"/>
    <mergeCell ref="AM70:AN70"/>
    <mergeCell ref="AO70:AR70"/>
    <mergeCell ref="AS70:AV70"/>
    <mergeCell ref="N69:O69"/>
    <mergeCell ref="P69:S69"/>
    <mergeCell ref="T69:W69"/>
    <mergeCell ref="AM69:AN69"/>
    <mergeCell ref="AO69:AR69"/>
    <mergeCell ref="AS69:AV69"/>
    <mergeCell ref="N68:O68"/>
    <mergeCell ref="P68:S68"/>
    <mergeCell ref="T68:W68"/>
    <mergeCell ref="AM66:AN66"/>
    <mergeCell ref="AO66:AR66"/>
    <mergeCell ref="AS66:AV66"/>
    <mergeCell ref="I65:M67"/>
    <mergeCell ref="N65:O65"/>
    <mergeCell ref="P65:S65"/>
    <mergeCell ref="T65:W65"/>
    <mergeCell ref="AH65:AL67"/>
    <mergeCell ref="AM65:AN65"/>
    <mergeCell ref="N67:O67"/>
    <mergeCell ref="P67:S67"/>
    <mergeCell ref="T67:W67"/>
    <mergeCell ref="AM67:AN67"/>
    <mergeCell ref="AO67:AR67"/>
    <mergeCell ref="AS67:AV67"/>
    <mergeCell ref="N66:O66"/>
    <mergeCell ref="P66:S66"/>
    <mergeCell ref="T66:W66"/>
    <mergeCell ref="AO62:AR62"/>
    <mergeCell ref="AS62:AV62"/>
    <mergeCell ref="N63:O63"/>
    <mergeCell ref="P63:S63"/>
    <mergeCell ref="T63:W63"/>
    <mergeCell ref="AM63:AN63"/>
    <mergeCell ref="AO63:AR63"/>
    <mergeCell ref="AS63:AV63"/>
    <mergeCell ref="AO65:AR65"/>
    <mergeCell ref="AS65:AV65"/>
    <mergeCell ref="AM61:AN61"/>
    <mergeCell ref="AO61:AR61"/>
    <mergeCell ref="AS61:AV61"/>
    <mergeCell ref="I62:M64"/>
    <mergeCell ref="N62:O62"/>
    <mergeCell ref="P62:S62"/>
    <mergeCell ref="T62:W62"/>
    <mergeCell ref="AH62:AL64"/>
    <mergeCell ref="Z59:AD76"/>
    <mergeCell ref="AE59:AG76"/>
    <mergeCell ref="AH59:AL61"/>
    <mergeCell ref="AM59:AN59"/>
    <mergeCell ref="AO59:AR59"/>
    <mergeCell ref="AS59:AV59"/>
    <mergeCell ref="AM60:AN60"/>
    <mergeCell ref="AO60:AR60"/>
    <mergeCell ref="AS60:AV60"/>
    <mergeCell ref="AM62:AN62"/>
    <mergeCell ref="N64:O64"/>
    <mergeCell ref="P64:S64"/>
    <mergeCell ref="T64:W64"/>
    <mergeCell ref="AM64:AN64"/>
    <mergeCell ref="AO64:AR64"/>
    <mergeCell ref="AS64:AV64"/>
    <mergeCell ref="AI33:AM35"/>
    <mergeCell ref="AN33:AO33"/>
    <mergeCell ref="AP33:AS33"/>
    <mergeCell ref="AT33:AW33"/>
    <mergeCell ref="N35:O35"/>
    <mergeCell ref="P35:S35"/>
    <mergeCell ref="T35:W35"/>
    <mergeCell ref="AN35:AO35"/>
    <mergeCell ref="AP35:AS35"/>
    <mergeCell ref="AT35:AW35"/>
    <mergeCell ref="N34:O34"/>
    <mergeCell ref="P34:S34"/>
    <mergeCell ref="T34:W34"/>
    <mergeCell ref="AN34:AO34"/>
    <mergeCell ref="AP34:AS34"/>
    <mergeCell ref="AT34:AW34"/>
    <mergeCell ref="AP30:AS30"/>
    <mergeCell ref="AT30:AW30"/>
    <mergeCell ref="N31:O31"/>
    <mergeCell ref="P31:S31"/>
    <mergeCell ref="T31:W31"/>
    <mergeCell ref="AN31:AO31"/>
    <mergeCell ref="AP31:AS31"/>
    <mergeCell ref="AT31:AW31"/>
    <mergeCell ref="I30:M32"/>
    <mergeCell ref="N30:O30"/>
    <mergeCell ref="P30:S30"/>
    <mergeCell ref="T30:W30"/>
    <mergeCell ref="AI30:AM32"/>
    <mergeCell ref="AN30:AO30"/>
    <mergeCell ref="N32:O32"/>
    <mergeCell ref="P32:S32"/>
    <mergeCell ref="T32:W32"/>
    <mergeCell ref="AN32:AO32"/>
    <mergeCell ref="AP32:AS32"/>
    <mergeCell ref="AT32:AW32"/>
    <mergeCell ref="AI27:AM29"/>
    <mergeCell ref="AN27:AO27"/>
    <mergeCell ref="AP27:AS27"/>
    <mergeCell ref="AT27:AW27"/>
    <mergeCell ref="N29:O29"/>
    <mergeCell ref="P29:S29"/>
    <mergeCell ref="T29:W29"/>
    <mergeCell ref="AN29:AO29"/>
    <mergeCell ref="AP29:AS29"/>
    <mergeCell ref="AT29:AW29"/>
    <mergeCell ref="N28:O28"/>
    <mergeCell ref="P28:S28"/>
    <mergeCell ref="T28:W28"/>
    <mergeCell ref="AN28:AO28"/>
    <mergeCell ref="AP28:AS28"/>
    <mergeCell ref="AT28:AW28"/>
    <mergeCell ref="AP24:AS24"/>
    <mergeCell ref="AT24:AW24"/>
    <mergeCell ref="N25:O25"/>
    <mergeCell ref="P25:S25"/>
    <mergeCell ref="T25:W25"/>
    <mergeCell ref="AN25:AO25"/>
    <mergeCell ref="AP25:AS25"/>
    <mergeCell ref="AT25:AW25"/>
    <mergeCell ref="I24:M26"/>
    <mergeCell ref="N24:O24"/>
    <mergeCell ref="P24:S24"/>
    <mergeCell ref="T24:W24"/>
    <mergeCell ref="AI24:AM26"/>
    <mergeCell ref="AN24:AO24"/>
    <mergeCell ref="N26:O26"/>
    <mergeCell ref="P26:S26"/>
    <mergeCell ref="T26:W26"/>
    <mergeCell ref="AN26:AO26"/>
    <mergeCell ref="AP26:AS26"/>
    <mergeCell ref="AT26:AW26"/>
    <mergeCell ref="AT23:AW23"/>
    <mergeCell ref="I21:M23"/>
    <mergeCell ref="N21:O21"/>
    <mergeCell ref="P21:S21"/>
    <mergeCell ref="T21:W21"/>
    <mergeCell ref="AI21:AM23"/>
    <mergeCell ref="AN21:AO21"/>
    <mergeCell ref="N22:O22"/>
    <mergeCell ref="P22:S22"/>
    <mergeCell ref="T22:W22"/>
    <mergeCell ref="AN22:AO22"/>
    <mergeCell ref="AN20:AO20"/>
    <mergeCell ref="AP20:AS20"/>
    <mergeCell ref="AT20:AW20"/>
    <mergeCell ref="N19:O19"/>
    <mergeCell ref="P19:S19"/>
    <mergeCell ref="T19:W19"/>
    <mergeCell ref="AN19:AO19"/>
    <mergeCell ref="AP19:AS19"/>
    <mergeCell ref="AT19:AW19"/>
    <mergeCell ref="AA18:AE35"/>
    <mergeCell ref="AF18:AH35"/>
    <mergeCell ref="AI18:AM20"/>
    <mergeCell ref="AN18:AO18"/>
    <mergeCell ref="AP18:AS18"/>
    <mergeCell ref="AT18:AW18"/>
    <mergeCell ref="AP21:AS21"/>
    <mergeCell ref="AT21:AW21"/>
    <mergeCell ref="AP22:AS22"/>
    <mergeCell ref="AT22:AW22"/>
    <mergeCell ref="N23:O23"/>
    <mergeCell ref="P23:S23"/>
    <mergeCell ref="T23:W23"/>
    <mergeCell ref="AN23:AO23"/>
    <mergeCell ref="AP23:AS23"/>
    <mergeCell ref="A18:E35"/>
    <mergeCell ref="F18:H35"/>
    <mergeCell ref="I18:M20"/>
    <mergeCell ref="N18:O18"/>
    <mergeCell ref="P18:S18"/>
    <mergeCell ref="T18:W18"/>
    <mergeCell ref="N20:O20"/>
    <mergeCell ref="P20:S20"/>
    <mergeCell ref="T20:W20"/>
    <mergeCell ref="I27:M29"/>
    <mergeCell ref="N27:O27"/>
    <mergeCell ref="P27:S27"/>
    <mergeCell ref="T27:W27"/>
    <mergeCell ref="I33:M35"/>
    <mergeCell ref="N33:O33"/>
    <mergeCell ref="P33:S33"/>
    <mergeCell ref="T33:W33"/>
    <mergeCell ref="AT9:AU9"/>
    <mergeCell ref="AV9:BB9"/>
    <mergeCell ref="A17:E17"/>
    <mergeCell ref="F17:H17"/>
    <mergeCell ref="I17:M17"/>
    <mergeCell ref="N17:O17"/>
    <mergeCell ref="P17:S17"/>
    <mergeCell ref="T17:W17"/>
    <mergeCell ref="AA17:AE17"/>
    <mergeCell ref="AF17:AH17"/>
    <mergeCell ref="J10:K10"/>
    <mergeCell ref="L10:R10"/>
    <mergeCell ref="S12:T12"/>
    <mergeCell ref="U12:AA12"/>
    <mergeCell ref="AB14:AC14"/>
    <mergeCell ref="AD14:AJ14"/>
    <mergeCell ref="AI17:AM17"/>
    <mergeCell ref="AN17:AO17"/>
    <mergeCell ref="AP17:AS17"/>
    <mergeCell ref="AT17:AW17"/>
    <mergeCell ref="AM13:AS13"/>
    <mergeCell ref="A13:B13"/>
    <mergeCell ref="C13:I13"/>
    <mergeCell ref="J15:K15"/>
    <mergeCell ref="AM14:AS14"/>
    <mergeCell ref="S11:T11"/>
    <mergeCell ref="U11:AA11"/>
    <mergeCell ref="AB13:AC13"/>
    <mergeCell ref="AD13:AJ13"/>
    <mergeCell ref="AK15:AL15"/>
    <mergeCell ref="AM15:AS15"/>
    <mergeCell ref="AD12:AJ12"/>
    <mergeCell ref="AB15:AC15"/>
    <mergeCell ref="AD15:AJ15"/>
    <mergeCell ref="AM9:AS9"/>
    <mergeCell ref="AK10:AL10"/>
    <mergeCell ref="AM10:AS10"/>
    <mergeCell ref="A12:B12"/>
    <mergeCell ref="C12:I12"/>
    <mergeCell ref="J14:K14"/>
    <mergeCell ref="L14:R14"/>
    <mergeCell ref="AB9:AC9"/>
    <mergeCell ref="AD9:AJ9"/>
    <mergeCell ref="AK11:AL11"/>
    <mergeCell ref="AM11:AS11"/>
    <mergeCell ref="A11:B11"/>
    <mergeCell ref="C11:I11"/>
    <mergeCell ref="J13:K13"/>
    <mergeCell ref="L13:R13"/>
    <mergeCell ref="AK12:AL12"/>
    <mergeCell ref="AM12:AS12"/>
    <mergeCell ref="A14:B14"/>
    <mergeCell ref="C14:I14"/>
    <mergeCell ref="S9:T9"/>
    <mergeCell ref="U9:AA9"/>
    <mergeCell ref="AB11:AC11"/>
    <mergeCell ref="AD11:AJ11"/>
    <mergeCell ref="AK13:AL13"/>
    <mergeCell ref="S14:T14"/>
    <mergeCell ref="U14:AA14"/>
    <mergeCell ref="AK9:AL9"/>
    <mergeCell ref="S15:T15"/>
    <mergeCell ref="U15:AA15"/>
    <mergeCell ref="J9:K9"/>
    <mergeCell ref="L9:R9"/>
    <mergeCell ref="A15:B15"/>
    <mergeCell ref="C15:I15"/>
    <mergeCell ref="S10:T10"/>
    <mergeCell ref="U10:AA10"/>
    <mergeCell ref="AB12:AC12"/>
    <mergeCell ref="L15:R15"/>
    <mergeCell ref="AB10:AC10"/>
    <mergeCell ref="AD10:AJ10"/>
    <mergeCell ref="AK14:AL14"/>
    <mergeCell ref="A4:K5"/>
    <mergeCell ref="L4:Y7"/>
    <mergeCell ref="A9:B9"/>
    <mergeCell ref="C9:I9"/>
    <mergeCell ref="J11:K11"/>
    <mergeCell ref="L11:R11"/>
    <mergeCell ref="S13:T13"/>
    <mergeCell ref="U13:AA13"/>
    <mergeCell ref="A6:K7"/>
    <mergeCell ref="A10:B10"/>
    <mergeCell ref="C10:I10"/>
    <mergeCell ref="J12:K12"/>
    <mergeCell ref="L12:R12"/>
    <mergeCell ref="Z58:AD58"/>
    <mergeCell ref="AE58:AG58"/>
    <mergeCell ref="AH58:AL58"/>
    <mergeCell ref="AM58:AN58"/>
    <mergeCell ref="AO58:AR58"/>
    <mergeCell ref="AS58:AV58"/>
    <mergeCell ref="A41:T41"/>
    <mergeCell ref="A42:H42"/>
    <mergeCell ref="I42:T42"/>
    <mergeCell ref="A43:H43"/>
    <mergeCell ref="I43:T43"/>
    <mergeCell ref="A58:E58"/>
    <mergeCell ref="F58:H58"/>
    <mergeCell ref="I58:M58"/>
    <mergeCell ref="N58:O58"/>
    <mergeCell ref="P58:S58"/>
    <mergeCell ref="T58:W58"/>
  </mergeCells>
  <phoneticPr fontId="2"/>
  <pageMargins left="0.39370078740157483" right="0.39370078740157483" top="0.59055118110236227" bottom="0.39370078740157483" header="0.51181102362204722" footer="0.19685039370078741"/>
  <pageSetup paperSize="9" scale="90" firstPageNumber="21" orientation="portrait" useFirstPageNumber="1" r:id="rId1"/>
  <headerFooter alignWithMargins="0">
    <oddFooter>&amp;C20260511臨時改定価格_SP_ポリ&amp;R　　&amp;P/&amp;N</oddFooter>
  </headerFooter>
  <rowBreaks count="1" manualBreakCount="1">
    <brk id="54" max="6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597E-E812-4B9E-8EFC-5F7CBD186612}">
  <sheetPr>
    <tabColor indexed="10"/>
  </sheetPr>
  <dimension ref="A1:BK154"/>
  <sheetViews>
    <sheetView view="pageBreakPreview" zoomScaleSheetLayoutView="100" workbookViewId="0">
      <selection activeCell="BS8" sqref="BS8"/>
    </sheetView>
  </sheetViews>
  <sheetFormatPr defaultColWidth="8.875" defaultRowHeight="13.5"/>
  <cols>
    <col min="1" max="120" width="1.625" style="1" customWidth="1"/>
    <col min="121"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A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row>
    <row r="3" spans="1:63" ht="16.5" customHeight="1"/>
    <row r="4" spans="1:63" ht="16.5" customHeight="1">
      <c r="A4" s="109" t="s">
        <v>0</v>
      </c>
      <c r="B4" s="110"/>
      <c r="C4" s="110"/>
      <c r="D4" s="110"/>
      <c r="E4" s="110"/>
      <c r="F4" s="110"/>
      <c r="G4" s="110"/>
      <c r="H4" s="110"/>
      <c r="I4" s="110"/>
      <c r="J4" s="110"/>
      <c r="K4" s="110"/>
      <c r="L4" s="113" t="s">
        <v>316</v>
      </c>
      <c r="M4" s="367"/>
      <c r="N4" s="367"/>
      <c r="O4" s="367"/>
      <c r="P4" s="367"/>
      <c r="Q4" s="367"/>
      <c r="R4" s="367"/>
      <c r="S4" s="367"/>
      <c r="T4" s="367"/>
      <c r="U4" s="367"/>
      <c r="V4" s="367"/>
      <c r="W4" s="367"/>
      <c r="X4" s="367"/>
      <c r="Y4" s="367"/>
      <c r="Z4" s="367"/>
      <c r="AA4" s="367"/>
      <c r="AB4" s="367"/>
      <c r="AC4" s="367"/>
      <c r="AD4" s="367"/>
      <c r="AE4" s="367"/>
      <c r="AF4" s="367"/>
      <c r="AG4" s="367"/>
      <c r="AH4" s="367"/>
      <c r="AI4" s="367"/>
      <c r="AJ4" s="367"/>
      <c r="AK4" s="367"/>
      <c r="AL4" s="367"/>
      <c r="AM4" s="367"/>
      <c r="AN4" s="367"/>
      <c r="AO4" s="367"/>
      <c r="AP4" s="367"/>
      <c r="AS4" s="344">
        <v>866</v>
      </c>
      <c r="AT4" s="372"/>
      <c r="AU4" s="373" t="s">
        <v>268</v>
      </c>
      <c r="AV4" s="347"/>
      <c r="AW4" s="347"/>
      <c r="AX4" s="347"/>
      <c r="AY4" s="347"/>
      <c r="AZ4" s="347"/>
      <c r="BA4" s="348"/>
      <c r="BB4" s="344">
        <v>962</v>
      </c>
      <c r="BC4" s="372"/>
      <c r="BD4" s="373" t="s">
        <v>317</v>
      </c>
      <c r="BE4" s="347"/>
      <c r="BF4" s="347"/>
      <c r="BG4" s="347"/>
      <c r="BH4" s="347"/>
      <c r="BI4" s="347"/>
      <c r="BJ4" s="348"/>
    </row>
    <row r="5" spans="1:63" ht="16.5" customHeight="1">
      <c r="A5" s="111"/>
      <c r="B5" s="112"/>
      <c r="C5" s="112"/>
      <c r="D5" s="112"/>
      <c r="E5" s="112"/>
      <c r="F5" s="112"/>
      <c r="G5" s="112"/>
      <c r="H5" s="112"/>
      <c r="I5" s="112"/>
      <c r="J5" s="112"/>
      <c r="K5" s="112"/>
      <c r="L5" s="368"/>
      <c r="M5" s="369"/>
      <c r="N5" s="369"/>
      <c r="O5" s="369"/>
      <c r="P5" s="369"/>
      <c r="Q5" s="369"/>
      <c r="R5" s="369"/>
      <c r="S5" s="369"/>
      <c r="T5" s="369"/>
      <c r="U5" s="369"/>
      <c r="V5" s="369"/>
      <c r="W5" s="369"/>
      <c r="X5" s="369"/>
      <c r="Y5" s="369"/>
      <c r="Z5" s="369"/>
      <c r="AA5" s="369"/>
      <c r="AB5" s="369"/>
      <c r="AC5" s="369"/>
      <c r="AD5" s="369"/>
      <c r="AE5" s="369"/>
      <c r="AF5" s="369"/>
      <c r="AG5" s="369"/>
      <c r="AH5" s="369"/>
      <c r="AI5" s="369"/>
      <c r="AJ5" s="369"/>
      <c r="AK5" s="369"/>
      <c r="AL5" s="369"/>
      <c r="AM5" s="369"/>
      <c r="AN5" s="369"/>
      <c r="AO5" s="369"/>
      <c r="AP5" s="369"/>
      <c r="AS5" s="376">
        <v>890</v>
      </c>
      <c r="AT5" s="377"/>
      <c r="AU5" s="378" t="s">
        <v>269</v>
      </c>
      <c r="AV5" s="379"/>
      <c r="AW5" s="379"/>
      <c r="AX5" s="379"/>
      <c r="AY5" s="379"/>
      <c r="AZ5" s="379"/>
      <c r="BA5" s="380"/>
      <c r="BB5" s="344">
        <v>1000</v>
      </c>
      <c r="BC5" s="372"/>
      <c r="BD5" s="373" t="s">
        <v>270</v>
      </c>
      <c r="BE5" s="347"/>
      <c r="BF5" s="347"/>
      <c r="BG5" s="347"/>
      <c r="BH5" s="347"/>
      <c r="BI5" s="347"/>
      <c r="BJ5" s="348"/>
    </row>
    <row r="6" spans="1:63" ht="16.5" customHeight="1">
      <c r="A6" s="103" t="s">
        <v>2</v>
      </c>
      <c r="B6" s="104"/>
      <c r="C6" s="104"/>
      <c r="D6" s="104"/>
      <c r="E6" s="104"/>
      <c r="F6" s="104"/>
      <c r="G6" s="104"/>
      <c r="H6" s="104"/>
      <c r="I6" s="104"/>
      <c r="J6" s="104"/>
      <c r="K6" s="104"/>
      <c r="L6" s="368"/>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S6" s="376">
        <v>891</v>
      </c>
      <c r="AT6" s="377"/>
      <c r="AU6" s="378" t="s">
        <v>271</v>
      </c>
      <c r="AV6" s="379"/>
      <c r="AW6" s="379"/>
      <c r="AX6" s="379"/>
      <c r="AY6" s="379"/>
      <c r="AZ6" s="379"/>
      <c r="BA6" s="380"/>
      <c r="BB6" s="376">
        <v>1001</v>
      </c>
      <c r="BC6" s="377"/>
      <c r="BD6" s="378" t="s">
        <v>272</v>
      </c>
      <c r="BE6" s="379"/>
      <c r="BF6" s="379"/>
      <c r="BG6" s="379"/>
      <c r="BH6" s="379"/>
      <c r="BI6" s="379"/>
      <c r="BJ6" s="380"/>
      <c r="BK6" s="73"/>
    </row>
    <row r="7" spans="1:63" ht="16.5" customHeight="1">
      <c r="A7" s="106"/>
      <c r="B7" s="107"/>
      <c r="C7" s="107"/>
      <c r="D7" s="107"/>
      <c r="E7" s="107"/>
      <c r="F7" s="107"/>
      <c r="G7" s="107"/>
      <c r="H7" s="107"/>
      <c r="I7" s="107"/>
      <c r="J7" s="107"/>
      <c r="K7" s="107"/>
      <c r="L7" s="370"/>
      <c r="M7" s="371"/>
      <c r="N7" s="371"/>
      <c r="O7" s="371"/>
      <c r="P7" s="371"/>
      <c r="Q7" s="371"/>
      <c r="R7" s="371"/>
      <c r="S7" s="371"/>
      <c r="T7" s="371"/>
      <c r="U7" s="371"/>
      <c r="V7" s="371"/>
      <c r="W7" s="371"/>
      <c r="X7" s="371"/>
      <c r="Y7" s="371"/>
      <c r="Z7" s="371"/>
      <c r="AA7" s="371"/>
      <c r="AB7" s="371"/>
      <c r="AC7" s="371"/>
      <c r="AD7" s="371"/>
      <c r="AE7" s="371"/>
      <c r="AF7" s="371"/>
      <c r="AG7" s="371"/>
      <c r="AH7" s="371"/>
      <c r="AI7" s="371"/>
      <c r="AJ7" s="371"/>
      <c r="AK7" s="371"/>
      <c r="AL7" s="371"/>
      <c r="AM7" s="371"/>
      <c r="AN7" s="371"/>
      <c r="AO7" s="371"/>
      <c r="AP7" s="371"/>
      <c r="AS7" s="354">
        <v>961</v>
      </c>
      <c r="AT7" s="374"/>
      <c r="AU7" s="375" t="s">
        <v>268</v>
      </c>
      <c r="AV7" s="357"/>
      <c r="AW7" s="357"/>
      <c r="AX7" s="357"/>
      <c r="AY7" s="357"/>
      <c r="AZ7" s="357"/>
      <c r="BA7" s="358"/>
      <c r="BB7" s="354">
        <v>1002</v>
      </c>
      <c r="BC7" s="374"/>
      <c r="BD7" s="375" t="s">
        <v>273</v>
      </c>
      <c r="BE7" s="357"/>
      <c r="BF7" s="357"/>
      <c r="BG7" s="357"/>
      <c r="BH7" s="357"/>
      <c r="BI7" s="357"/>
      <c r="BJ7" s="358"/>
      <c r="BK7" s="73"/>
    </row>
    <row r="8" spans="1:63" ht="16.5" customHeight="1">
      <c r="AC8" s="6"/>
      <c r="AD8" s="6"/>
      <c r="AE8" s="6"/>
      <c r="AF8" s="6"/>
    </row>
    <row r="9" spans="1:63"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c r="AG9" s="98" t="s">
        <v>3</v>
      </c>
      <c r="AH9" s="98"/>
      <c r="AI9" s="98"/>
      <c r="AJ9" s="98"/>
      <c r="AK9" s="98"/>
      <c r="AL9" s="98" t="s">
        <v>4</v>
      </c>
      <c r="AM9" s="98"/>
      <c r="AN9" s="98"/>
      <c r="AO9" s="98" t="s">
        <v>5</v>
      </c>
      <c r="AP9" s="98"/>
      <c r="AQ9" s="98"/>
      <c r="AR9" s="98"/>
      <c r="AS9" s="98"/>
      <c r="AT9" s="98"/>
      <c r="AU9" s="98"/>
      <c r="AV9" s="98" t="s">
        <v>6</v>
      </c>
      <c r="AW9" s="98"/>
      <c r="AX9" s="98"/>
      <c r="AY9" s="98"/>
      <c r="AZ9" s="98" t="s">
        <v>7</v>
      </c>
      <c r="BA9" s="98"/>
      <c r="BB9" s="98"/>
      <c r="BC9" s="98"/>
      <c r="BD9" s="98" t="s">
        <v>8</v>
      </c>
      <c r="BE9" s="98"/>
      <c r="BF9" s="98"/>
      <c r="BG9" s="98"/>
      <c r="BH9" s="98" t="s">
        <v>52</v>
      </c>
      <c r="BI9" s="98"/>
      <c r="BJ9" s="98"/>
      <c r="BK9" s="98"/>
    </row>
    <row r="10" spans="1:63" ht="16.5" customHeight="1">
      <c r="A10" s="93" t="s">
        <v>311</v>
      </c>
      <c r="B10" s="93"/>
      <c r="C10" s="93"/>
      <c r="D10" s="93"/>
      <c r="E10" s="93"/>
      <c r="F10" s="94">
        <v>5</v>
      </c>
      <c r="G10" s="94"/>
      <c r="H10" s="94"/>
      <c r="I10" s="95" t="s">
        <v>255</v>
      </c>
      <c r="J10" s="95"/>
      <c r="K10" s="95"/>
      <c r="L10" s="95"/>
      <c r="M10" s="95"/>
      <c r="N10" s="100" t="s">
        <v>184</v>
      </c>
      <c r="O10" s="100"/>
      <c r="P10" s="99">
        <f>P16+5</f>
        <v>126.5</v>
      </c>
      <c r="Q10" s="99"/>
      <c r="R10" s="99"/>
      <c r="S10" s="99"/>
      <c r="T10" s="99">
        <f>P10+15</f>
        <v>141.5</v>
      </c>
      <c r="U10" s="99"/>
      <c r="V10" s="99"/>
      <c r="W10" s="99"/>
      <c r="X10" s="99">
        <f>T10+15</f>
        <v>156.5</v>
      </c>
      <c r="Y10" s="99"/>
      <c r="Z10" s="99"/>
      <c r="AA10" s="99"/>
      <c r="AB10" s="99">
        <f>X10+15</f>
        <v>171.5</v>
      </c>
      <c r="AC10" s="99"/>
      <c r="AD10" s="99"/>
      <c r="AE10" s="99"/>
      <c r="AG10" s="381" t="s">
        <v>310</v>
      </c>
      <c r="AH10" s="382"/>
      <c r="AI10" s="382"/>
      <c r="AJ10" s="382"/>
      <c r="AK10" s="383"/>
      <c r="AL10" s="94">
        <v>10</v>
      </c>
      <c r="AM10" s="94"/>
      <c r="AN10" s="94"/>
      <c r="AO10" s="95" t="s">
        <v>255</v>
      </c>
      <c r="AP10" s="95"/>
      <c r="AQ10" s="95"/>
      <c r="AR10" s="95"/>
      <c r="AS10" s="95"/>
      <c r="AT10" s="100" t="s">
        <v>184</v>
      </c>
      <c r="AU10" s="100"/>
      <c r="AV10" s="99">
        <f>AV16+5</f>
        <v>143</v>
      </c>
      <c r="AW10" s="99"/>
      <c r="AX10" s="99"/>
      <c r="AY10" s="99"/>
      <c r="AZ10" s="99">
        <f>AV10+15</f>
        <v>158</v>
      </c>
      <c r="BA10" s="99"/>
      <c r="BB10" s="99"/>
      <c r="BC10" s="99"/>
      <c r="BD10" s="99">
        <f>AZ10+15</f>
        <v>173</v>
      </c>
      <c r="BE10" s="99"/>
      <c r="BF10" s="99"/>
      <c r="BG10" s="99"/>
      <c r="BH10" s="99">
        <f>BD10+15</f>
        <v>188</v>
      </c>
      <c r="BI10" s="99"/>
      <c r="BJ10" s="99"/>
      <c r="BK10" s="99"/>
    </row>
    <row r="11" spans="1:63" ht="16.5" customHeight="1">
      <c r="A11" s="93"/>
      <c r="B11" s="93"/>
      <c r="C11" s="93"/>
      <c r="D11" s="93"/>
      <c r="E11" s="93"/>
      <c r="F11" s="94"/>
      <c r="G11" s="94"/>
      <c r="H11" s="94"/>
      <c r="I11" s="95"/>
      <c r="J11" s="95"/>
      <c r="K11" s="95"/>
      <c r="L11" s="95"/>
      <c r="M11" s="95"/>
      <c r="N11" s="100" t="s">
        <v>186</v>
      </c>
      <c r="O11" s="100"/>
      <c r="P11" s="99">
        <f>CEILING(P10*0.95,0.5)</f>
        <v>120.5</v>
      </c>
      <c r="Q11" s="99"/>
      <c r="R11" s="99"/>
      <c r="S11" s="99"/>
      <c r="T11" s="99">
        <f>CEILING(T10*0.95,0.5)</f>
        <v>134.5</v>
      </c>
      <c r="U11" s="99"/>
      <c r="V11" s="99"/>
      <c r="W11" s="99"/>
      <c r="X11" s="99">
        <f>CEILING(X10*0.95,0.5)</f>
        <v>149</v>
      </c>
      <c r="Y11" s="99"/>
      <c r="Z11" s="99"/>
      <c r="AA11" s="99"/>
      <c r="AB11" s="99">
        <f>CEILING(AB10*0.95,0.5)</f>
        <v>163</v>
      </c>
      <c r="AC11" s="99"/>
      <c r="AD11" s="99"/>
      <c r="AE11" s="99"/>
      <c r="AG11" s="384"/>
      <c r="AH11" s="385"/>
      <c r="AI11" s="385"/>
      <c r="AJ11" s="385"/>
      <c r="AK11" s="386"/>
      <c r="AL11" s="94"/>
      <c r="AM11" s="94"/>
      <c r="AN11" s="94"/>
      <c r="AO11" s="95"/>
      <c r="AP11" s="95"/>
      <c r="AQ11" s="95"/>
      <c r="AR11" s="95"/>
      <c r="AS11" s="95"/>
      <c r="AT11" s="100" t="s">
        <v>186</v>
      </c>
      <c r="AU11" s="100"/>
      <c r="AV11" s="99">
        <f>CEILING(AV10*0.95,0.5)</f>
        <v>136</v>
      </c>
      <c r="AW11" s="99"/>
      <c r="AX11" s="99"/>
      <c r="AY11" s="99"/>
      <c r="AZ11" s="99">
        <f>CEILING(AZ10*0.95,0.5)</f>
        <v>150.5</v>
      </c>
      <c r="BA11" s="99"/>
      <c r="BB11" s="99"/>
      <c r="BC11" s="99"/>
      <c r="BD11" s="99">
        <f>CEILING(BD10*0.95,0.5)</f>
        <v>164.5</v>
      </c>
      <c r="BE11" s="99"/>
      <c r="BF11" s="99"/>
      <c r="BG11" s="99"/>
      <c r="BH11" s="99">
        <f>CEILING(BH10*0.95,0.5)</f>
        <v>179</v>
      </c>
      <c r="BI11" s="99"/>
      <c r="BJ11" s="99"/>
      <c r="BK11" s="99"/>
    </row>
    <row r="12" spans="1:63" ht="16.5" customHeight="1">
      <c r="A12" s="93"/>
      <c r="B12" s="93"/>
      <c r="C12" s="93"/>
      <c r="D12" s="93"/>
      <c r="E12" s="93"/>
      <c r="F12" s="94"/>
      <c r="G12" s="94"/>
      <c r="H12" s="94"/>
      <c r="I12" s="95"/>
      <c r="J12" s="95"/>
      <c r="K12" s="95"/>
      <c r="L12" s="95"/>
      <c r="M12" s="95"/>
      <c r="N12" s="100" t="s">
        <v>96</v>
      </c>
      <c r="O12" s="100"/>
      <c r="P12" s="99">
        <f>P18+5</f>
        <v>112</v>
      </c>
      <c r="Q12" s="99"/>
      <c r="R12" s="99"/>
      <c r="S12" s="99"/>
      <c r="T12" s="99">
        <f>P12+15</f>
        <v>127</v>
      </c>
      <c r="U12" s="99"/>
      <c r="V12" s="99"/>
      <c r="W12" s="99"/>
      <c r="X12" s="99">
        <f>T12+15</f>
        <v>142</v>
      </c>
      <c r="Y12" s="99"/>
      <c r="Z12" s="99"/>
      <c r="AA12" s="99"/>
      <c r="AB12" s="99">
        <f>X12+15</f>
        <v>157</v>
      </c>
      <c r="AC12" s="99"/>
      <c r="AD12" s="99"/>
      <c r="AE12" s="99"/>
      <c r="AG12" s="384"/>
      <c r="AH12" s="385"/>
      <c r="AI12" s="385"/>
      <c r="AJ12" s="385"/>
      <c r="AK12" s="386"/>
      <c r="AL12" s="94"/>
      <c r="AM12" s="94"/>
      <c r="AN12" s="94"/>
      <c r="AO12" s="95"/>
      <c r="AP12" s="95"/>
      <c r="AQ12" s="95"/>
      <c r="AR12" s="95"/>
      <c r="AS12" s="95"/>
      <c r="AT12" s="100" t="s">
        <v>96</v>
      </c>
      <c r="AU12" s="100"/>
      <c r="AV12" s="99">
        <f>AV18+5</f>
        <v>124</v>
      </c>
      <c r="AW12" s="99"/>
      <c r="AX12" s="99"/>
      <c r="AY12" s="99"/>
      <c r="AZ12" s="99">
        <f>AV12+15</f>
        <v>139</v>
      </c>
      <c r="BA12" s="99"/>
      <c r="BB12" s="99"/>
      <c r="BC12" s="99"/>
      <c r="BD12" s="99">
        <f>AZ12+15</f>
        <v>154</v>
      </c>
      <c r="BE12" s="99"/>
      <c r="BF12" s="99"/>
      <c r="BG12" s="99"/>
      <c r="BH12" s="99">
        <f>BD12+15</f>
        <v>169</v>
      </c>
      <c r="BI12" s="99"/>
      <c r="BJ12" s="99"/>
      <c r="BK12" s="99"/>
    </row>
    <row r="13" spans="1:63" ht="16.5" customHeight="1">
      <c r="A13" s="93"/>
      <c r="B13" s="93"/>
      <c r="C13" s="93"/>
      <c r="D13" s="93"/>
      <c r="E13" s="93"/>
      <c r="F13" s="94"/>
      <c r="G13" s="94"/>
      <c r="H13" s="94"/>
      <c r="I13" s="97" t="s">
        <v>13</v>
      </c>
      <c r="J13" s="97"/>
      <c r="K13" s="97"/>
      <c r="L13" s="97"/>
      <c r="M13" s="97"/>
      <c r="N13" s="98" t="s">
        <v>184</v>
      </c>
      <c r="O13" s="98"/>
      <c r="P13" s="96">
        <f>CEILING(P10*0.47+5,0.5)</f>
        <v>64.5</v>
      </c>
      <c r="Q13" s="96"/>
      <c r="R13" s="96"/>
      <c r="S13" s="96"/>
      <c r="T13" s="96">
        <f>CEILING(T10*0.47+5,0.5)</f>
        <v>72</v>
      </c>
      <c r="U13" s="96"/>
      <c r="V13" s="96"/>
      <c r="W13" s="96"/>
      <c r="X13" s="96">
        <f>CEILING(X10*0.47+5,0.5)</f>
        <v>79</v>
      </c>
      <c r="Y13" s="96"/>
      <c r="Z13" s="96"/>
      <c r="AA13" s="96"/>
      <c r="AB13" s="96">
        <f>CEILING(AB10*0.47+5,0.5)</f>
        <v>86</v>
      </c>
      <c r="AC13" s="96"/>
      <c r="AD13" s="96"/>
      <c r="AE13" s="96"/>
      <c r="AG13" s="384"/>
      <c r="AH13" s="385"/>
      <c r="AI13" s="385"/>
      <c r="AJ13" s="385"/>
      <c r="AK13" s="386"/>
      <c r="AL13" s="94"/>
      <c r="AM13" s="94"/>
      <c r="AN13" s="94"/>
      <c r="AO13" s="97" t="s">
        <v>193</v>
      </c>
      <c r="AP13" s="97"/>
      <c r="AQ13" s="97"/>
      <c r="AR13" s="97"/>
      <c r="AS13" s="97"/>
      <c r="AT13" s="98" t="s">
        <v>184</v>
      </c>
      <c r="AU13" s="98"/>
      <c r="AV13" s="96">
        <f>CEILING(AV10*0.57+5,0.5)</f>
        <v>87</v>
      </c>
      <c r="AW13" s="96"/>
      <c r="AX13" s="96"/>
      <c r="AY13" s="96"/>
      <c r="AZ13" s="96">
        <f>CEILING(AZ10*0.57+5,0.5)</f>
        <v>95.5</v>
      </c>
      <c r="BA13" s="96"/>
      <c r="BB13" s="96"/>
      <c r="BC13" s="96"/>
      <c r="BD13" s="96">
        <f>CEILING(BD10*0.57+5,0.5)</f>
        <v>104</v>
      </c>
      <c r="BE13" s="96"/>
      <c r="BF13" s="96"/>
      <c r="BG13" s="96"/>
      <c r="BH13" s="96">
        <f>CEILING(BH10*0.57+5,0.5)</f>
        <v>112.5</v>
      </c>
      <c r="BI13" s="96"/>
      <c r="BJ13" s="96"/>
      <c r="BK13" s="96"/>
    </row>
    <row r="14" spans="1:63" ht="16.5" customHeight="1">
      <c r="A14" s="93"/>
      <c r="B14" s="93"/>
      <c r="C14" s="93"/>
      <c r="D14" s="93"/>
      <c r="E14" s="93"/>
      <c r="F14" s="94"/>
      <c r="G14" s="94"/>
      <c r="H14" s="94"/>
      <c r="I14" s="97"/>
      <c r="J14" s="97"/>
      <c r="K14" s="97"/>
      <c r="L14" s="97"/>
      <c r="M14" s="97"/>
      <c r="N14" s="98" t="s">
        <v>186</v>
      </c>
      <c r="O14" s="98"/>
      <c r="P14" s="96">
        <f>CEILING(P13*0.95,0.5)</f>
        <v>61.5</v>
      </c>
      <c r="Q14" s="96"/>
      <c r="R14" s="96"/>
      <c r="S14" s="96"/>
      <c r="T14" s="96">
        <f>CEILING(T13*0.95,0.5)</f>
        <v>68.5</v>
      </c>
      <c r="U14" s="96"/>
      <c r="V14" s="96"/>
      <c r="W14" s="96"/>
      <c r="X14" s="96">
        <f>CEILING(X13*0.95,0.5)</f>
        <v>75.5</v>
      </c>
      <c r="Y14" s="96"/>
      <c r="Z14" s="96"/>
      <c r="AA14" s="96"/>
      <c r="AB14" s="96">
        <f>CEILING(AB13*0.95,0.5)</f>
        <v>82</v>
      </c>
      <c r="AC14" s="96"/>
      <c r="AD14" s="96"/>
      <c r="AE14" s="96"/>
      <c r="AG14" s="384"/>
      <c r="AH14" s="385"/>
      <c r="AI14" s="385"/>
      <c r="AJ14" s="385"/>
      <c r="AK14" s="386"/>
      <c r="AL14" s="94"/>
      <c r="AM14" s="94"/>
      <c r="AN14" s="94"/>
      <c r="AO14" s="97"/>
      <c r="AP14" s="97"/>
      <c r="AQ14" s="97"/>
      <c r="AR14" s="97"/>
      <c r="AS14" s="97"/>
      <c r="AT14" s="98" t="s">
        <v>186</v>
      </c>
      <c r="AU14" s="98"/>
      <c r="AV14" s="96">
        <f>CEILING(AV13*0.95,0.5)</f>
        <v>83</v>
      </c>
      <c r="AW14" s="96"/>
      <c r="AX14" s="96"/>
      <c r="AY14" s="96"/>
      <c r="AZ14" s="96">
        <f>CEILING(AZ13*0.95,0.5)</f>
        <v>91</v>
      </c>
      <c r="BA14" s="96"/>
      <c r="BB14" s="96"/>
      <c r="BC14" s="96"/>
      <c r="BD14" s="96">
        <f>CEILING(BD13*0.95,0.5)</f>
        <v>99</v>
      </c>
      <c r="BE14" s="96"/>
      <c r="BF14" s="96"/>
      <c r="BG14" s="96"/>
      <c r="BH14" s="96">
        <f>CEILING(BH13*0.95,0.5)</f>
        <v>107</v>
      </c>
      <c r="BI14" s="96"/>
      <c r="BJ14" s="96"/>
      <c r="BK14" s="96"/>
    </row>
    <row r="15" spans="1:63" ht="16.5" customHeight="1">
      <c r="A15" s="93"/>
      <c r="B15" s="93"/>
      <c r="C15" s="93"/>
      <c r="D15" s="93"/>
      <c r="E15" s="93"/>
      <c r="F15" s="94"/>
      <c r="G15" s="94"/>
      <c r="H15" s="94"/>
      <c r="I15" s="97"/>
      <c r="J15" s="97"/>
      <c r="K15" s="97"/>
      <c r="L15" s="97"/>
      <c r="M15" s="97"/>
      <c r="N15" s="98" t="s">
        <v>96</v>
      </c>
      <c r="O15" s="98"/>
      <c r="P15" s="96">
        <f>CEILING(P12*0.47+5,0.5)</f>
        <v>58</v>
      </c>
      <c r="Q15" s="96"/>
      <c r="R15" s="96"/>
      <c r="S15" s="96"/>
      <c r="T15" s="96">
        <f>CEILING(T12*0.47+5,0.5)</f>
        <v>65</v>
      </c>
      <c r="U15" s="96"/>
      <c r="V15" s="96"/>
      <c r="W15" s="96"/>
      <c r="X15" s="96">
        <f>CEILING(X12*0.47+5,0.5)</f>
        <v>72</v>
      </c>
      <c r="Y15" s="96"/>
      <c r="Z15" s="96"/>
      <c r="AA15" s="96"/>
      <c r="AB15" s="96">
        <f>CEILING(AB12*0.47+5,0.5)</f>
        <v>79</v>
      </c>
      <c r="AC15" s="96"/>
      <c r="AD15" s="96"/>
      <c r="AE15" s="96"/>
      <c r="AG15" s="384"/>
      <c r="AH15" s="385"/>
      <c r="AI15" s="385"/>
      <c r="AJ15" s="385"/>
      <c r="AK15" s="386"/>
      <c r="AL15" s="94"/>
      <c r="AM15" s="94"/>
      <c r="AN15" s="94"/>
      <c r="AO15" s="97"/>
      <c r="AP15" s="97"/>
      <c r="AQ15" s="97"/>
      <c r="AR15" s="97"/>
      <c r="AS15" s="97"/>
      <c r="AT15" s="98" t="s">
        <v>96</v>
      </c>
      <c r="AU15" s="98"/>
      <c r="AV15" s="96">
        <f>CEILING(AV12*0.57+5,0.5)</f>
        <v>76</v>
      </c>
      <c r="AW15" s="96"/>
      <c r="AX15" s="96"/>
      <c r="AY15" s="96"/>
      <c r="AZ15" s="96">
        <f>CEILING(AZ12*0.57+5,0.5)</f>
        <v>84.5</v>
      </c>
      <c r="BA15" s="96"/>
      <c r="BB15" s="96"/>
      <c r="BC15" s="96"/>
      <c r="BD15" s="96">
        <f>CEILING(BD12*0.57+5,0.5)</f>
        <v>93</v>
      </c>
      <c r="BE15" s="96"/>
      <c r="BF15" s="96"/>
      <c r="BG15" s="96"/>
      <c r="BH15" s="96">
        <f>CEILING(BH12*0.57+5,0.5)</f>
        <v>101.5</v>
      </c>
      <c r="BI15" s="96"/>
      <c r="BJ15" s="96"/>
      <c r="BK15" s="96"/>
    </row>
    <row r="16" spans="1:63" ht="16.5" customHeight="1">
      <c r="A16" s="93"/>
      <c r="B16" s="93"/>
      <c r="C16" s="93"/>
      <c r="D16" s="93"/>
      <c r="E16" s="93"/>
      <c r="F16" s="94"/>
      <c r="G16" s="94"/>
      <c r="H16" s="94"/>
      <c r="I16" s="95" t="s">
        <v>258</v>
      </c>
      <c r="J16" s="95"/>
      <c r="K16" s="95"/>
      <c r="L16" s="95"/>
      <c r="M16" s="95"/>
      <c r="N16" s="100" t="s">
        <v>184</v>
      </c>
      <c r="O16" s="100"/>
      <c r="P16" s="101">
        <f>CEILING(90*1.35,0.5)</f>
        <v>121.5</v>
      </c>
      <c r="Q16" s="101"/>
      <c r="R16" s="101"/>
      <c r="S16" s="101"/>
      <c r="T16" s="99">
        <f>P16+10</f>
        <v>131.5</v>
      </c>
      <c r="U16" s="99"/>
      <c r="V16" s="99"/>
      <c r="W16" s="99"/>
      <c r="X16" s="99">
        <f>T16+10</f>
        <v>141.5</v>
      </c>
      <c r="Y16" s="99"/>
      <c r="Z16" s="99"/>
      <c r="AA16" s="99"/>
      <c r="AB16" s="99">
        <f>X16+10</f>
        <v>151.5</v>
      </c>
      <c r="AC16" s="99"/>
      <c r="AD16" s="99"/>
      <c r="AE16" s="99"/>
      <c r="AG16" s="384"/>
      <c r="AH16" s="385"/>
      <c r="AI16" s="385"/>
      <c r="AJ16" s="385"/>
      <c r="AK16" s="386"/>
      <c r="AL16" s="94"/>
      <c r="AM16" s="94"/>
      <c r="AN16" s="94"/>
      <c r="AO16" s="95" t="s">
        <v>258</v>
      </c>
      <c r="AP16" s="95"/>
      <c r="AQ16" s="95"/>
      <c r="AR16" s="95"/>
      <c r="AS16" s="95"/>
      <c r="AT16" s="100" t="s">
        <v>184</v>
      </c>
      <c r="AU16" s="100"/>
      <c r="AV16" s="101">
        <f>CEILING(102*1.35,0.5)</f>
        <v>138</v>
      </c>
      <c r="AW16" s="101"/>
      <c r="AX16" s="101"/>
      <c r="AY16" s="101"/>
      <c r="AZ16" s="99">
        <f>AV16+10</f>
        <v>148</v>
      </c>
      <c r="BA16" s="99"/>
      <c r="BB16" s="99"/>
      <c r="BC16" s="99"/>
      <c r="BD16" s="99">
        <f>AZ16+10</f>
        <v>158</v>
      </c>
      <c r="BE16" s="99"/>
      <c r="BF16" s="99"/>
      <c r="BG16" s="99"/>
      <c r="BH16" s="99">
        <f>BD16+10</f>
        <v>168</v>
      </c>
      <c r="BI16" s="99"/>
      <c r="BJ16" s="99"/>
      <c r="BK16" s="99"/>
    </row>
    <row r="17" spans="1:63" ht="16.5" customHeight="1">
      <c r="A17" s="93"/>
      <c r="B17" s="93"/>
      <c r="C17" s="93"/>
      <c r="D17" s="93"/>
      <c r="E17" s="93"/>
      <c r="F17" s="94"/>
      <c r="G17" s="94"/>
      <c r="H17" s="94"/>
      <c r="I17" s="95"/>
      <c r="J17" s="95"/>
      <c r="K17" s="95"/>
      <c r="L17" s="95"/>
      <c r="M17" s="95"/>
      <c r="N17" s="100" t="s">
        <v>186</v>
      </c>
      <c r="O17" s="100"/>
      <c r="P17" s="99">
        <f>CEILING(P16*0.95,0.5)</f>
        <v>115.5</v>
      </c>
      <c r="Q17" s="99"/>
      <c r="R17" s="99"/>
      <c r="S17" s="99"/>
      <c r="T17" s="99">
        <f>CEILING(T16*0.95,0.5)</f>
        <v>125</v>
      </c>
      <c r="U17" s="99"/>
      <c r="V17" s="99"/>
      <c r="W17" s="99"/>
      <c r="X17" s="99">
        <f>CEILING(X16*0.95,0.5)</f>
        <v>134.5</v>
      </c>
      <c r="Y17" s="99"/>
      <c r="Z17" s="99"/>
      <c r="AA17" s="99"/>
      <c r="AB17" s="99">
        <f>CEILING(AB16*0.95,0.5)</f>
        <v>144</v>
      </c>
      <c r="AC17" s="99"/>
      <c r="AD17" s="99"/>
      <c r="AE17" s="99"/>
      <c r="AG17" s="384"/>
      <c r="AH17" s="385"/>
      <c r="AI17" s="385"/>
      <c r="AJ17" s="385"/>
      <c r="AK17" s="386"/>
      <c r="AL17" s="94"/>
      <c r="AM17" s="94"/>
      <c r="AN17" s="94"/>
      <c r="AO17" s="95"/>
      <c r="AP17" s="95"/>
      <c r="AQ17" s="95"/>
      <c r="AR17" s="95"/>
      <c r="AS17" s="95"/>
      <c r="AT17" s="100" t="s">
        <v>186</v>
      </c>
      <c r="AU17" s="100"/>
      <c r="AV17" s="99">
        <f>CEILING(AV16*0.95,0.5)</f>
        <v>131.5</v>
      </c>
      <c r="AW17" s="99"/>
      <c r="AX17" s="99"/>
      <c r="AY17" s="99"/>
      <c r="AZ17" s="99">
        <f>CEILING(AZ16*0.95,0.5)</f>
        <v>141</v>
      </c>
      <c r="BA17" s="99"/>
      <c r="BB17" s="99"/>
      <c r="BC17" s="99"/>
      <c r="BD17" s="99">
        <f>CEILING(BD16*0.95,0.5)</f>
        <v>150.5</v>
      </c>
      <c r="BE17" s="99"/>
      <c r="BF17" s="99"/>
      <c r="BG17" s="99"/>
      <c r="BH17" s="99">
        <f>CEILING(BH16*0.95,0.5)</f>
        <v>160</v>
      </c>
      <c r="BI17" s="99"/>
      <c r="BJ17" s="99"/>
      <c r="BK17" s="99"/>
    </row>
    <row r="18" spans="1:63" ht="16.5" customHeight="1">
      <c r="A18" s="93"/>
      <c r="B18" s="93"/>
      <c r="C18" s="93"/>
      <c r="D18" s="93"/>
      <c r="E18" s="93"/>
      <c r="F18" s="94"/>
      <c r="G18" s="94"/>
      <c r="H18" s="94"/>
      <c r="I18" s="95"/>
      <c r="J18" s="95"/>
      <c r="K18" s="95"/>
      <c r="L18" s="95"/>
      <c r="M18" s="95"/>
      <c r="N18" s="100" t="s">
        <v>96</v>
      </c>
      <c r="O18" s="100"/>
      <c r="P18" s="101">
        <f>CEILING(79*1.35,0.5)</f>
        <v>107</v>
      </c>
      <c r="Q18" s="101"/>
      <c r="R18" s="101"/>
      <c r="S18" s="101"/>
      <c r="T18" s="99">
        <f>P18+10</f>
        <v>117</v>
      </c>
      <c r="U18" s="99"/>
      <c r="V18" s="99"/>
      <c r="W18" s="99"/>
      <c r="X18" s="99">
        <f>T18+10</f>
        <v>127</v>
      </c>
      <c r="Y18" s="99"/>
      <c r="Z18" s="99"/>
      <c r="AA18" s="99"/>
      <c r="AB18" s="99">
        <f>X18+10</f>
        <v>137</v>
      </c>
      <c r="AC18" s="99"/>
      <c r="AD18" s="99"/>
      <c r="AE18" s="99"/>
      <c r="AG18" s="384"/>
      <c r="AH18" s="385"/>
      <c r="AI18" s="385"/>
      <c r="AJ18" s="385"/>
      <c r="AK18" s="386"/>
      <c r="AL18" s="94"/>
      <c r="AM18" s="94"/>
      <c r="AN18" s="94"/>
      <c r="AO18" s="95"/>
      <c r="AP18" s="95"/>
      <c r="AQ18" s="95"/>
      <c r="AR18" s="95"/>
      <c r="AS18" s="95"/>
      <c r="AT18" s="100" t="s">
        <v>96</v>
      </c>
      <c r="AU18" s="100"/>
      <c r="AV18" s="101">
        <f>CEILING(88*1.35,0.5)</f>
        <v>119</v>
      </c>
      <c r="AW18" s="101"/>
      <c r="AX18" s="101"/>
      <c r="AY18" s="101"/>
      <c r="AZ18" s="99">
        <f>AV18+10</f>
        <v>129</v>
      </c>
      <c r="BA18" s="99"/>
      <c r="BB18" s="99"/>
      <c r="BC18" s="99"/>
      <c r="BD18" s="99">
        <f>AZ18+10</f>
        <v>139</v>
      </c>
      <c r="BE18" s="99"/>
      <c r="BF18" s="99"/>
      <c r="BG18" s="99"/>
      <c r="BH18" s="99">
        <f>BD18+10</f>
        <v>149</v>
      </c>
      <c r="BI18" s="99"/>
      <c r="BJ18" s="99"/>
      <c r="BK18" s="99"/>
    </row>
    <row r="19" spans="1:63" ht="16.5" customHeight="1">
      <c r="A19" s="93"/>
      <c r="B19" s="93"/>
      <c r="C19" s="93"/>
      <c r="D19" s="93"/>
      <c r="E19" s="93"/>
      <c r="F19" s="94"/>
      <c r="G19" s="94"/>
      <c r="H19" s="94"/>
      <c r="I19" s="97" t="s">
        <v>16</v>
      </c>
      <c r="J19" s="97"/>
      <c r="K19" s="97"/>
      <c r="L19" s="97"/>
      <c r="M19" s="97"/>
      <c r="N19" s="98" t="s">
        <v>184</v>
      </c>
      <c r="O19" s="98"/>
      <c r="P19" s="96">
        <f>CEILING(P16*0.47+5,0.5)</f>
        <v>62.5</v>
      </c>
      <c r="Q19" s="96"/>
      <c r="R19" s="96"/>
      <c r="S19" s="96"/>
      <c r="T19" s="96">
        <f>CEILING(T16*0.47+5,0.5)</f>
        <v>67</v>
      </c>
      <c r="U19" s="96"/>
      <c r="V19" s="96"/>
      <c r="W19" s="96"/>
      <c r="X19" s="96">
        <f>CEILING(X16*0.47+5,0.5)</f>
        <v>72</v>
      </c>
      <c r="Y19" s="96"/>
      <c r="Z19" s="96"/>
      <c r="AA19" s="96"/>
      <c r="AB19" s="96">
        <f>CEILING(AB16*0.47+5,0.5)</f>
        <v>76.5</v>
      </c>
      <c r="AC19" s="96"/>
      <c r="AD19" s="96"/>
      <c r="AE19" s="96"/>
      <c r="AG19" s="384"/>
      <c r="AH19" s="385"/>
      <c r="AI19" s="385"/>
      <c r="AJ19" s="385"/>
      <c r="AK19" s="386"/>
      <c r="AL19" s="94"/>
      <c r="AM19" s="94"/>
      <c r="AN19" s="94"/>
      <c r="AO19" s="97" t="s">
        <v>195</v>
      </c>
      <c r="AP19" s="97"/>
      <c r="AQ19" s="97"/>
      <c r="AR19" s="97"/>
      <c r="AS19" s="97"/>
      <c r="AT19" s="98" t="s">
        <v>184</v>
      </c>
      <c r="AU19" s="98"/>
      <c r="AV19" s="96">
        <f>CEILING(AV16*0.57+5,0.5)</f>
        <v>84</v>
      </c>
      <c r="AW19" s="96"/>
      <c r="AX19" s="96"/>
      <c r="AY19" s="96"/>
      <c r="AZ19" s="96">
        <f>CEILING(AZ16*0.57+5,0.5)</f>
        <v>89.5</v>
      </c>
      <c r="BA19" s="96"/>
      <c r="BB19" s="96"/>
      <c r="BC19" s="96"/>
      <c r="BD19" s="96">
        <f>CEILING(BD16*0.57+5,0.5)</f>
        <v>95.5</v>
      </c>
      <c r="BE19" s="96"/>
      <c r="BF19" s="96"/>
      <c r="BG19" s="96"/>
      <c r="BH19" s="96">
        <f>CEILING(BH16*0.57+5,0.5)</f>
        <v>101</v>
      </c>
      <c r="BI19" s="96"/>
      <c r="BJ19" s="96"/>
      <c r="BK19" s="96"/>
    </row>
    <row r="20" spans="1:63" ht="16.5" customHeight="1">
      <c r="A20" s="93"/>
      <c r="B20" s="93"/>
      <c r="C20" s="93"/>
      <c r="D20" s="93"/>
      <c r="E20" s="93"/>
      <c r="F20" s="94"/>
      <c r="G20" s="94"/>
      <c r="H20" s="94"/>
      <c r="I20" s="97"/>
      <c r="J20" s="97"/>
      <c r="K20" s="97"/>
      <c r="L20" s="97"/>
      <c r="M20" s="97"/>
      <c r="N20" s="98" t="s">
        <v>186</v>
      </c>
      <c r="O20" s="98"/>
      <c r="P20" s="96">
        <f>CEILING(P19*0.95,0.5)</f>
        <v>59.5</v>
      </c>
      <c r="Q20" s="96"/>
      <c r="R20" s="96"/>
      <c r="S20" s="96"/>
      <c r="T20" s="96">
        <f>CEILING(T19*0.95,0.5)</f>
        <v>64</v>
      </c>
      <c r="U20" s="96"/>
      <c r="V20" s="96"/>
      <c r="W20" s="96"/>
      <c r="X20" s="96">
        <f>CEILING(X19*0.95,0.5)</f>
        <v>68.5</v>
      </c>
      <c r="Y20" s="96"/>
      <c r="Z20" s="96"/>
      <c r="AA20" s="96"/>
      <c r="AB20" s="96">
        <f>CEILING(AB19*0.95,0.5)</f>
        <v>73</v>
      </c>
      <c r="AC20" s="96"/>
      <c r="AD20" s="96"/>
      <c r="AE20" s="96"/>
      <c r="AG20" s="384"/>
      <c r="AH20" s="385"/>
      <c r="AI20" s="385"/>
      <c r="AJ20" s="385"/>
      <c r="AK20" s="386"/>
      <c r="AL20" s="94"/>
      <c r="AM20" s="94"/>
      <c r="AN20" s="94"/>
      <c r="AO20" s="97"/>
      <c r="AP20" s="97"/>
      <c r="AQ20" s="97"/>
      <c r="AR20" s="97"/>
      <c r="AS20" s="97"/>
      <c r="AT20" s="98" t="s">
        <v>186</v>
      </c>
      <c r="AU20" s="98"/>
      <c r="AV20" s="96">
        <f>CEILING(AV19*0.95,0.5)</f>
        <v>80</v>
      </c>
      <c r="AW20" s="96"/>
      <c r="AX20" s="96"/>
      <c r="AY20" s="96"/>
      <c r="AZ20" s="96">
        <f>CEILING(AZ19*0.95,0.5)</f>
        <v>85.5</v>
      </c>
      <c r="BA20" s="96"/>
      <c r="BB20" s="96"/>
      <c r="BC20" s="96"/>
      <c r="BD20" s="96">
        <f>CEILING(BD19*0.95,0.5)</f>
        <v>91</v>
      </c>
      <c r="BE20" s="96"/>
      <c r="BF20" s="96"/>
      <c r="BG20" s="96"/>
      <c r="BH20" s="96">
        <f>CEILING(BH19*0.95,0.5)</f>
        <v>96</v>
      </c>
      <c r="BI20" s="96"/>
      <c r="BJ20" s="96"/>
      <c r="BK20" s="96"/>
    </row>
    <row r="21" spans="1:63" ht="16.5" customHeight="1">
      <c r="A21" s="93"/>
      <c r="B21" s="93"/>
      <c r="C21" s="93"/>
      <c r="D21" s="93"/>
      <c r="E21" s="93"/>
      <c r="F21" s="94"/>
      <c r="G21" s="94"/>
      <c r="H21" s="94"/>
      <c r="I21" s="97"/>
      <c r="J21" s="97"/>
      <c r="K21" s="97"/>
      <c r="L21" s="97"/>
      <c r="M21" s="97"/>
      <c r="N21" s="98" t="s">
        <v>96</v>
      </c>
      <c r="O21" s="98"/>
      <c r="P21" s="96">
        <f>CEILING(P18*0.47+5,0.5)</f>
        <v>55.5</v>
      </c>
      <c r="Q21" s="96"/>
      <c r="R21" s="96"/>
      <c r="S21" s="96"/>
      <c r="T21" s="96">
        <f>CEILING(T18*0.47+5,0.5)</f>
        <v>60</v>
      </c>
      <c r="U21" s="96"/>
      <c r="V21" s="96"/>
      <c r="W21" s="96"/>
      <c r="X21" s="96">
        <f>CEILING(X18*0.47+5,0.5)</f>
        <v>65</v>
      </c>
      <c r="Y21" s="96"/>
      <c r="Z21" s="96"/>
      <c r="AA21" s="96"/>
      <c r="AB21" s="96">
        <f>CEILING(AB18*0.47+5,0.5)</f>
        <v>69.5</v>
      </c>
      <c r="AC21" s="96"/>
      <c r="AD21" s="96"/>
      <c r="AE21" s="96"/>
      <c r="AG21" s="384"/>
      <c r="AH21" s="385"/>
      <c r="AI21" s="385"/>
      <c r="AJ21" s="385"/>
      <c r="AK21" s="386"/>
      <c r="AL21" s="94"/>
      <c r="AM21" s="94"/>
      <c r="AN21" s="94"/>
      <c r="AO21" s="97"/>
      <c r="AP21" s="97"/>
      <c r="AQ21" s="97"/>
      <c r="AR21" s="97"/>
      <c r="AS21" s="97"/>
      <c r="AT21" s="98" t="s">
        <v>96</v>
      </c>
      <c r="AU21" s="98"/>
      <c r="AV21" s="96">
        <f>CEILING(AV18*0.57+5,0.5)</f>
        <v>73</v>
      </c>
      <c r="AW21" s="96"/>
      <c r="AX21" s="96"/>
      <c r="AY21" s="96"/>
      <c r="AZ21" s="96">
        <f>CEILING(AZ18*0.57+5,0.5)</f>
        <v>79</v>
      </c>
      <c r="BA21" s="96"/>
      <c r="BB21" s="96"/>
      <c r="BC21" s="96"/>
      <c r="BD21" s="96">
        <f>CEILING(BD18*0.57+5,0.5)</f>
        <v>84.5</v>
      </c>
      <c r="BE21" s="96"/>
      <c r="BF21" s="96"/>
      <c r="BG21" s="96"/>
      <c r="BH21" s="96">
        <f>CEILING(BH18*0.57+5,0.5)</f>
        <v>90</v>
      </c>
      <c r="BI21" s="96"/>
      <c r="BJ21" s="96"/>
      <c r="BK21" s="96"/>
    </row>
    <row r="22" spans="1:63" ht="16.5" customHeight="1">
      <c r="A22" s="93"/>
      <c r="B22" s="93"/>
      <c r="C22" s="93"/>
      <c r="D22" s="93"/>
      <c r="E22" s="93"/>
      <c r="F22" s="94"/>
      <c r="G22" s="94"/>
      <c r="H22" s="94"/>
      <c r="I22" s="82" t="s">
        <v>260</v>
      </c>
      <c r="J22" s="82"/>
      <c r="K22" s="82"/>
      <c r="L22" s="82"/>
      <c r="M22" s="82"/>
      <c r="N22" s="84" t="s">
        <v>184</v>
      </c>
      <c r="O22" s="84"/>
      <c r="P22" s="83">
        <f>P16-2</f>
        <v>119.5</v>
      </c>
      <c r="Q22" s="83"/>
      <c r="R22" s="83"/>
      <c r="S22" s="83"/>
      <c r="T22" s="83">
        <f>P22+8</f>
        <v>127.5</v>
      </c>
      <c r="U22" s="83"/>
      <c r="V22" s="83"/>
      <c r="W22" s="83"/>
      <c r="X22" s="83">
        <f>T22+8</f>
        <v>135.5</v>
      </c>
      <c r="Y22" s="83"/>
      <c r="Z22" s="83"/>
      <c r="AA22" s="83"/>
      <c r="AB22" s="83">
        <f>X22+8</f>
        <v>143.5</v>
      </c>
      <c r="AC22" s="83"/>
      <c r="AD22" s="83"/>
      <c r="AE22" s="83"/>
      <c r="AG22" s="384"/>
      <c r="AH22" s="385"/>
      <c r="AI22" s="385"/>
      <c r="AJ22" s="385"/>
      <c r="AK22" s="386"/>
      <c r="AL22" s="94"/>
      <c r="AM22" s="94"/>
      <c r="AN22" s="94"/>
      <c r="AO22" s="82" t="s">
        <v>260</v>
      </c>
      <c r="AP22" s="82"/>
      <c r="AQ22" s="82"/>
      <c r="AR22" s="82"/>
      <c r="AS22" s="82"/>
      <c r="AT22" s="84" t="s">
        <v>184</v>
      </c>
      <c r="AU22" s="84"/>
      <c r="AV22" s="83">
        <f>AV16-2</f>
        <v>136</v>
      </c>
      <c r="AW22" s="83"/>
      <c r="AX22" s="83"/>
      <c r="AY22" s="83"/>
      <c r="AZ22" s="83">
        <f>AV22+8</f>
        <v>144</v>
      </c>
      <c r="BA22" s="83"/>
      <c r="BB22" s="83"/>
      <c r="BC22" s="83"/>
      <c r="BD22" s="83">
        <f>AZ22+8</f>
        <v>152</v>
      </c>
      <c r="BE22" s="83"/>
      <c r="BF22" s="83"/>
      <c r="BG22" s="83"/>
      <c r="BH22" s="83">
        <f>BD22+8</f>
        <v>160</v>
      </c>
      <c r="BI22" s="83"/>
      <c r="BJ22" s="83"/>
      <c r="BK22" s="83"/>
    </row>
    <row r="23" spans="1:63" ht="16.5" customHeight="1">
      <c r="A23" s="93"/>
      <c r="B23" s="93"/>
      <c r="C23" s="93"/>
      <c r="D23" s="93"/>
      <c r="E23" s="93"/>
      <c r="F23" s="94"/>
      <c r="G23" s="94"/>
      <c r="H23" s="94"/>
      <c r="I23" s="82"/>
      <c r="J23" s="82"/>
      <c r="K23" s="82"/>
      <c r="L23" s="82"/>
      <c r="M23" s="82"/>
      <c r="N23" s="84" t="s">
        <v>186</v>
      </c>
      <c r="O23" s="84"/>
      <c r="P23" s="83">
        <f>CEILING(P22*0.95,0.5)</f>
        <v>114</v>
      </c>
      <c r="Q23" s="83"/>
      <c r="R23" s="83"/>
      <c r="S23" s="83"/>
      <c r="T23" s="83">
        <f>CEILING(T22*0.95,0.5)</f>
        <v>121.5</v>
      </c>
      <c r="U23" s="83"/>
      <c r="V23" s="83"/>
      <c r="W23" s="83"/>
      <c r="X23" s="83">
        <f>CEILING(X22*0.95,0.5)</f>
        <v>129</v>
      </c>
      <c r="Y23" s="83"/>
      <c r="Z23" s="83"/>
      <c r="AA23" s="83"/>
      <c r="AB23" s="83">
        <f>CEILING(AB22*0.95,0.5)</f>
        <v>136.5</v>
      </c>
      <c r="AC23" s="83"/>
      <c r="AD23" s="83"/>
      <c r="AE23" s="83"/>
      <c r="AG23" s="384"/>
      <c r="AH23" s="385"/>
      <c r="AI23" s="385"/>
      <c r="AJ23" s="385"/>
      <c r="AK23" s="386"/>
      <c r="AL23" s="94"/>
      <c r="AM23" s="94"/>
      <c r="AN23" s="94"/>
      <c r="AO23" s="82"/>
      <c r="AP23" s="82"/>
      <c r="AQ23" s="82"/>
      <c r="AR23" s="82"/>
      <c r="AS23" s="82"/>
      <c r="AT23" s="84" t="s">
        <v>186</v>
      </c>
      <c r="AU23" s="84"/>
      <c r="AV23" s="83">
        <f>CEILING(AV22*0.95,0.5)</f>
        <v>129.5</v>
      </c>
      <c r="AW23" s="83"/>
      <c r="AX23" s="83"/>
      <c r="AY23" s="83"/>
      <c r="AZ23" s="83">
        <f>CEILING(AZ22*0.95,0.5)</f>
        <v>137</v>
      </c>
      <c r="BA23" s="83"/>
      <c r="BB23" s="83"/>
      <c r="BC23" s="83"/>
      <c r="BD23" s="83">
        <f>CEILING(BD22*0.95,0.5)</f>
        <v>144.5</v>
      </c>
      <c r="BE23" s="83"/>
      <c r="BF23" s="83"/>
      <c r="BG23" s="83"/>
      <c r="BH23" s="83">
        <f>CEILING(BH22*0.95,0.5)</f>
        <v>152</v>
      </c>
      <c r="BI23" s="83"/>
      <c r="BJ23" s="83"/>
      <c r="BK23" s="83"/>
    </row>
    <row r="24" spans="1:63" ht="16.5" customHeight="1">
      <c r="A24" s="93"/>
      <c r="B24" s="93"/>
      <c r="C24" s="93"/>
      <c r="D24" s="93"/>
      <c r="E24" s="93"/>
      <c r="F24" s="94"/>
      <c r="G24" s="94"/>
      <c r="H24" s="94"/>
      <c r="I24" s="82"/>
      <c r="J24" s="82"/>
      <c r="K24" s="82"/>
      <c r="L24" s="82"/>
      <c r="M24" s="82"/>
      <c r="N24" s="84" t="s">
        <v>96</v>
      </c>
      <c r="O24" s="84"/>
      <c r="P24" s="83">
        <f>P18-2</f>
        <v>105</v>
      </c>
      <c r="Q24" s="83"/>
      <c r="R24" s="83"/>
      <c r="S24" s="83"/>
      <c r="T24" s="83">
        <f>P24+8</f>
        <v>113</v>
      </c>
      <c r="U24" s="83"/>
      <c r="V24" s="83"/>
      <c r="W24" s="83"/>
      <c r="X24" s="83">
        <f>T24+8</f>
        <v>121</v>
      </c>
      <c r="Y24" s="83"/>
      <c r="Z24" s="83"/>
      <c r="AA24" s="83"/>
      <c r="AB24" s="83">
        <f>X24+8</f>
        <v>129</v>
      </c>
      <c r="AC24" s="83"/>
      <c r="AD24" s="83"/>
      <c r="AE24" s="83"/>
      <c r="AG24" s="384"/>
      <c r="AH24" s="385"/>
      <c r="AI24" s="385"/>
      <c r="AJ24" s="385"/>
      <c r="AK24" s="386"/>
      <c r="AL24" s="94"/>
      <c r="AM24" s="94"/>
      <c r="AN24" s="94"/>
      <c r="AO24" s="82"/>
      <c r="AP24" s="82"/>
      <c r="AQ24" s="82"/>
      <c r="AR24" s="82"/>
      <c r="AS24" s="82"/>
      <c r="AT24" s="84" t="s">
        <v>96</v>
      </c>
      <c r="AU24" s="84"/>
      <c r="AV24" s="83">
        <f>AV18-2</f>
        <v>117</v>
      </c>
      <c r="AW24" s="83"/>
      <c r="AX24" s="83"/>
      <c r="AY24" s="83"/>
      <c r="AZ24" s="83">
        <f>AV24+8</f>
        <v>125</v>
      </c>
      <c r="BA24" s="83"/>
      <c r="BB24" s="83"/>
      <c r="BC24" s="83"/>
      <c r="BD24" s="83">
        <f>AZ24+8</f>
        <v>133</v>
      </c>
      <c r="BE24" s="83"/>
      <c r="BF24" s="83"/>
      <c r="BG24" s="83"/>
      <c r="BH24" s="83">
        <f>BD24+8</f>
        <v>141</v>
      </c>
      <c r="BI24" s="83"/>
      <c r="BJ24" s="83"/>
      <c r="BK24" s="83"/>
    </row>
    <row r="25" spans="1:63" ht="16.5" customHeight="1">
      <c r="A25" s="93"/>
      <c r="B25" s="93"/>
      <c r="C25" s="93"/>
      <c r="D25" s="93"/>
      <c r="E25" s="93"/>
      <c r="F25" s="94"/>
      <c r="G25" s="94"/>
      <c r="H25" s="94"/>
      <c r="I25" s="80" t="s">
        <v>196</v>
      </c>
      <c r="J25" s="80"/>
      <c r="K25" s="80"/>
      <c r="L25" s="80"/>
      <c r="M25" s="80"/>
      <c r="N25" s="81" t="s">
        <v>184</v>
      </c>
      <c r="O25" s="81"/>
      <c r="P25" s="89">
        <f>CEILING(P22*0.47+5,0.5)</f>
        <v>61.5</v>
      </c>
      <c r="Q25" s="89"/>
      <c r="R25" s="89"/>
      <c r="S25" s="89"/>
      <c r="T25" s="89">
        <f>CEILING(T22*0.47+5,0.5)</f>
        <v>65</v>
      </c>
      <c r="U25" s="89"/>
      <c r="V25" s="89"/>
      <c r="W25" s="89"/>
      <c r="X25" s="89">
        <f>CEILING(X22*0.47+5,0.5)</f>
        <v>69</v>
      </c>
      <c r="Y25" s="89"/>
      <c r="Z25" s="89"/>
      <c r="AA25" s="89"/>
      <c r="AB25" s="89">
        <f>CEILING(AB22*0.47+5,0.5)</f>
        <v>72.5</v>
      </c>
      <c r="AC25" s="89"/>
      <c r="AD25" s="89"/>
      <c r="AE25" s="89"/>
      <c r="AG25" s="384"/>
      <c r="AH25" s="385"/>
      <c r="AI25" s="385"/>
      <c r="AJ25" s="385"/>
      <c r="AK25" s="386"/>
      <c r="AL25" s="94"/>
      <c r="AM25" s="94"/>
      <c r="AN25" s="94"/>
      <c r="AO25" s="80" t="s">
        <v>265</v>
      </c>
      <c r="AP25" s="80"/>
      <c r="AQ25" s="80"/>
      <c r="AR25" s="80"/>
      <c r="AS25" s="80"/>
      <c r="AT25" s="81" t="s">
        <v>184</v>
      </c>
      <c r="AU25" s="81"/>
      <c r="AV25" s="89">
        <f>CEILING(AV22*0.57+5,0.5)</f>
        <v>83</v>
      </c>
      <c r="AW25" s="89"/>
      <c r="AX25" s="89"/>
      <c r="AY25" s="89"/>
      <c r="AZ25" s="89">
        <f>CEILING(AZ22*0.57+5,0.5)</f>
        <v>87.5</v>
      </c>
      <c r="BA25" s="89"/>
      <c r="BB25" s="89"/>
      <c r="BC25" s="89"/>
      <c r="BD25" s="89">
        <f>CEILING(BD22*0.57+5,0.5)</f>
        <v>92</v>
      </c>
      <c r="BE25" s="89"/>
      <c r="BF25" s="89"/>
      <c r="BG25" s="89"/>
      <c r="BH25" s="89">
        <f>CEILING(BH22*0.57+5,0.5)</f>
        <v>96.5</v>
      </c>
      <c r="BI25" s="89"/>
      <c r="BJ25" s="89"/>
      <c r="BK25" s="89"/>
    </row>
    <row r="26" spans="1:63" ht="16.5" customHeight="1">
      <c r="A26" s="93"/>
      <c r="B26" s="93"/>
      <c r="C26" s="93"/>
      <c r="D26" s="93"/>
      <c r="E26" s="93"/>
      <c r="F26" s="94"/>
      <c r="G26" s="94"/>
      <c r="H26" s="94"/>
      <c r="I26" s="80"/>
      <c r="J26" s="80"/>
      <c r="K26" s="80"/>
      <c r="L26" s="80"/>
      <c r="M26" s="80"/>
      <c r="N26" s="81" t="s">
        <v>186</v>
      </c>
      <c r="O26" s="81"/>
      <c r="P26" s="89">
        <f>CEILING(P25*0.95,0.5)</f>
        <v>58.5</v>
      </c>
      <c r="Q26" s="89"/>
      <c r="R26" s="89"/>
      <c r="S26" s="89"/>
      <c r="T26" s="89">
        <f>CEILING(T25*0.95,0.5)</f>
        <v>62</v>
      </c>
      <c r="U26" s="89"/>
      <c r="V26" s="89"/>
      <c r="W26" s="89"/>
      <c r="X26" s="89">
        <f>CEILING(X25*0.95,0.5)</f>
        <v>66</v>
      </c>
      <c r="Y26" s="89"/>
      <c r="Z26" s="89"/>
      <c r="AA26" s="89"/>
      <c r="AB26" s="89">
        <f>CEILING(AB25*0.95,0.5)</f>
        <v>69</v>
      </c>
      <c r="AC26" s="89"/>
      <c r="AD26" s="89"/>
      <c r="AE26" s="89"/>
      <c r="AG26" s="384"/>
      <c r="AH26" s="385"/>
      <c r="AI26" s="385"/>
      <c r="AJ26" s="385"/>
      <c r="AK26" s="386"/>
      <c r="AL26" s="94"/>
      <c r="AM26" s="94"/>
      <c r="AN26" s="94"/>
      <c r="AO26" s="80"/>
      <c r="AP26" s="80"/>
      <c r="AQ26" s="80"/>
      <c r="AR26" s="80"/>
      <c r="AS26" s="80"/>
      <c r="AT26" s="81" t="s">
        <v>186</v>
      </c>
      <c r="AU26" s="81"/>
      <c r="AV26" s="89">
        <f>CEILING(AV25*0.95,0.5)</f>
        <v>79</v>
      </c>
      <c r="AW26" s="89"/>
      <c r="AX26" s="89"/>
      <c r="AY26" s="89"/>
      <c r="AZ26" s="89">
        <f>CEILING(AZ25*0.95,0.5)</f>
        <v>83.5</v>
      </c>
      <c r="BA26" s="89"/>
      <c r="BB26" s="89"/>
      <c r="BC26" s="89"/>
      <c r="BD26" s="89">
        <f>CEILING(BD25*0.95,0.5)</f>
        <v>87.5</v>
      </c>
      <c r="BE26" s="89"/>
      <c r="BF26" s="89"/>
      <c r="BG26" s="89"/>
      <c r="BH26" s="89">
        <f>CEILING(BH25*0.95,0.5)</f>
        <v>92</v>
      </c>
      <c r="BI26" s="89"/>
      <c r="BJ26" s="89"/>
      <c r="BK26" s="89"/>
    </row>
    <row r="27" spans="1:63" ht="16.5" customHeight="1">
      <c r="A27" s="93"/>
      <c r="B27" s="93"/>
      <c r="C27" s="93"/>
      <c r="D27" s="93"/>
      <c r="E27" s="93"/>
      <c r="F27" s="94"/>
      <c r="G27" s="94"/>
      <c r="H27" s="94"/>
      <c r="I27" s="80"/>
      <c r="J27" s="80"/>
      <c r="K27" s="80"/>
      <c r="L27" s="80"/>
      <c r="M27" s="80"/>
      <c r="N27" s="81" t="s">
        <v>96</v>
      </c>
      <c r="O27" s="81"/>
      <c r="P27" s="89">
        <f>CEILING(P24*0.47+5,0.5)</f>
        <v>54.5</v>
      </c>
      <c r="Q27" s="89"/>
      <c r="R27" s="89"/>
      <c r="S27" s="89"/>
      <c r="T27" s="89">
        <f>CEILING(T24*0.47+5,0.5)</f>
        <v>58.5</v>
      </c>
      <c r="U27" s="89"/>
      <c r="V27" s="89"/>
      <c r="W27" s="89"/>
      <c r="X27" s="89">
        <f>CEILING(X24*0.47+5,0.5)</f>
        <v>62</v>
      </c>
      <c r="Y27" s="89"/>
      <c r="Z27" s="89"/>
      <c r="AA27" s="89"/>
      <c r="AB27" s="89">
        <f>CEILING(AB24*0.47+5,0.5)</f>
        <v>66</v>
      </c>
      <c r="AC27" s="89"/>
      <c r="AD27" s="89"/>
      <c r="AE27" s="89"/>
      <c r="AG27" s="387"/>
      <c r="AH27" s="388"/>
      <c r="AI27" s="388"/>
      <c r="AJ27" s="388"/>
      <c r="AK27" s="389"/>
      <c r="AL27" s="94"/>
      <c r="AM27" s="94"/>
      <c r="AN27" s="94"/>
      <c r="AO27" s="80"/>
      <c r="AP27" s="80"/>
      <c r="AQ27" s="80"/>
      <c r="AR27" s="80"/>
      <c r="AS27" s="80"/>
      <c r="AT27" s="81" t="s">
        <v>96</v>
      </c>
      <c r="AU27" s="81"/>
      <c r="AV27" s="89">
        <f>CEILING(AV24*0.57+5,0.5)</f>
        <v>72</v>
      </c>
      <c r="AW27" s="89"/>
      <c r="AX27" s="89"/>
      <c r="AY27" s="89"/>
      <c r="AZ27" s="89">
        <f>CEILING(AZ24*0.57+5,0.5)</f>
        <v>76.5</v>
      </c>
      <c r="BA27" s="89"/>
      <c r="BB27" s="89"/>
      <c r="BC27" s="89"/>
      <c r="BD27" s="89">
        <f>CEILING(BD24*0.57+5,0.5)</f>
        <v>81</v>
      </c>
      <c r="BE27" s="89"/>
      <c r="BF27" s="89"/>
      <c r="BG27" s="89"/>
      <c r="BH27" s="89">
        <f>CEILING(BH24*0.57+5,0.5)</f>
        <v>85.5</v>
      </c>
      <c r="BI27" s="89"/>
      <c r="BJ27" s="89"/>
      <c r="BK27" s="89"/>
    </row>
    <row r="28" spans="1:63" ht="16.5" customHeight="1">
      <c r="A28" s="9" t="s">
        <v>274</v>
      </c>
      <c r="X28" s="10"/>
      <c r="Y28" s="10"/>
      <c r="Z28" s="10"/>
      <c r="AA28" s="10"/>
      <c r="AB28" s="14"/>
      <c r="AC28" s="14"/>
      <c r="AD28" s="14"/>
      <c r="AE28" s="14"/>
      <c r="AF28" s="14"/>
      <c r="AG28" s="14"/>
      <c r="AH28" s="14"/>
      <c r="AI28" s="14"/>
      <c r="AJ28" s="14"/>
      <c r="AK28" s="14"/>
      <c r="AL28" s="14"/>
      <c r="AM28" s="14"/>
      <c r="AN28" s="14"/>
      <c r="AO28" s="14"/>
      <c r="AP28" s="14"/>
    </row>
    <row r="29" spans="1:63" ht="16.5" customHeight="1">
      <c r="A29" s="9" t="s">
        <v>25</v>
      </c>
      <c r="X29" s="10"/>
      <c r="Y29" s="10"/>
      <c r="Z29" s="10"/>
      <c r="AA29" s="10"/>
      <c r="AB29" s="14"/>
      <c r="AC29" s="14"/>
      <c r="AD29" s="14"/>
      <c r="AE29" s="14"/>
      <c r="AF29" s="14"/>
      <c r="AG29" s="14"/>
      <c r="AH29" s="14"/>
      <c r="AI29" s="14"/>
      <c r="AJ29" s="14"/>
      <c r="AK29" s="14"/>
      <c r="AL29" s="14"/>
      <c r="AM29" s="14"/>
      <c r="AN29" s="14"/>
      <c r="AO29" s="14"/>
      <c r="AP29" s="14"/>
    </row>
    <row r="30" spans="1:63" ht="16.5" customHeight="1">
      <c r="A30" s="9" t="s">
        <v>275</v>
      </c>
      <c r="X30" s="10"/>
      <c r="Y30" s="10"/>
      <c r="Z30" s="10"/>
      <c r="AA30" s="10"/>
      <c r="AB30" s="10"/>
      <c r="AC30" s="10"/>
      <c r="AD30" s="10"/>
      <c r="AE30" s="10"/>
    </row>
    <row r="31" spans="1:63" ht="16.5" customHeight="1" thickBot="1">
      <c r="A31" s="9"/>
      <c r="AL31" s="14"/>
      <c r="AM31" s="14"/>
      <c r="AN31" s="14"/>
      <c r="AO31" s="14"/>
      <c r="AP31" s="14"/>
      <c r="AQ31" s="14"/>
    </row>
    <row r="32" spans="1:63" ht="16.5" customHeight="1" thickTop="1">
      <c r="A32" s="90" t="s">
        <v>27</v>
      </c>
      <c r="B32" s="91"/>
      <c r="C32" s="91"/>
      <c r="D32" s="91"/>
      <c r="E32" s="91"/>
      <c r="F32" s="91"/>
      <c r="G32" s="91"/>
      <c r="H32" s="91"/>
      <c r="I32" s="91"/>
      <c r="J32" s="91"/>
      <c r="K32" s="91"/>
      <c r="L32" s="91"/>
      <c r="M32" s="91"/>
      <c r="N32" s="91"/>
      <c r="O32" s="91"/>
      <c r="P32" s="91"/>
      <c r="Q32" s="91"/>
      <c r="R32" s="91"/>
      <c r="S32" s="91"/>
      <c r="T32" s="92"/>
      <c r="AL32" s="14"/>
      <c r="AM32" s="14"/>
      <c r="AN32" s="14"/>
      <c r="AO32" s="14"/>
      <c r="AP32" s="14"/>
      <c r="AQ32" s="14"/>
      <c r="AR32" s="12"/>
      <c r="AS32" s="12"/>
      <c r="AT32" s="12"/>
      <c r="AU32" s="12"/>
      <c r="AV32" s="12"/>
      <c r="AW32" s="12"/>
      <c r="AX32" s="12"/>
      <c r="AY32" s="12"/>
      <c r="AZ32" s="12"/>
      <c r="BA32" s="12"/>
      <c r="BB32" s="12"/>
      <c r="BC32" s="12"/>
      <c r="BD32" s="12"/>
      <c r="BE32" s="12"/>
      <c r="BF32" s="12"/>
      <c r="BG32" s="12"/>
      <c r="BH32" s="12"/>
      <c r="BI32" s="12"/>
      <c r="BJ32" s="12"/>
      <c r="BK32" s="12"/>
    </row>
    <row r="33" spans="1:63" ht="16.5" customHeight="1">
      <c r="A33" s="168" t="s">
        <v>30</v>
      </c>
      <c r="B33" s="169"/>
      <c r="C33" s="169"/>
      <c r="D33" s="169"/>
      <c r="E33" s="169"/>
      <c r="F33" s="169"/>
      <c r="G33" s="169"/>
      <c r="H33" s="170"/>
      <c r="I33" s="169" t="s">
        <v>31</v>
      </c>
      <c r="J33" s="169"/>
      <c r="K33" s="169"/>
      <c r="L33" s="169"/>
      <c r="M33" s="169"/>
      <c r="N33" s="169"/>
      <c r="O33" s="169"/>
      <c r="P33" s="169"/>
      <c r="Q33" s="169"/>
      <c r="R33" s="169"/>
      <c r="S33" s="169"/>
      <c r="T33" s="171"/>
      <c r="AL33" s="14"/>
      <c r="AM33" s="14"/>
      <c r="AN33" s="14"/>
      <c r="AO33" s="14"/>
      <c r="AP33" s="14"/>
      <c r="AQ33" s="14"/>
      <c r="AR33" s="12"/>
      <c r="AS33" s="12"/>
      <c r="AT33" s="12"/>
      <c r="AU33" s="12"/>
      <c r="AV33" s="12"/>
      <c r="AW33" s="12"/>
      <c r="AX33" s="12"/>
      <c r="AY33" s="12"/>
      <c r="AZ33" s="12"/>
      <c r="BA33" s="12"/>
      <c r="BB33" s="12"/>
      <c r="BC33" s="12"/>
      <c r="BD33" s="12"/>
      <c r="BE33" s="12"/>
      <c r="BF33" s="12"/>
      <c r="BG33" s="12"/>
      <c r="BH33" s="12"/>
      <c r="BI33" s="12"/>
      <c r="BJ33" s="12"/>
      <c r="BK33" s="12"/>
    </row>
    <row r="34" spans="1:63" ht="16.5" customHeight="1" thickBot="1">
      <c r="A34" s="85" t="s">
        <v>73</v>
      </c>
      <c r="B34" s="86"/>
      <c r="C34" s="86"/>
      <c r="D34" s="86"/>
      <c r="E34" s="86"/>
      <c r="F34" s="86"/>
      <c r="G34" s="86"/>
      <c r="H34" s="87"/>
      <c r="I34" s="86" t="s">
        <v>74</v>
      </c>
      <c r="J34" s="86"/>
      <c r="K34" s="86"/>
      <c r="L34" s="86"/>
      <c r="M34" s="86"/>
      <c r="N34" s="86"/>
      <c r="O34" s="86"/>
      <c r="P34" s="86"/>
      <c r="Q34" s="86"/>
      <c r="R34" s="86"/>
      <c r="S34" s="86"/>
      <c r="T34" s="88"/>
    </row>
    <row r="35" spans="1:63" ht="16.5" customHeight="1" thickTop="1"/>
    <row r="36" spans="1:63" ht="16.5" customHeight="1"/>
    <row r="37" spans="1:63" ht="16.5" customHeight="1"/>
    <row r="38" spans="1:63" ht="16.5" customHeight="1"/>
    <row r="39" spans="1:63" ht="16.5" customHeight="1"/>
    <row r="40" spans="1:63" ht="16.5" customHeight="1"/>
    <row r="41" spans="1:63" ht="16.5" customHeight="1"/>
    <row r="42" spans="1:63" ht="16.5" customHeight="1"/>
    <row r="43" spans="1:63" ht="16.5" customHeight="1"/>
    <row r="44" spans="1:63" ht="16.5" customHeight="1"/>
    <row r="45" spans="1:63" ht="16.5" customHeight="1"/>
    <row r="46" spans="1:63" ht="16.5" customHeight="1"/>
    <row r="47" spans="1:63" ht="16.5" customHeight="1"/>
    <row r="48" spans="1:63"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sheetData>
  <mergeCells count="236">
    <mergeCell ref="BH23:BK23"/>
    <mergeCell ref="AO19:AS21"/>
    <mergeCell ref="AT19:AU19"/>
    <mergeCell ref="BH26:BK26"/>
    <mergeCell ref="N27:O27"/>
    <mergeCell ref="P27:S27"/>
    <mergeCell ref="BD4:BJ4"/>
    <mergeCell ref="BH27:BK27"/>
    <mergeCell ref="A32:T32"/>
    <mergeCell ref="AZ27:BC27"/>
    <mergeCell ref="BD27:BG27"/>
    <mergeCell ref="BD21:BG21"/>
    <mergeCell ref="BH21:BK21"/>
    <mergeCell ref="AZ22:BC22"/>
    <mergeCell ref="BD22:BG22"/>
    <mergeCell ref="BH22:BK22"/>
    <mergeCell ref="AZ23:BC23"/>
    <mergeCell ref="BD23:BG23"/>
    <mergeCell ref="AZ24:BC24"/>
    <mergeCell ref="BD24:BG24"/>
    <mergeCell ref="BH24:BK24"/>
    <mergeCell ref="BH25:BK25"/>
    <mergeCell ref="AZ26:BC26"/>
    <mergeCell ref="BD26:BG26"/>
    <mergeCell ref="AV27:AY27"/>
    <mergeCell ref="I25:M27"/>
    <mergeCell ref="N25:O25"/>
    <mergeCell ref="P25:S25"/>
    <mergeCell ref="T25:W25"/>
    <mergeCell ref="X25:AA25"/>
    <mergeCell ref="N26:O26"/>
    <mergeCell ref="P26:S26"/>
    <mergeCell ref="T26:W26"/>
    <mergeCell ref="X26:AA26"/>
    <mergeCell ref="AB26:AE26"/>
    <mergeCell ref="AT26:AU26"/>
    <mergeCell ref="AV26:AY26"/>
    <mergeCell ref="AB25:AE25"/>
    <mergeCell ref="AO25:AS27"/>
    <mergeCell ref="AT25:AU25"/>
    <mergeCell ref="P24:S24"/>
    <mergeCell ref="T24:W24"/>
    <mergeCell ref="X24:AA24"/>
    <mergeCell ref="AB24:AE24"/>
    <mergeCell ref="AT24:AU24"/>
    <mergeCell ref="A33:H33"/>
    <mergeCell ref="I33:T33"/>
    <mergeCell ref="A34:H34"/>
    <mergeCell ref="I34:T34"/>
    <mergeCell ref="T27:W27"/>
    <mergeCell ref="X27:AA27"/>
    <mergeCell ref="AB27:AE27"/>
    <mergeCell ref="AT27:AU27"/>
    <mergeCell ref="A10:E27"/>
    <mergeCell ref="F10:H27"/>
    <mergeCell ref="AT12:AU12"/>
    <mergeCell ref="T21:W21"/>
    <mergeCell ref="X21:AA21"/>
    <mergeCell ref="AB21:AE21"/>
    <mergeCell ref="AT21:AU21"/>
    <mergeCell ref="AV21:AY21"/>
    <mergeCell ref="AZ21:BC21"/>
    <mergeCell ref="AV25:AY25"/>
    <mergeCell ref="AZ25:BC25"/>
    <mergeCell ref="BD25:BG25"/>
    <mergeCell ref="I22:M24"/>
    <mergeCell ref="N22:O22"/>
    <mergeCell ref="P22:S22"/>
    <mergeCell ref="T22:W22"/>
    <mergeCell ref="X22:AA22"/>
    <mergeCell ref="AB22:AE22"/>
    <mergeCell ref="AO22:AS24"/>
    <mergeCell ref="AT22:AU22"/>
    <mergeCell ref="AV22:AY22"/>
    <mergeCell ref="N23:O23"/>
    <mergeCell ref="P23:S23"/>
    <mergeCell ref="T23:W23"/>
    <mergeCell ref="X23:AA23"/>
    <mergeCell ref="AB23:AE23"/>
    <mergeCell ref="AT23:AU23"/>
    <mergeCell ref="AV23:AY23"/>
    <mergeCell ref="BH19:BK19"/>
    <mergeCell ref="N20:O20"/>
    <mergeCell ref="P20:S20"/>
    <mergeCell ref="T20:W20"/>
    <mergeCell ref="X20:AA20"/>
    <mergeCell ref="AB20:AE20"/>
    <mergeCell ref="AT20:AU20"/>
    <mergeCell ref="AV20:AY20"/>
    <mergeCell ref="AZ20:BC20"/>
    <mergeCell ref="BD20:BG20"/>
    <mergeCell ref="BH20:BK20"/>
    <mergeCell ref="BH18:BK18"/>
    <mergeCell ref="BH14:BK14"/>
    <mergeCell ref="N15:O15"/>
    <mergeCell ref="P15:S15"/>
    <mergeCell ref="T15:W15"/>
    <mergeCell ref="X15:AA15"/>
    <mergeCell ref="AB15:AE15"/>
    <mergeCell ref="AT15:AU15"/>
    <mergeCell ref="AV15:AY15"/>
    <mergeCell ref="AZ15:BC15"/>
    <mergeCell ref="BD15:BG15"/>
    <mergeCell ref="BH15:BK15"/>
    <mergeCell ref="BH16:BK16"/>
    <mergeCell ref="N17:O17"/>
    <mergeCell ref="P17:S17"/>
    <mergeCell ref="T17:W17"/>
    <mergeCell ref="X17:AA17"/>
    <mergeCell ref="AB17:AE17"/>
    <mergeCell ref="AT17:AU17"/>
    <mergeCell ref="AV17:AY17"/>
    <mergeCell ref="AO16:AS18"/>
    <mergeCell ref="AT16:AU16"/>
    <mergeCell ref="AV16:AY16"/>
    <mergeCell ref="N18:O18"/>
    <mergeCell ref="BH12:BK12"/>
    <mergeCell ref="I13:M15"/>
    <mergeCell ref="N13:O13"/>
    <mergeCell ref="P13:S13"/>
    <mergeCell ref="T13:W13"/>
    <mergeCell ref="X13:AA13"/>
    <mergeCell ref="AB13:AE13"/>
    <mergeCell ref="AO13:AS15"/>
    <mergeCell ref="AT13:AU13"/>
    <mergeCell ref="AV13:AY13"/>
    <mergeCell ref="BH13:BK13"/>
    <mergeCell ref="N14:O14"/>
    <mergeCell ref="P14:S14"/>
    <mergeCell ref="T14:W14"/>
    <mergeCell ref="X14:AA14"/>
    <mergeCell ref="AB14:AE14"/>
    <mergeCell ref="AT14:AU14"/>
    <mergeCell ref="I10:M12"/>
    <mergeCell ref="N10:O10"/>
    <mergeCell ref="P10:S10"/>
    <mergeCell ref="T10:W10"/>
    <mergeCell ref="AV14:AY14"/>
    <mergeCell ref="AZ14:BC14"/>
    <mergeCell ref="BD14:BG14"/>
    <mergeCell ref="BH10:BK10"/>
    <mergeCell ref="N11:O11"/>
    <mergeCell ref="P11:S11"/>
    <mergeCell ref="T11:W11"/>
    <mergeCell ref="X11:AA11"/>
    <mergeCell ref="AB11:AE11"/>
    <mergeCell ref="AT11:AU11"/>
    <mergeCell ref="AV11:AY11"/>
    <mergeCell ref="AZ11:BC11"/>
    <mergeCell ref="BD11:BG11"/>
    <mergeCell ref="AL10:AN27"/>
    <mergeCell ref="AO10:AS12"/>
    <mergeCell ref="AT10:AU10"/>
    <mergeCell ref="AV10:AY10"/>
    <mergeCell ref="AZ10:BC10"/>
    <mergeCell ref="BD10:BG10"/>
    <mergeCell ref="AZ13:BC13"/>
    <mergeCell ref="BD13:BG13"/>
    <mergeCell ref="AZ16:BC16"/>
    <mergeCell ref="BD16:BG16"/>
    <mergeCell ref="BH11:BK11"/>
    <mergeCell ref="AZ17:BC17"/>
    <mergeCell ref="BD17:BG17"/>
    <mergeCell ref="BH17:BK17"/>
    <mergeCell ref="AV12:AY12"/>
    <mergeCell ref="AZ12:BC12"/>
    <mergeCell ref="BD12:BG12"/>
    <mergeCell ref="AZ18:BC18"/>
    <mergeCell ref="AV19:AY19"/>
    <mergeCell ref="AZ19:BC19"/>
    <mergeCell ref="BD18:BG18"/>
    <mergeCell ref="P18:S18"/>
    <mergeCell ref="T18:W18"/>
    <mergeCell ref="X18:AA18"/>
    <mergeCell ref="AB18:AE18"/>
    <mergeCell ref="AT18:AU18"/>
    <mergeCell ref="AV18:AY18"/>
    <mergeCell ref="BD19:BG19"/>
    <mergeCell ref="AV24:AY24"/>
    <mergeCell ref="X10:AA10"/>
    <mergeCell ref="AB10:AE10"/>
    <mergeCell ref="AG10:AK27"/>
    <mergeCell ref="X12:AA12"/>
    <mergeCell ref="AB12:AE12"/>
    <mergeCell ref="I16:M18"/>
    <mergeCell ref="N16:O16"/>
    <mergeCell ref="P16:S16"/>
    <mergeCell ref="T16:W16"/>
    <mergeCell ref="X16:AA16"/>
    <mergeCell ref="AB16:AE16"/>
    <mergeCell ref="I19:M21"/>
    <mergeCell ref="N19:O19"/>
    <mergeCell ref="P19:S19"/>
    <mergeCell ref="T19:W19"/>
    <mergeCell ref="X19:AA19"/>
    <mergeCell ref="AB19:AE19"/>
    <mergeCell ref="N24:O24"/>
    <mergeCell ref="N12:O12"/>
    <mergeCell ref="P12:S12"/>
    <mergeCell ref="T12:W12"/>
    <mergeCell ref="N21:O21"/>
    <mergeCell ref="P21:S21"/>
    <mergeCell ref="BD5:BJ5"/>
    <mergeCell ref="A6:K7"/>
    <mergeCell ref="AS6:AT6"/>
    <mergeCell ref="AU6:BA6"/>
    <mergeCell ref="BB6:BC6"/>
    <mergeCell ref="BD6:BJ6"/>
    <mergeCell ref="BD7:BJ7"/>
    <mergeCell ref="A9:E9"/>
    <mergeCell ref="F9:H9"/>
    <mergeCell ref="I9:M9"/>
    <mergeCell ref="N9:O9"/>
    <mergeCell ref="P9:S9"/>
    <mergeCell ref="T9:W9"/>
    <mergeCell ref="X9:AA9"/>
    <mergeCell ref="AB9:AE9"/>
    <mergeCell ref="AG9:AK9"/>
    <mergeCell ref="BH9:BK9"/>
    <mergeCell ref="AL9:AN9"/>
    <mergeCell ref="AO9:AS9"/>
    <mergeCell ref="AT9:AU9"/>
    <mergeCell ref="AV9:AY9"/>
    <mergeCell ref="AZ9:BC9"/>
    <mergeCell ref="BD9:BG9"/>
    <mergeCell ref="A4:K5"/>
    <mergeCell ref="L4:AP7"/>
    <mergeCell ref="AS4:AT4"/>
    <mergeCell ref="AU4:BA4"/>
    <mergeCell ref="AS7:AT7"/>
    <mergeCell ref="AU7:BA7"/>
    <mergeCell ref="BB7:BC7"/>
    <mergeCell ref="AS5:AT5"/>
    <mergeCell ref="AU5:BA5"/>
    <mergeCell ref="BB5:BC5"/>
    <mergeCell ref="BB4:BC4"/>
  </mergeCells>
  <phoneticPr fontId="2"/>
  <pageMargins left="0.39370078740157483" right="0.39370078740157483" top="0.59055118110236227" bottom="0.39370078740157483" header="0.51181102362204722" footer="0.19685039370078741"/>
  <pageSetup paperSize="9" scale="90" firstPageNumber="23" orientation="portrait" useFirstPageNumber="1" r:id="rId1"/>
  <headerFooter alignWithMargins="0">
    <oddFooter>&amp;C20260511臨時改定価格_SP_NEWマットポリ・マットポリ・コンビポリ&amp;R&amp;P/&amp;N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7605-7B71-4D78-9093-CE8577BF8AF0}">
  <sheetPr>
    <tabColor indexed="10"/>
  </sheetPr>
  <dimension ref="A1:BM187"/>
  <sheetViews>
    <sheetView view="pageBreakPreview" zoomScaleSheetLayoutView="100" workbookViewId="0">
      <selection activeCell="BS8" sqref="BS8"/>
    </sheetView>
  </sheetViews>
  <sheetFormatPr defaultColWidth="8.875" defaultRowHeight="13.5"/>
  <cols>
    <col min="1" max="93" width="1.625" style="1" customWidth="1"/>
    <col min="94" max="16384" width="8.875" style="1"/>
  </cols>
  <sheetData>
    <row r="1" spans="1:57"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57" ht="16.5" customHeight="1"/>
    <row r="3" spans="1:57" ht="16.5" customHeight="1">
      <c r="A3" s="9"/>
      <c r="AL3" s="14"/>
      <c r="AM3" s="14"/>
      <c r="AN3" s="14"/>
      <c r="AO3" s="14"/>
      <c r="AP3" s="14"/>
      <c r="AQ3" s="14"/>
      <c r="AR3" s="14"/>
      <c r="AS3" s="14"/>
      <c r="AT3" s="14"/>
      <c r="AU3" s="14"/>
      <c r="AV3" s="14"/>
      <c r="AW3" s="14"/>
      <c r="AX3" s="14"/>
      <c r="AY3" s="14"/>
      <c r="AZ3" s="14"/>
      <c r="BA3" s="14"/>
      <c r="BB3" s="14"/>
      <c r="BC3" s="14"/>
      <c r="BD3" s="14"/>
      <c r="BE3" s="14"/>
    </row>
    <row r="4" spans="1:57" ht="16.5" customHeight="1">
      <c r="A4" s="109" t="s">
        <v>0</v>
      </c>
      <c r="B4" s="110"/>
      <c r="C4" s="110"/>
      <c r="D4" s="110"/>
      <c r="E4" s="110"/>
      <c r="F4" s="110"/>
      <c r="G4" s="110"/>
      <c r="H4" s="110"/>
      <c r="I4" s="110"/>
      <c r="J4" s="110"/>
      <c r="K4" s="110"/>
      <c r="L4" s="390" t="s">
        <v>276</v>
      </c>
      <c r="M4" s="391"/>
      <c r="N4" s="391"/>
      <c r="O4" s="391"/>
      <c r="P4" s="391"/>
      <c r="Q4" s="391"/>
      <c r="R4" s="391"/>
      <c r="S4" s="391"/>
      <c r="T4" s="391"/>
      <c r="U4" s="391"/>
      <c r="V4" s="391"/>
      <c r="W4" s="391"/>
      <c r="X4" s="391"/>
      <c r="Y4" s="391"/>
      <c r="Z4" s="391"/>
      <c r="AA4" s="391"/>
      <c r="AB4" s="391"/>
      <c r="AE4" s="119">
        <v>808</v>
      </c>
      <c r="AF4" s="119"/>
      <c r="AG4" s="140" t="s">
        <v>277</v>
      </c>
      <c r="AH4" s="140"/>
      <c r="AI4" s="140"/>
      <c r="AJ4" s="140"/>
      <c r="AK4" s="140"/>
      <c r="AL4" s="140"/>
      <c r="AM4" s="140"/>
      <c r="AN4" s="396">
        <v>956</v>
      </c>
      <c r="AO4" s="396"/>
      <c r="AP4" s="397" t="s">
        <v>278</v>
      </c>
      <c r="AQ4" s="397"/>
      <c r="AR4" s="397"/>
      <c r="AS4" s="397"/>
      <c r="AT4" s="397"/>
      <c r="AU4" s="397"/>
      <c r="AV4" s="397"/>
    </row>
    <row r="5" spans="1:57" ht="16.5" customHeight="1">
      <c r="A5" s="111"/>
      <c r="B5" s="112"/>
      <c r="C5" s="112"/>
      <c r="D5" s="112"/>
      <c r="E5" s="112"/>
      <c r="F5" s="112"/>
      <c r="G5" s="112"/>
      <c r="H5" s="112"/>
      <c r="I5" s="112"/>
      <c r="J5" s="112"/>
      <c r="K5" s="112"/>
      <c r="L5" s="392"/>
      <c r="M5" s="393"/>
      <c r="N5" s="393"/>
      <c r="O5" s="393"/>
      <c r="P5" s="393"/>
      <c r="Q5" s="393"/>
      <c r="R5" s="393"/>
      <c r="S5" s="393"/>
      <c r="T5" s="393"/>
      <c r="U5" s="393"/>
      <c r="V5" s="393"/>
      <c r="W5" s="393"/>
      <c r="X5" s="393"/>
      <c r="Y5" s="393"/>
      <c r="Z5" s="393"/>
      <c r="AA5" s="393"/>
      <c r="AB5" s="393"/>
      <c r="AE5" s="141">
        <v>850</v>
      </c>
      <c r="AF5" s="141"/>
      <c r="AG5" s="142" t="s">
        <v>279</v>
      </c>
      <c r="AH5" s="142"/>
      <c r="AI5" s="142"/>
      <c r="AJ5" s="142"/>
      <c r="AK5" s="142"/>
      <c r="AL5" s="142"/>
      <c r="AM5" s="142"/>
      <c r="AN5" s="141">
        <v>1009</v>
      </c>
      <c r="AO5" s="141"/>
      <c r="AP5" s="142" t="s">
        <v>280</v>
      </c>
      <c r="AQ5" s="142"/>
      <c r="AR5" s="142"/>
      <c r="AS5" s="142"/>
      <c r="AT5" s="142"/>
      <c r="AU5" s="142"/>
      <c r="AV5" s="142"/>
    </row>
    <row r="6" spans="1:57" ht="16.5" customHeight="1">
      <c r="A6" s="103" t="s">
        <v>2</v>
      </c>
      <c r="B6" s="104"/>
      <c r="C6" s="104"/>
      <c r="D6" s="104"/>
      <c r="E6" s="104"/>
      <c r="F6" s="104"/>
      <c r="G6" s="104"/>
      <c r="H6" s="104"/>
      <c r="I6" s="104"/>
      <c r="J6" s="104"/>
      <c r="K6" s="105"/>
      <c r="L6" s="392"/>
      <c r="M6" s="393"/>
      <c r="N6" s="393"/>
      <c r="O6" s="393"/>
      <c r="P6" s="393"/>
      <c r="Q6" s="393"/>
      <c r="R6" s="393"/>
      <c r="S6" s="393"/>
      <c r="T6" s="393"/>
      <c r="U6" s="393"/>
      <c r="V6" s="393"/>
      <c r="W6" s="393"/>
      <c r="X6" s="393"/>
      <c r="Y6" s="393"/>
      <c r="Z6" s="393"/>
      <c r="AA6" s="393"/>
      <c r="AB6" s="393"/>
      <c r="AE6" s="141">
        <v>851</v>
      </c>
      <c r="AF6" s="141"/>
      <c r="AG6" s="142" t="s">
        <v>281</v>
      </c>
      <c r="AH6" s="142"/>
      <c r="AI6" s="142"/>
      <c r="AJ6" s="142"/>
      <c r="AK6" s="142"/>
      <c r="AL6" s="142"/>
      <c r="AM6" s="142"/>
      <c r="AN6" s="141">
        <v>1010</v>
      </c>
      <c r="AO6" s="141"/>
      <c r="AP6" s="142" t="s">
        <v>282</v>
      </c>
      <c r="AQ6" s="142"/>
      <c r="AR6" s="142"/>
      <c r="AS6" s="142"/>
      <c r="AT6" s="142"/>
      <c r="AU6" s="142"/>
      <c r="AV6" s="142"/>
    </row>
    <row r="7" spans="1:57" ht="16.5" customHeight="1">
      <c r="A7" s="106"/>
      <c r="B7" s="107"/>
      <c r="C7" s="107"/>
      <c r="D7" s="107"/>
      <c r="E7" s="107"/>
      <c r="F7" s="107"/>
      <c r="G7" s="107"/>
      <c r="H7" s="107"/>
      <c r="I7" s="107"/>
      <c r="J7" s="107"/>
      <c r="K7" s="108"/>
      <c r="L7" s="394"/>
      <c r="M7" s="395"/>
      <c r="N7" s="395"/>
      <c r="O7" s="395"/>
      <c r="P7" s="395"/>
      <c r="Q7" s="395"/>
      <c r="R7" s="395"/>
      <c r="S7" s="395"/>
      <c r="T7" s="395"/>
      <c r="U7" s="395"/>
      <c r="V7" s="395"/>
      <c r="W7" s="395"/>
      <c r="X7" s="395"/>
      <c r="Y7" s="395"/>
      <c r="Z7" s="395"/>
      <c r="AA7" s="395"/>
      <c r="AB7" s="395"/>
      <c r="AE7" s="151">
        <v>852</v>
      </c>
      <c r="AF7" s="151"/>
      <c r="AG7" s="152" t="s">
        <v>283</v>
      </c>
      <c r="AH7" s="152"/>
      <c r="AI7" s="152"/>
      <c r="AJ7" s="152"/>
      <c r="AK7" s="152"/>
      <c r="AL7" s="152"/>
      <c r="AM7" s="152"/>
      <c r="AN7" s="153">
        <v>1015</v>
      </c>
      <c r="AO7" s="154"/>
      <c r="AP7" s="311" t="s">
        <v>284</v>
      </c>
      <c r="AQ7" s="312"/>
      <c r="AR7" s="312"/>
      <c r="AS7" s="312"/>
      <c r="AT7" s="312"/>
      <c r="AU7" s="312"/>
      <c r="AV7" s="313"/>
    </row>
    <row r="8" spans="1:57" ht="16.5" customHeight="1">
      <c r="AC8" s="6"/>
      <c r="AD8" s="6"/>
      <c r="AE8" s="6"/>
      <c r="AF8" s="6"/>
    </row>
    <row r="9" spans="1:57" ht="16.5" customHeight="1">
      <c r="A9" s="98" t="s">
        <v>3</v>
      </c>
      <c r="B9" s="98"/>
      <c r="C9" s="98"/>
      <c r="D9" s="98"/>
      <c r="E9" s="98"/>
      <c r="F9" s="98" t="s">
        <v>4</v>
      </c>
      <c r="G9" s="98"/>
      <c r="H9" s="98"/>
      <c r="I9" s="98" t="s">
        <v>5</v>
      </c>
      <c r="J9" s="98"/>
      <c r="K9" s="98"/>
      <c r="L9" s="98"/>
      <c r="M9" s="98"/>
      <c r="N9" s="98"/>
      <c r="O9" s="98"/>
      <c r="P9" s="98" t="s">
        <v>6</v>
      </c>
      <c r="Q9" s="98"/>
      <c r="R9" s="98"/>
      <c r="S9" s="98"/>
      <c r="T9" s="98" t="s">
        <v>253</v>
      </c>
      <c r="U9" s="98"/>
      <c r="V9" s="98"/>
      <c r="W9" s="98"/>
      <c r="Z9" s="98" t="s">
        <v>3</v>
      </c>
      <c r="AA9" s="98"/>
      <c r="AB9" s="98"/>
      <c r="AC9" s="98"/>
      <c r="AD9" s="98"/>
      <c r="AE9" s="98" t="s">
        <v>4</v>
      </c>
      <c r="AF9" s="98"/>
      <c r="AG9" s="98"/>
      <c r="AH9" s="98" t="s">
        <v>5</v>
      </c>
      <c r="AI9" s="98"/>
      <c r="AJ9" s="98"/>
      <c r="AK9" s="98"/>
      <c r="AL9" s="98"/>
      <c r="AM9" s="98"/>
      <c r="AN9" s="98"/>
      <c r="AO9" s="98" t="s">
        <v>6</v>
      </c>
      <c r="AP9" s="98"/>
      <c r="AQ9" s="98"/>
      <c r="AR9" s="98"/>
      <c r="AS9" s="98" t="s">
        <v>253</v>
      </c>
      <c r="AT9" s="98"/>
      <c r="AU9" s="98"/>
      <c r="AV9" s="98"/>
    </row>
    <row r="10" spans="1:57" ht="16.5" customHeight="1">
      <c r="A10" s="93" t="s">
        <v>285</v>
      </c>
      <c r="B10" s="93"/>
      <c r="C10" s="93"/>
      <c r="D10" s="93"/>
      <c r="E10" s="93"/>
      <c r="F10" s="164">
        <v>2</v>
      </c>
      <c r="G10" s="164"/>
      <c r="H10" s="164"/>
      <c r="I10" s="95" t="s">
        <v>9</v>
      </c>
      <c r="J10" s="95"/>
      <c r="K10" s="95"/>
      <c r="L10" s="95"/>
      <c r="M10" s="95"/>
      <c r="N10" s="100" t="s">
        <v>184</v>
      </c>
      <c r="O10" s="100"/>
      <c r="P10" s="101">
        <f>CEILING(104*1.3,0.5)</f>
        <v>135.5</v>
      </c>
      <c r="Q10" s="101"/>
      <c r="R10" s="101"/>
      <c r="S10" s="101"/>
      <c r="T10" s="99">
        <f>P10+20</f>
        <v>155.5</v>
      </c>
      <c r="U10" s="99"/>
      <c r="V10" s="99"/>
      <c r="W10" s="99"/>
      <c r="Z10" s="93" t="s">
        <v>286</v>
      </c>
      <c r="AA10" s="93"/>
      <c r="AB10" s="93"/>
      <c r="AC10" s="93"/>
      <c r="AD10" s="93"/>
      <c r="AE10" s="94">
        <v>5</v>
      </c>
      <c r="AF10" s="94"/>
      <c r="AG10" s="94"/>
      <c r="AH10" s="95" t="s">
        <v>9</v>
      </c>
      <c r="AI10" s="95"/>
      <c r="AJ10" s="95"/>
      <c r="AK10" s="95"/>
      <c r="AL10" s="95"/>
      <c r="AM10" s="100" t="s">
        <v>184</v>
      </c>
      <c r="AN10" s="100"/>
      <c r="AO10" s="101">
        <f>CEILING(112.5*1.3,0.5)</f>
        <v>146.5</v>
      </c>
      <c r="AP10" s="101"/>
      <c r="AQ10" s="101"/>
      <c r="AR10" s="101"/>
      <c r="AS10" s="99">
        <f>AO10+20</f>
        <v>166.5</v>
      </c>
      <c r="AT10" s="99"/>
      <c r="AU10" s="99"/>
      <c r="AV10" s="99"/>
    </row>
    <row r="11" spans="1:57" ht="16.5" customHeight="1">
      <c r="A11" s="93"/>
      <c r="B11" s="93"/>
      <c r="C11" s="93"/>
      <c r="D11" s="93"/>
      <c r="E11" s="93"/>
      <c r="F11" s="165"/>
      <c r="G11" s="165"/>
      <c r="H11" s="165"/>
      <c r="I11" s="95"/>
      <c r="J11" s="95"/>
      <c r="K11" s="95"/>
      <c r="L11" s="95"/>
      <c r="M11" s="95"/>
      <c r="N11" s="100" t="s">
        <v>186</v>
      </c>
      <c r="O11" s="100"/>
      <c r="P11" s="99">
        <f>CEILING(P10*0.92,0.5)</f>
        <v>125</v>
      </c>
      <c r="Q11" s="99"/>
      <c r="R11" s="99"/>
      <c r="S11" s="99"/>
      <c r="T11" s="99">
        <f>CEILING(T10*0.92,0.5)</f>
        <v>143.5</v>
      </c>
      <c r="U11" s="99"/>
      <c r="V11" s="99"/>
      <c r="W11" s="99"/>
      <c r="Z11" s="93"/>
      <c r="AA11" s="93"/>
      <c r="AB11" s="93"/>
      <c r="AC11" s="93"/>
      <c r="AD11" s="93"/>
      <c r="AE11" s="94"/>
      <c r="AF11" s="94"/>
      <c r="AG11" s="94"/>
      <c r="AH11" s="95"/>
      <c r="AI11" s="95"/>
      <c r="AJ11" s="95"/>
      <c r="AK11" s="95"/>
      <c r="AL11" s="95"/>
      <c r="AM11" s="100" t="s">
        <v>186</v>
      </c>
      <c r="AN11" s="100"/>
      <c r="AO11" s="99">
        <f>CEILING(AO10*0.92,0.5)</f>
        <v>135</v>
      </c>
      <c r="AP11" s="99"/>
      <c r="AQ11" s="99"/>
      <c r="AR11" s="99"/>
      <c r="AS11" s="99">
        <f>CEILING(AS10*0.92,0.5)</f>
        <v>153.5</v>
      </c>
      <c r="AT11" s="99"/>
      <c r="AU11" s="99"/>
      <c r="AV11" s="99"/>
    </row>
    <row r="12" spans="1:57" ht="16.5" customHeight="1">
      <c r="A12" s="93"/>
      <c r="B12" s="93"/>
      <c r="C12" s="93"/>
      <c r="D12" s="93"/>
      <c r="E12" s="93"/>
      <c r="F12" s="165"/>
      <c r="G12" s="165"/>
      <c r="H12" s="165"/>
      <c r="I12" s="95"/>
      <c r="J12" s="95"/>
      <c r="K12" s="95"/>
      <c r="L12" s="95"/>
      <c r="M12" s="95"/>
      <c r="N12" s="100" t="s">
        <v>96</v>
      </c>
      <c r="O12" s="100"/>
      <c r="P12" s="101">
        <f>CEILING(91.5*1.3,0.5)</f>
        <v>119</v>
      </c>
      <c r="Q12" s="101"/>
      <c r="R12" s="101"/>
      <c r="S12" s="101"/>
      <c r="T12" s="99">
        <f>P12+20</f>
        <v>139</v>
      </c>
      <c r="U12" s="99"/>
      <c r="V12" s="99"/>
      <c r="W12" s="99"/>
      <c r="Z12" s="93"/>
      <c r="AA12" s="93"/>
      <c r="AB12" s="93"/>
      <c r="AC12" s="93"/>
      <c r="AD12" s="93"/>
      <c r="AE12" s="94"/>
      <c r="AF12" s="94"/>
      <c r="AG12" s="94"/>
      <c r="AH12" s="95"/>
      <c r="AI12" s="95"/>
      <c r="AJ12" s="95"/>
      <c r="AK12" s="95"/>
      <c r="AL12" s="95"/>
      <c r="AM12" s="100" t="s">
        <v>96</v>
      </c>
      <c r="AN12" s="100"/>
      <c r="AO12" s="101">
        <f>CEILING(97*1.3,0.5)</f>
        <v>126.5</v>
      </c>
      <c r="AP12" s="101"/>
      <c r="AQ12" s="101"/>
      <c r="AR12" s="101"/>
      <c r="AS12" s="99">
        <f>AO12+20</f>
        <v>146.5</v>
      </c>
      <c r="AT12" s="99"/>
      <c r="AU12" s="99"/>
      <c r="AV12" s="99"/>
    </row>
    <row r="13" spans="1:57" ht="16.5" customHeight="1">
      <c r="A13" s="93"/>
      <c r="B13" s="93"/>
      <c r="C13" s="93"/>
      <c r="D13" s="93"/>
      <c r="E13" s="93"/>
      <c r="F13" s="165"/>
      <c r="G13" s="165"/>
      <c r="H13" s="165"/>
      <c r="I13" s="97" t="s">
        <v>13</v>
      </c>
      <c r="J13" s="97"/>
      <c r="K13" s="97"/>
      <c r="L13" s="97"/>
      <c r="M13" s="97"/>
      <c r="N13" s="98" t="s">
        <v>184</v>
      </c>
      <c r="O13" s="98"/>
      <c r="P13" s="96">
        <f>CEILING(P10*0.35+5,0.5)</f>
        <v>52.5</v>
      </c>
      <c r="Q13" s="96"/>
      <c r="R13" s="96"/>
      <c r="S13" s="96"/>
      <c r="T13" s="96">
        <f>CEILING(T10*0.35+5,0.5)</f>
        <v>59.5</v>
      </c>
      <c r="U13" s="96"/>
      <c r="V13" s="96"/>
      <c r="W13" s="96"/>
      <c r="Z13" s="93"/>
      <c r="AA13" s="93"/>
      <c r="AB13" s="93"/>
      <c r="AC13" s="93"/>
      <c r="AD13" s="93"/>
      <c r="AE13" s="94"/>
      <c r="AF13" s="94"/>
      <c r="AG13" s="94"/>
      <c r="AH13" s="97" t="s">
        <v>14</v>
      </c>
      <c r="AI13" s="97"/>
      <c r="AJ13" s="97"/>
      <c r="AK13" s="97"/>
      <c r="AL13" s="97"/>
      <c r="AM13" s="98" t="s">
        <v>184</v>
      </c>
      <c r="AN13" s="98"/>
      <c r="AO13" s="96">
        <f>CEILING(AO10*0.47+5,0.5)</f>
        <v>74</v>
      </c>
      <c r="AP13" s="96"/>
      <c r="AQ13" s="96"/>
      <c r="AR13" s="96"/>
      <c r="AS13" s="96">
        <f>CEILING(AS10*0.47+5,0.5)</f>
        <v>83.5</v>
      </c>
      <c r="AT13" s="96"/>
      <c r="AU13" s="96"/>
      <c r="AV13" s="96"/>
    </row>
    <row r="14" spans="1:57" ht="16.5" customHeight="1">
      <c r="A14" s="93"/>
      <c r="B14" s="93"/>
      <c r="C14" s="93"/>
      <c r="D14" s="93"/>
      <c r="E14" s="93"/>
      <c r="F14" s="165"/>
      <c r="G14" s="165"/>
      <c r="H14" s="165"/>
      <c r="I14" s="97"/>
      <c r="J14" s="97"/>
      <c r="K14" s="97"/>
      <c r="L14" s="97"/>
      <c r="M14" s="97"/>
      <c r="N14" s="98" t="s">
        <v>186</v>
      </c>
      <c r="O14" s="98"/>
      <c r="P14" s="96">
        <f>CEILING(P13*0.92,0.5)</f>
        <v>48.5</v>
      </c>
      <c r="Q14" s="96"/>
      <c r="R14" s="96"/>
      <c r="S14" s="96"/>
      <c r="T14" s="96">
        <f>CEILING(T13*0.92,0.5)</f>
        <v>55</v>
      </c>
      <c r="U14" s="96"/>
      <c r="V14" s="96"/>
      <c r="W14" s="96"/>
      <c r="Z14" s="93"/>
      <c r="AA14" s="93"/>
      <c r="AB14" s="93"/>
      <c r="AC14" s="93"/>
      <c r="AD14" s="93"/>
      <c r="AE14" s="94"/>
      <c r="AF14" s="94"/>
      <c r="AG14" s="94"/>
      <c r="AH14" s="97"/>
      <c r="AI14" s="97"/>
      <c r="AJ14" s="97"/>
      <c r="AK14" s="97"/>
      <c r="AL14" s="97"/>
      <c r="AM14" s="98" t="s">
        <v>186</v>
      </c>
      <c r="AN14" s="98"/>
      <c r="AO14" s="96">
        <f>CEILING(AO13*0.92,0.5)</f>
        <v>68.5</v>
      </c>
      <c r="AP14" s="96"/>
      <c r="AQ14" s="96"/>
      <c r="AR14" s="96"/>
      <c r="AS14" s="96">
        <f>CEILING(AS13*0.92,0.5)</f>
        <v>77</v>
      </c>
      <c r="AT14" s="96"/>
      <c r="AU14" s="96"/>
      <c r="AV14" s="96"/>
    </row>
    <row r="15" spans="1:57" ht="16.5" customHeight="1">
      <c r="A15" s="93"/>
      <c r="B15" s="93"/>
      <c r="C15" s="93"/>
      <c r="D15" s="93"/>
      <c r="E15" s="93"/>
      <c r="F15" s="165"/>
      <c r="G15" s="165"/>
      <c r="H15" s="165"/>
      <c r="I15" s="97"/>
      <c r="J15" s="97"/>
      <c r="K15" s="97"/>
      <c r="L15" s="97"/>
      <c r="M15" s="97"/>
      <c r="N15" s="98" t="s">
        <v>96</v>
      </c>
      <c r="O15" s="98"/>
      <c r="P15" s="96">
        <f>CEILING(P12*0.35+5,0.5)</f>
        <v>47</v>
      </c>
      <c r="Q15" s="96"/>
      <c r="R15" s="96"/>
      <c r="S15" s="96"/>
      <c r="T15" s="96">
        <f>CEILING(T12*0.35+5,0.5)</f>
        <v>54</v>
      </c>
      <c r="U15" s="96"/>
      <c r="V15" s="96"/>
      <c r="W15" s="96"/>
      <c r="Z15" s="93"/>
      <c r="AA15" s="93"/>
      <c r="AB15" s="93"/>
      <c r="AC15" s="93"/>
      <c r="AD15" s="93"/>
      <c r="AE15" s="94"/>
      <c r="AF15" s="94"/>
      <c r="AG15" s="94"/>
      <c r="AH15" s="97"/>
      <c r="AI15" s="97"/>
      <c r="AJ15" s="97"/>
      <c r="AK15" s="97"/>
      <c r="AL15" s="97"/>
      <c r="AM15" s="98" t="s">
        <v>96</v>
      </c>
      <c r="AN15" s="98"/>
      <c r="AO15" s="96">
        <f>CEILING(AO12*0.47+5,0.5)</f>
        <v>64.5</v>
      </c>
      <c r="AP15" s="96"/>
      <c r="AQ15" s="96"/>
      <c r="AR15" s="96"/>
      <c r="AS15" s="96">
        <f>CEILING(AS12*0.47+5,0.5)</f>
        <v>74</v>
      </c>
      <c r="AT15" s="96"/>
      <c r="AU15" s="96"/>
      <c r="AV15" s="96"/>
    </row>
    <row r="16" spans="1:57" ht="16.5" customHeight="1">
      <c r="A16" s="93"/>
      <c r="B16" s="93"/>
      <c r="C16" s="93"/>
      <c r="D16" s="93"/>
      <c r="E16" s="93"/>
      <c r="F16" s="165"/>
      <c r="G16" s="165"/>
      <c r="H16" s="165"/>
      <c r="I16" s="95" t="s">
        <v>15</v>
      </c>
      <c r="J16" s="95"/>
      <c r="K16" s="95"/>
      <c r="L16" s="95"/>
      <c r="M16" s="95"/>
      <c r="N16" s="100" t="s">
        <v>184</v>
      </c>
      <c r="O16" s="100"/>
      <c r="P16" s="99">
        <f>P10-5</f>
        <v>130.5</v>
      </c>
      <c r="Q16" s="99"/>
      <c r="R16" s="99"/>
      <c r="S16" s="99"/>
      <c r="T16" s="99">
        <f>P16+15</f>
        <v>145.5</v>
      </c>
      <c r="U16" s="99"/>
      <c r="V16" s="99"/>
      <c r="W16" s="99"/>
      <c r="Z16" s="93"/>
      <c r="AA16" s="93"/>
      <c r="AB16" s="93"/>
      <c r="AC16" s="93"/>
      <c r="AD16" s="93"/>
      <c r="AE16" s="94"/>
      <c r="AF16" s="94"/>
      <c r="AG16" s="94"/>
      <c r="AH16" s="95" t="s">
        <v>15</v>
      </c>
      <c r="AI16" s="95"/>
      <c r="AJ16" s="95"/>
      <c r="AK16" s="95"/>
      <c r="AL16" s="95"/>
      <c r="AM16" s="100" t="s">
        <v>184</v>
      </c>
      <c r="AN16" s="100"/>
      <c r="AO16" s="99">
        <f>AO10-5</f>
        <v>141.5</v>
      </c>
      <c r="AP16" s="99"/>
      <c r="AQ16" s="99"/>
      <c r="AR16" s="99"/>
      <c r="AS16" s="99">
        <f>AO16+15</f>
        <v>156.5</v>
      </c>
      <c r="AT16" s="99"/>
      <c r="AU16" s="99"/>
      <c r="AV16" s="99"/>
    </row>
    <row r="17" spans="1:48" ht="16.5" customHeight="1">
      <c r="A17" s="93"/>
      <c r="B17" s="93"/>
      <c r="C17" s="93"/>
      <c r="D17" s="93"/>
      <c r="E17" s="93"/>
      <c r="F17" s="165"/>
      <c r="G17" s="165"/>
      <c r="H17" s="165"/>
      <c r="I17" s="95"/>
      <c r="J17" s="95"/>
      <c r="K17" s="95"/>
      <c r="L17" s="95"/>
      <c r="M17" s="95"/>
      <c r="N17" s="100" t="s">
        <v>186</v>
      </c>
      <c r="O17" s="100"/>
      <c r="P17" s="99">
        <f>CEILING(P16*0.92,0.5)</f>
        <v>120.5</v>
      </c>
      <c r="Q17" s="99"/>
      <c r="R17" s="99"/>
      <c r="S17" s="99"/>
      <c r="T17" s="99">
        <f>CEILING(T16*0.92,0.5)</f>
        <v>134</v>
      </c>
      <c r="U17" s="99"/>
      <c r="V17" s="99"/>
      <c r="W17" s="99"/>
      <c r="Z17" s="93"/>
      <c r="AA17" s="93"/>
      <c r="AB17" s="93"/>
      <c r="AC17" s="93"/>
      <c r="AD17" s="93"/>
      <c r="AE17" s="94"/>
      <c r="AF17" s="94"/>
      <c r="AG17" s="94"/>
      <c r="AH17" s="95"/>
      <c r="AI17" s="95"/>
      <c r="AJ17" s="95"/>
      <c r="AK17" s="95"/>
      <c r="AL17" s="95"/>
      <c r="AM17" s="100" t="s">
        <v>186</v>
      </c>
      <c r="AN17" s="100"/>
      <c r="AO17" s="99">
        <f>CEILING(AO16*0.92,0.5)</f>
        <v>130.5</v>
      </c>
      <c r="AP17" s="99"/>
      <c r="AQ17" s="99"/>
      <c r="AR17" s="99"/>
      <c r="AS17" s="99">
        <f>CEILING(AS16*0.92,0.5)</f>
        <v>144</v>
      </c>
      <c r="AT17" s="99"/>
      <c r="AU17" s="99"/>
      <c r="AV17" s="99"/>
    </row>
    <row r="18" spans="1:48" ht="16.5" customHeight="1">
      <c r="A18" s="93"/>
      <c r="B18" s="93"/>
      <c r="C18" s="93"/>
      <c r="D18" s="93"/>
      <c r="E18" s="93"/>
      <c r="F18" s="165"/>
      <c r="G18" s="165"/>
      <c r="H18" s="165"/>
      <c r="I18" s="95"/>
      <c r="J18" s="95"/>
      <c r="K18" s="95"/>
      <c r="L18" s="95"/>
      <c r="M18" s="95"/>
      <c r="N18" s="100" t="s">
        <v>96</v>
      </c>
      <c r="O18" s="100"/>
      <c r="P18" s="99">
        <f>P12-5</f>
        <v>114</v>
      </c>
      <c r="Q18" s="99"/>
      <c r="R18" s="99"/>
      <c r="S18" s="99"/>
      <c r="T18" s="99">
        <f>P18+15</f>
        <v>129</v>
      </c>
      <c r="U18" s="99"/>
      <c r="V18" s="99"/>
      <c r="W18" s="99"/>
      <c r="Z18" s="93"/>
      <c r="AA18" s="93"/>
      <c r="AB18" s="93"/>
      <c r="AC18" s="93"/>
      <c r="AD18" s="93"/>
      <c r="AE18" s="94"/>
      <c r="AF18" s="94"/>
      <c r="AG18" s="94"/>
      <c r="AH18" s="95"/>
      <c r="AI18" s="95"/>
      <c r="AJ18" s="95"/>
      <c r="AK18" s="95"/>
      <c r="AL18" s="95"/>
      <c r="AM18" s="100" t="s">
        <v>96</v>
      </c>
      <c r="AN18" s="100"/>
      <c r="AO18" s="99">
        <f>AO12-5</f>
        <v>121.5</v>
      </c>
      <c r="AP18" s="99"/>
      <c r="AQ18" s="99"/>
      <c r="AR18" s="99"/>
      <c r="AS18" s="99">
        <f>AO18+15</f>
        <v>136.5</v>
      </c>
      <c r="AT18" s="99"/>
      <c r="AU18" s="99"/>
      <c r="AV18" s="99"/>
    </row>
    <row r="19" spans="1:48" ht="16.5" customHeight="1">
      <c r="A19" s="93"/>
      <c r="B19" s="93"/>
      <c r="C19" s="93"/>
      <c r="D19" s="93"/>
      <c r="E19" s="93"/>
      <c r="F19" s="165"/>
      <c r="G19" s="165"/>
      <c r="H19" s="165"/>
      <c r="I19" s="97" t="s">
        <v>16</v>
      </c>
      <c r="J19" s="97"/>
      <c r="K19" s="97"/>
      <c r="L19" s="97"/>
      <c r="M19" s="97"/>
      <c r="N19" s="98" t="s">
        <v>184</v>
      </c>
      <c r="O19" s="98"/>
      <c r="P19" s="96">
        <f>CEILING(P16*0.35+5,0.5)</f>
        <v>51</v>
      </c>
      <c r="Q19" s="96"/>
      <c r="R19" s="96"/>
      <c r="S19" s="96"/>
      <c r="T19" s="96">
        <f>CEILING(T16*0.35+5,0.5)</f>
        <v>56</v>
      </c>
      <c r="U19" s="96"/>
      <c r="V19" s="96"/>
      <c r="W19" s="96"/>
      <c r="Z19" s="93"/>
      <c r="AA19" s="93"/>
      <c r="AB19" s="93"/>
      <c r="AC19" s="93"/>
      <c r="AD19" s="93"/>
      <c r="AE19" s="94"/>
      <c r="AF19" s="94"/>
      <c r="AG19" s="94"/>
      <c r="AH19" s="97" t="s">
        <v>17</v>
      </c>
      <c r="AI19" s="97"/>
      <c r="AJ19" s="97"/>
      <c r="AK19" s="97"/>
      <c r="AL19" s="97"/>
      <c r="AM19" s="98" t="s">
        <v>184</v>
      </c>
      <c r="AN19" s="98"/>
      <c r="AO19" s="96">
        <f>CEILING(AO16*0.47+5,0.5)</f>
        <v>72</v>
      </c>
      <c r="AP19" s="96"/>
      <c r="AQ19" s="96"/>
      <c r="AR19" s="96"/>
      <c r="AS19" s="96">
        <f>CEILING(AS16*0.47+5,0.5)</f>
        <v>79</v>
      </c>
      <c r="AT19" s="96"/>
      <c r="AU19" s="96"/>
      <c r="AV19" s="96"/>
    </row>
    <row r="20" spans="1:48" ht="16.5" customHeight="1">
      <c r="A20" s="93"/>
      <c r="B20" s="93"/>
      <c r="C20" s="93"/>
      <c r="D20" s="93"/>
      <c r="E20" s="93"/>
      <c r="F20" s="165"/>
      <c r="G20" s="165"/>
      <c r="H20" s="165"/>
      <c r="I20" s="97"/>
      <c r="J20" s="97"/>
      <c r="K20" s="97"/>
      <c r="L20" s="97"/>
      <c r="M20" s="97"/>
      <c r="N20" s="98" t="s">
        <v>186</v>
      </c>
      <c r="O20" s="98"/>
      <c r="P20" s="96">
        <f>CEILING(P19*0.92,0.5)</f>
        <v>47</v>
      </c>
      <c r="Q20" s="96"/>
      <c r="R20" s="96"/>
      <c r="S20" s="96"/>
      <c r="T20" s="96">
        <f>CEILING(T19*0.92,0.5)</f>
        <v>52</v>
      </c>
      <c r="U20" s="96"/>
      <c r="V20" s="96"/>
      <c r="W20" s="96"/>
      <c r="Z20" s="93"/>
      <c r="AA20" s="93"/>
      <c r="AB20" s="93"/>
      <c r="AC20" s="93"/>
      <c r="AD20" s="93"/>
      <c r="AE20" s="94"/>
      <c r="AF20" s="94"/>
      <c r="AG20" s="94"/>
      <c r="AH20" s="97"/>
      <c r="AI20" s="97"/>
      <c r="AJ20" s="97"/>
      <c r="AK20" s="97"/>
      <c r="AL20" s="97"/>
      <c r="AM20" s="98" t="s">
        <v>186</v>
      </c>
      <c r="AN20" s="98"/>
      <c r="AO20" s="96">
        <f>CEILING(AO19*0.92,0.5)</f>
        <v>66.5</v>
      </c>
      <c r="AP20" s="96"/>
      <c r="AQ20" s="96"/>
      <c r="AR20" s="96"/>
      <c r="AS20" s="96">
        <f>CEILING(AS19*0.92,0.5)</f>
        <v>73</v>
      </c>
      <c r="AT20" s="96"/>
      <c r="AU20" s="96"/>
      <c r="AV20" s="96"/>
    </row>
    <row r="21" spans="1:48" ht="16.5" customHeight="1">
      <c r="A21" s="93"/>
      <c r="B21" s="93"/>
      <c r="C21" s="93"/>
      <c r="D21" s="93"/>
      <c r="E21" s="93"/>
      <c r="F21" s="165"/>
      <c r="G21" s="165"/>
      <c r="H21" s="165"/>
      <c r="I21" s="97"/>
      <c r="J21" s="97"/>
      <c r="K21" s="97"/>
      <c r="L21" s="97"/>
      <c r="M21" s="97"/>
      <c r="N21" s="98" t="s">
        <v>96</v>
      </c>
      <c r="O21" s="98"/>
      <c r="P21" s="96">
        <f>CEILING(P18*0.35+5,0.5)</f>
        <v>45</v>
      </c>
      <c r="Q21" s="96"/>
      <c r="R21" s="96"/>
      <c r="S21" s="96"/>
      <c r="T21" s="96">
        <f>CEILING(T18*0.35+5,0.5)</f>
        <v>50.5</v>
      </c>
      <c r="U21" s="96"/>
      <c r="V21" s="96"/>
      <c r="W21" s="96"/>
      <c r="Z21" s="93"/>
      <c r="AA21" s="93"/>
      <c r="AB21" s="93"/>
      <c r="AC21" s="93"/>
      <c r="AD21" s="93"/>
      <c r="AE21" s="94"/>
      <c r="AF21" s="94"/>
      <c r="AG21" s="94"/>
      <c r="AH21" s="97"/>
      <c r="AI21" s="97"/>
      <c r="AJ21" s="97"/>
      <c r="AK21" s="97"/>
      <c r="AL21" s="97"/>
      <c r="AM21" s="98" t="s">
        <v>96</v>
      </c>
      <c r="AN21" s="98"/>
      <c r="AO21" s="96">
        <f>CEILING(AO18*0.47+5,0.5)</f>
        <v>62.5</v>
      </c>
      <c r="AP21" s="96"/>
      <c r="AQ21" s="96"/>
      <c r="AR21" s="96"/>
      <c r="AS21" s="96">
        <f>CEILING(AS18*0.47+5,0.5)</f>
        <v>69.5</v>
      </c>
      <c r="AT21" s="96"/>
      <c r="AU21" s="96"/>
      <c r="AV21" s="96"/>
    </row>
    <row r="22" spans="1:48" ht="16.5" customHeight="1">
      <c r="A22" s="93"/>
      <c r="B22" s="93"/>
      <c r="C22" s="93"/>
      <c r="D22" s="93"/>
      <c r="E22" s="93"/>
      <c r="F22" s="165"/>
      <c r="G22" s="165"/>
      <c r="H22" s="165"/>
      <c r="I22" s="95" t="s">
        <v>18</v>
      </c>
      <c r="J22" s="95"/>
      <c r="K22" s="95"/>
      <c r="L22" s="95"/>
      <c r="M22" s="95"/>
      <c r="N22" s="100" t="s">
        <v>184</v>
      </c>
      <c r="O22" s="100"/>
      <c r="P22" s="99">
        <f>P10-10</f>
        <v>125.5</v>
      </c>
      <c r="Q22" s="99"/>
      <c r="R22" s="99"/>
      <c r="S22" s="99"/>
      <c r="T22" s="99">
        <f>P22+10</f>
        <v>135.5</v>
      </c>
      <c r="U22" s="99"/>
      <c r="V22" s="99"/>
      <c r="W22" s="99"/>
      <c r="Z22" s="93"/>
      <c r="AA22" s="93"/>
      <c r="AB22" s="93"/>
      <c r="AC22" s="93"/>
      <c r="AD22" s="93"/>
      <c r="AE22" s="94"/>
      <c r="AF22" s="94"/>
      <c r="AG22" s="94"/>
      <c r="AH22" s="95" t="s">
        <v>18</v>
      </c>
      <c r="AI22" s="95"/>
      <c r="AJ22" s="95"/>
      <c r="AK22" s="95"/>
      <c r="AL22" s="95"/>
      <c r="AM22" s="100" t="s">
        <v>184</v>
      </c>
      <c r="AN22" s="100"/>
      <c r="AO22" s="99">
        <f>AO10-10</f>
        <v>136.5</v>
      </c>
      <c r="AP22" s="99"/>
      <c r="AQ22" s="99"/>
      <c r="AR22" s="99"/>
      <c r="AS22" s="99">
        <f>AO22+10</f>
        <v>146.5</v>
      </c>
      <c r="AT22" s="99"/>
      <c r="AU22" s="99"/>
      <c r="AV22" s="99"/>
    </row>
    <row r="23" spans="1:48" ht="16.5" customHeight="1">
      <c r="A23" s="93"/>
      <c r="B23" s="93"/>
      <c r="C23" s="93"/>
      <c r="D23" s="93"/>
      <c r="E23" s="93"/>
      <c r="F23" s="165"/>
      <c r="G23" s="165"/>
      <c r="H23" s="165"/>
      <c r="I23" s="95"/>
      <c r="J23" s="95"/>
      <c r="K23" s="95"/>
      <c r="L23" s="95"/>
      <c r="M23" s="95"/>
      <c r="N23" s="100" t="s">
        <v>186</v>
      </c>
      <c r="O23" s="100"/>
      <c r="P23" s="99">
        <f>CEILING(P22*0.92,0.5)</f>
        <v>115.5</v>
      </c>
      <c r="Q23" s="99"/>
      <c r="R23" s="99"/>
      <c r="S23" s="99"/>
      <c r="T23" s="99">
        <f>CEILING(T22*0.92,0.5)</f>
        <v>125</v>
      </c>
      <c r="U23" s="99"/>
      <c r="V23" s="99"/>
      <c r="W23" s="99"/>
      <c r="Z23" s="93"/>
      <c r="AA23" s="93"/>
      <c r="AB23" s="93"/>
      <c r="AC23" s="93"/>
      <c r="AD23" s="93"/>
      <c r="AE23" s="94"/>
      <c r="AF23" s="94"/>
      <c r="AG23" s="94"/>
      <c r="AH23" s="95"/>
      <c r="AI23" s="95"/>
      <c r="AJ23" s="95"/>
      <c r="AK23" s="95"/>
      <c r="AL23" s="95"/>
      <c r="AM23" s="100" t="s">
        <v>186</v>
      </c>
      <c r="AN23" s="100"/>
      <c r="AO23" s="99">
        <f>CEILING(AO22*0.92,0.5)</f>
        <v>126</v>
      </c>
      <c r="AP23" s="99"/>
      <c r="AQ23" s="99"/>
      <c r="AR23" s="99"/>
      <c r="AS23" s="99">
        <f>CEILING(AS22*0.92,0.5)</f>
        <v>135</v>
      </c>
      <c r="AT23" s="99"/>
      <c r="AU23" s="99"/>
      <c r="AV23" s="99"/>
    </row>
    <row r="24" spans="1:48" ht="16.5" customHeight="1">
      <c r="A24" s="93"/>
      <c r="B24" s="93"/>
      <c r="C24" s="93"/>
      <c r="D24" s="93"/>
      <c r="E24" s="93"/>
      <c r="F24" s="165"/>
      <c r="G24" s="165"/>
      <c r="H24" s="165"/>
      <c r="I24" s="95"/>
      <c r="J24" s="95"/>
      <c r="K24" s="95"/>
      <c r="L24" s="95"/>
      <c r="M24" s="95"/>
      <c r="N24" s="100" t="s">
        <v>96</v>
      </c>
      <c r="O24" s="100"/>
      <c r="P24" s="99">
        <f>P12-10</f>
        <v>109</v>
      </c>
      <c r="Q24" s="99"/>
      <c r="R24" s="99"/>
      <c r="S24" s="99"/>
      <c r="T24" s="99">
        <f>P24+10</f>
        <v>119</v>
      </c>
      <c r="U24" s="99"/>
      <c r="V24" s="99"/>
      <c r="W24" s="99"/>
      <c r="Z24" s="93"/>
      <c r="AA24" s="93"/>
      <c r="AB24" s="93"/>
      <c r="AC24" s="93"/>
      <c r="AD24" s="93"/>
      <c r="AE24" s="94"/>
      <c r="AF24" s="94"/>
      <c r="AG24" s="94"/>
      <c r="AH24" s="95"/>
      <c r="AI24" s="95"/>
      <c r="AJ24" s="95"/>
      <c r="AK24" s="95"/>
      <c r="AL24" s="95"/>
      <c r="AM24" s="100" t="s">
        <v>96</v>
      </c>
      <c r="AN24" s="100"/>
      <c r="AO24" s="99">
        <f>AO12-10</f>
        <v>116.5</v>
      </c>
      <c r="AP24" s="99"/>
      <c r="AQ24" s="99"/>
      <c r="AR24" s="99"/>
      <c r="AS24" s="99">
        <f>AO24+10</f>
        <v>126.5</v>
      </c>
      <c r="AT24" s="99"/>
      <c r="AU24" s="99"/>
      <c r="AV24" s="99"/>
    </row>
    <row r="25" spans="1:48" ht="16.5" customHeight="1">
      <c r="A25" s="93"/>
      <c r="B25" s="93"/>
      <c r="C25" s="93"/>
      <c r="D25" s="93"/>
      <c r="E25" s="93"/>
      <c r="F25" s="165"/>
      <c r="G25" s="165"/>
      <c r="H25" s="165"/>
      <c r="I25" s="97" t="s">
        <v>19</v>
      </c>
      <c r="J25" s="97"/>
      <c r="K25" s="97"/>
      <c r="L25" s="97"/>
      <c r="M25" s="97"/>
      <c r="N25" s="98" t="s">
        <v>184</v>
      </c>
      <c r="O25" s="98"/>
      <c r="P25" s="96">
        <f>CEILING(P22*0.35+5,0.5)</f>
        <v>49</v>
      </c>
      <c r="Q25" s="96"/>
      <c r="R25" s="96"/>
      <c r="S25" s="96"/>
      <c r="T25" s="96">
        <f>CEILING(T22*0.35+5,0.5)</f>
        <v>52.5</v>
      </c>
      <c r="U25" s="96"/>
      <c r="V25" s="96"/>
      <c r="W25" s="96"/>
      <c r="Z25" s="93"/>
      <c r="AA25" s="93"/>
      <c r="AB25" s="93"/>
      <c r="AC25" s="93"/>
      <c r="AD25" s="93"/>
      <c r="AE25" s="94"/>
      <c r="AF25" s="94"/>
      <c r="AG25" s="94"/>
      <c r="AH25" s="97" t="s">
        <v>20</v>
      </c>
      <c r="AI25" s="97"/>
      <c r="AJ25" s="97"/>
      <c r="AK25" s="97"/>
      <c r="AL25" s="97"/>
      <c r="AM25" s="98" t="s">
        <v>184</v>
      </c>
      <c r="AN25" s="98"/>
      <c r="AO25" s="96">
        <f>CEILING(AO22*0.47+5,0.5)</f>
        <v>69.5</v>
      </c>
      <c r="AP25" s="96"/>
      <c r="AQ25" s="96"/>
      <c r="AR25" s="96"/>
      <c r="AS25" s="96">
        <f>CEILING(AS22*0.47+5,0.5)</f>
        <v>74</v>
      </c>
      <c r="AT25" s="96"/>
      <c r="AU25" s="96"/>
      <c r="AV25" s="96"/>
    </row>
    <row r="26" spans="1:48" ht="16.5" customHeight="1">
      <c r="A26" s="93"/>
      <c r="B26" s="93"/>
      <c r="C26" s="93"/>
      <c r="D26" s="93"/>
      <c r="E26" s="93"/>
      <c r="F26" s="165"/>
      <c r="G26" s="165"/>
      <c r="H26" s="165"/>
      <c r="I26" s="97"/>
      <c r="J26" s="97"/>
      <c r="K26" s="97"/>
      <c r="L26" s="97"/>
      <c r="M26" s="97"/>
      <c r="N26" s="98" t="s">
        <v>186</v>
      </c>
      <c r="O26" s="98"/>
      <c r="P26" s="96">
        <f>CEILING(P25*0.92,0.5)</f>
        <v>45.5</v>
      </c>
      <c r="Q26" s="96"/>
      <c r="R26" s="96"/>
      <c r="S26" s="96"/>
      <c r="T26" s="96">
        <f>CEILING(T25*0.92,0.5)</f>
        <v>48.5</v>
      </c>
      <c r="U26" s="96"/>
      <c r="V26" s="96"/>
      <c r="W26" s="96"/>
      <c r="Z26" s="93"/>
      <c r="AA26" s="93"/>
      <c r="AB26" s="93"/>
      <c r="AC26" s="93"/>
      <c r="AD26" s="93"/>
      <c r="AE26" s="94"/>
      <c r="AF26" s="94"/>
      <c r="AG26" s="94"/>
      <c r="AH26" s="97"/>
      <c r="AI26" s="97"/>
      <c r="AJ26" s="97"/>
      <c r="AK26" s="97"/>
      <c r="AL26" s="97"/>
      <c r="AM26" s="98" t="s">
        <v>186</v>
      </c>
      <c r="AN26" s="98"/>
      <c r="AO26" s="96">
        <f>CEILING(AO25*0.92,0.5)</f>
        <v>64</v>
      </c>
      <c r="AP26" s="96"/>
      <c r="AQ26" s="96"/>
      <c r="AR26" s="96"/>
      <c r="AS26" s="96">
        <f>CEILING(AS25*0.92,0.5)</f>
        <v>68.5</v>
      </c>
      <c r="AT26" s="96"/>
      <c r="AU26" s="96"/>
      <c r="AV26" s="96"/>
    </row>
    <row r="27" spans="1:48" ht="16.5" customHeight="1">
      <c r="A27" s="93"/>
      <c r="B27" s="93"/>
      <c r="C27" s="93"/>
      <c r="D27" s="93"/>
      <c r="E27" s="93"/>
      <c r="F27" s="165"/>
      <c r="G27" s="165"/>
      <c r="H27" s="165"/>
      <c r="I27" s="97"/>
      <c r="J27" s="97"/>
      <c r="K27" s="97"/>
      <c r="L27" s="97"/>
      <c r="M27" s="97"/>
      <c r="N27" s="98" t="s">
        <v>96</v>
      </c>
      <c r="O27" s="98"/>
      <c r="P27" s="96">
        <f>CEILING(P24*0.35+5,0.5)</f>
        <v>43.5</v>
      </c>
      <c r="Q27" s="96"/>
      <c r="R27" s="96"/>
      <c r="S27" s="96"/>
      <c r="T27" s="96">
        <f>CEILING(T24*0.35+5,0.5)</f>
        <v>47</v>
      </c>
      <c r="U27" s="96"/>
      <c r="V27" s="96"/>
      <c r="W27" s="96"/>
      <c r="Z27" s="93"/>
      <c r="AA27" s="93"/>
      <c r="AB27" s="93"/>
      <c r="AC27" s="93"/>
      <c r="AD27" s="93"/>
      <c r="AE27" s="94"/>
      <c r="AF27" s="94"/>
      <c r="AG27" s="94"/>
      <c r="AH27" s="97"/>
      <c r="AI27" s="97"/>
      <c r="AJ27" s="97"/>
      <c r="AK27" s="97"/>
      <c r="AL27" s="97"/>
      <c r="AM27" s="98" t="s">
        <v>96</v>
      </c>
      <c r="AN27" s="98"/>
      <c r="AO27" s="96">
        <f>CEILING(AO24*0.47+5,0.5)</f>
        <v>60</v>
      </c>
      <c r="AP27" s="96"/>
      <c r="AQ27" s="96"/>
      <c r="AR27" s="96"/>
      <c r="AS27" s="96">
        <f>CEILING(AS24*0.47+5,0.5)</f>
        <v>64.5</v>
      </c>
      <c r="AT27" s="96"/>
      <c r="AU27" s="96"/>
      <c r="AV27" s="96"/>
    </row>
    <row r="28" spans="1:48" ht="16.5" customHeight="1">
      <c r="A28" s="93"/>
      <c r="B28" s="93"/>
      <c r="C28" s="93"/>
      <c r="D28" s="93"/>
      <c r="E28" s="93"/>
      <c r="F28" s="165"/>
      <c r="G28" s="165"/>
      <c r="H28" s="165"/>
      <c r="I28" s="82" t="s">
        <v>21</v>
      </c>
      <c r="J28" s="82"/>
      <c r="K28" s="82"/>
      <c r="L28" s="82"/>
      <c r="M28" s="82"/>
      <c r="N28" s="84" t="s">
        <v>184</v>
      </c>
      <c r="O28" s="84"/>
      <c r="P28" s="83">
        <f>P22-2</f>
        <v>123.5</v>
      </c>
      <c r="Q28" s="83"/>
      <c r="R28" s="83"/>
      <c r="S28" s="83"/>
      <c r="T28" s="83">
        <f>P28+8</f>
        <v>131.5</v>
      </c>
      <c r="U28" s="83"/>
      <c r="V28" s="83"/>
      <c r="W28" s="83"/>
      <c r="Z28" s="93"/>
      <c r="AA28" s="93"/>
      <c r="AB28" s="93"/>
      <c r="AC28" s="93"/>
      <c r="AD28" s="93"/>
      <c r="AE28" s="94"/>
      <c r="AF28" s="94"/>
      <c r="AG28" s="94"/>
      <c r="AH28" s="82" t="s">
        <v>21</v>
      </c>
      <c r="AI28" s="82"/>
      <c r="AJ28" s="82"/>
      <c r="AK28" s="82"/>
      <c r="AL28" s="82"/>
      <c r="AM28" s="84" t="s">
        <v>184</v>
      </c>
      <c r="AN28" s="84"/>
      <c r="AO28" s="83">
        <f>AO22-2</f>
        <v>134.5</v>
      </c>
      <c r="AP28" s="83"/>
      <c r="AQ28" s="83"/>
      <c r="AR28" s="83"/>
      <c r="AS28" s="83">
        <f>AO28+8</f>
        <v>142.5</v>
      </c>
      <c r="AT28" s="83"/>
      <c r="AU28" s="83"/>
      <c r="AV28" s="83"/>
    </row>
    <row r="29" spans="1:48" ht="16.5" customHeight="1">
      <c r="A29" s="93"/>
      <c r="B29" s="93"/>
      <c r="C29" s="93"/>
      <c r="D29" s="93"/>
      <c r="E29" s="93"/>
      <c r="F29" s="165"/>
      <c r="G29" s="165"/>
      <c r="H29" s="165"/>
      <c r="I29" s="82"/>
      <c r="J29" s="82"/>
      <c r="K29" s="82"/>
      <c r="L29" s="82"/>
      <c r="M29" s="82"/>
      <c r="N29" s="84" t="s">
        <v>186</v>
      </c>
      <c r="O29" s="84"/>
      <c r="P29" s="83">
        <f>CEILING(P28*0.92,0.5)</f>
        <v>114</v>
      </c>
      <c r="Q29" s="83"/>
      <c r="R29" s="83"/>
      <c r="S29" s="83"/>
      <c r="T29" s="83">
        <f>CEILING(T28*0.92,0.5)</f>
        <v>121</v>
      </c>
      <c r="U29" s="83"/>
      <c r="V29" s="83"/>
      <c r="W29" s="83"/>
      <c r="Z29" s="93"/>
      <c r="AA29" s="93"/>
      <c r="AB29" s="93"/>
      <c r="AC29" s="93"/>
      <c r="AD29" s="93"/>
      <c r="AE29" s="94"/>
      <c r="AF29" s="94"/>
      <c r="AG29" s="94"/>
      <c r="AH29" s="82"/>
      <c r="AI29" s="82"/>
      <c r="AJ29" s="82"/>
      <c r="AK29" s="82"/>
      <c r="AL29" s="82"/>
      <c r="AM29" s="84" t="s">
        <v>186</v>
      </c>
      <c r="AN29" s="84"/>
      <c r="AO29" s="83">
        <f>CEILING(AO28*0.92,0.5)</f>
        <v>124</v>
      </c>
      <c r="AP29" s="83"/>
      <c r="AQ29" s="83"/>
      <c r="AR29" s="83"/>
      <c r="AS29" s="83">
        <f>CEILING(AS28*0.92,0.5)</f>
        <v>131.5</v>
      </c>
      <c r="AT29" s="83"/>
      <c r="AU29" s="83"/>
      <c r="AV29" s="83"/>
    </row>
    <row r="30" spans="1:48" ht="16.5" customHeight="1">
      <c r="A30" s="93"/>
      <c r="B30" s="93"/>
      <c r="C30" s="93"/>
      <c r="D30" s="93"/>
      <c r="E30" s="93"/>
      <c r="F30" s="165"/>
      <c r="G30" s="165"/>
      <c r="H30" s="165"/>
      <c r="I30" s="82"/>
      <c r="J30" s="82"/>
      <c r="K30" s="82"/>
      <c r="L30" s="82"/>
      <c r="M30" s="82"/>
      <c r="N30" s="84" t="s">
        <v>96</v>
      </c>
      <c r="O30" s="84"/>
      <c r="P30" s="83">
        <f>P24-2</f>
        <v>107</v>
      </c>
      <c r="Q30" s="83"/>
      <c r="R30" s="83"/>
      <c r="S30" s="83"/>
      <c r="T30" s="83">
        <f>P30+8</f>
        <v>115</v>
      </c>
      <c r="U30" s="83"/>
      <c r="V30" s="83"/>
      <c r="W30" s="83"/>
      <c r="Z30" s="93"/>
      <c r="AA30" s="93"/>
      <c r="AB30" s="93"/>
      <c r="AC30" s="93"/>
      <c r="AD30" s="93"/>
      <c r="AE30" s="94"/>
      <c r="AF30" s="94"/>
      <c r="AG30" s="94"/>
      <c r="AH30" s="82"/>
      <c r="AI30" s="82"/>
      <c r="AJ30" s="82"/>
      <c r="AK30" s="82"/>
      <c r="AL30" s="82"/>
      <c r="AM30" s="84" t="s">
        <v>96</v>
      </c>
      <c r="AN30" s="84"/>
      <c r="AO30" s="83">
        <f>AO24-2</f>
        <v>114.5</v>
      </c>
      <c r="AP30" s="83"/>
      <c r="AQ30" s="83"/>
      <c r="AR30" s="83"/>
      <c r="AS30" s="83">
        <f>AO30+8</f>
        <v>122.5</v>
      </c>
      <c r="AT30" s="83"/>
      <c r="AU30" s="83"/>
      <c r="AV30" s="83"/>
    </row>
    <row r="31" spans="1:48" ht="16.5" customHeight="1">
      <c r="A31" s="93"/>
      <c r="B31" s="93"/>
      <c r="C31" s="93"/>
      <c r="D31" s="93"/>
      <c r="E31" s="93"/>
      <c r="F31" s="165"/>
      <c r="G31" s="165"/>
      <c r="H31" s="165"/>
      <c r="I31" s="80" t="s">
        <v>22</v>
      </c>
      <c r="J31" s="80"/>
      <c r="K31" s="80"/>
      <c r="L31" s="80"/>
      <c r="M31" s="80"/>
      <c r="N31" s="81" t="s">
        <v>184</v>
      </c>
      <c r="O31" s="81"/>
      <c r="P31" s="89">
        <f>CEILING(P28*0.35+5,0.5)</f>
        <v>48.5</v>
      </c>
      <c r="Q31" s="89"/>
      <c r="R31" s="89"/>
      <c r="S31" s="89"/>
      <c r="T31" s="89">
        <f>CEILING(T28*0.35+5,0.5)</f>
        <v>51.5</v>
      </c>
      <c r="U31" s="89"/>
      <c r="V31" s="89"/>
      <c r="W31" s="89"/>
      <c r="Z31" s="93"/>
      <c r="AA31" s="93"/>
      <c r="AB31" s="93"/>
      <c r="AC31" s="93"/>
      <c r="AD31" s="93"/>
      <c r="AE31" s="94"/>
      <c r="AF31" s="94"/>
      <c r="AG31" s="94"/>
      <c r="AH31" s="80" t="s">
        <v>23</v>
      </c>
      <c r="AI31" s="80"/>
      <c r="AJ31" s="80"/>
      <c r="AK31" s="80"/>
      <c r="AL31" s="80"/>
      <c r="AM31" s="81" t="s">
        <v>184</v>
      </c>
      <c r="AN31" s="81"/>
      <c r="AO31" s="89">
        <f>CEILING(AO28*0.47+5,0.5)</f>
        <v>68.5</v>
      </c>
      <c r="AP31" s="89"/>
      <c r="AQ31" s="89"/>
      <c r="AR31" s="89"/>
      <c r="AS31" s="89">
        <f>CEILING(AS28*0.47+5,0.5)</f>
        <v>72</v>
      </c>
      <c r="AT31" s="89"/>
      <c r="AU31" s="89"/>
      <c r="AV31" s="89"/>
    </row>
    <row r="32" spans="1:48" ht="16.5" customHeight="1">
      <c r="A32" s="93"/>
      <c r="B32" s="93"/>
      <c r="C32" s="93"/>
      <c r="D32" s="93"/>
      <c r="E32" s="93"/>
      <c r="F32" s="165"/>
      <c r="G32" s="165"/>
      <c r="H32" s="165"/>
      <c r="I32" s="80"/>
      <c r="J32" s="80"/>
      <c r="K32" s="80"/>
      <c r="L32" s="80"/>
      <c r="M32" s="80"/>
      <c r="N32" s="81" t="s">
        <v>186</v>
      </c>
      <c r="O32" s="81"/>
      <c r="P32" s="89">
        <f>CEILING(P31*0.92,0.5)</f>
        <v>45</v>
      </c>
      <c r="Q32" s="89"/>
      <c r="R32" s="89"/>
      <c r="S32" s="89"/>
      <c r="T32" s="89">
        <f>CEILING(T31*0.92,0.5)</f>
        <v>47.5</v>
      </c>
      <c r="U32" s="89"/>
      <c r="V32" s="89"/>
      <c r="W32" s="89"/>
      <c r="Z32" s="93"/>
      <c r="AA32" s="93"/>
      <c r="AB32" s="93"/>
      <c r="AC32" s="93"/>
      <c r="AD32" s="93"/>
      <c r="AE32" s="94"/>
      <c r="AF32" s="94"/>
      <c r="AG32" s="94"/>
      <c r="AH32" s="80"/>
      <c r="AI32" s="80"/>
      <c r="AJ32" s="80"/>
      <c r="AK32" s="80"/>
      <c r="AL32" s="80"/>
      <c r="AM32" s="81" t="s">
        <v>186</v>
      </c>
      <c r="AN32" s="81"/>
      <c r="AO32" s="89">
        <f>CEILING(AO31*0.92,0.5)</f>
        <v>63.5</v>
      </c>
      <c r="AP32" s="89"/>
      <c r="AQ32" s="89"/>
      <c r="AR32" s="89"/>
      <c r="AS32" s="89">
        <f>CEILING(AS31*0.92,0.5)</f>
        <v>66.5</v>
      </c>
      <c r="AT32" s="89"/>
      <c r="AU32" s="89"/>
      <c r="AV32" s="89"/>
    </row>
    <row r="33" spans="1:48" ht="16.5" customHeight="1">
      <c r="A33" s="93"/>
      <c r="B33" s="93"/>
      <c r="C33" s="93"/>
      <c r="D33" s="93"/>
      <c r="E33" s="93"/>
      <c r="F33" s="165"/>
      <c r="G33" s="165"/>
      <c r="H33" s="165"/>
      <c r="I33" s="80"/>
      <c r="J33" s="80"/>
      <c r="K33" s="80"/>
      <c r="L33" s="80"/>
      <c r="M33" s="80"/>
      <c r="N33" s="81" t="s">
        <v>96</v>
      </c>
      <c r="O33" s="81"/>
      <c r="P33" s="89">
        <f>CEILING(P30*0.35+5,0.5)</f>
        <v>42.5</v>
      </c>
      <c r="Q33" s="89"/>
      <c r="R33" s="89"/>
      <c r="S33" s="89"/>
      <c r="T33" s="89">
        <f>CEILING(T30*0.35+5,0.5)</f>
        <v>45.5</v>
      </c>
      <c r="U33" s="89"/>
      <c r="V33" s="89"/>
      <c r="W33" s="89"/>
      <c r="Z33" s="93"/>
      <c r="AA33" s="93"/>
      <c r="AB33" s="93"/>
      <c r="AC33" s="93"/>
      <c r="AD33" s="93"/>
      <c r="AE33" s="94"/>
      <c r="AF33" s="94"/>
      <c r="AG33" s="94"/>
      <c r="AH33" s="80"/>
      <c r="AI33" s="80"/>
      <c r="AJ33" s="80"/>
      <c r="AK33" s="80"/>
      <c r="AL33" s="80"/>
      <c r="AM33" s="81" t="s">
        <v>96</v>
      </c>
      <c r="AN33" s="81"/>
      <c r="AO33" s="89">
        <f>CEILING(AO30*0.47+5,0.5)</f>
        <v>59</v>
      </c>
      <c r="AP33" s="89"/>
      <c r="AQ33" s="89"/>
      <c r="AR33" s="89"/>
      <c r="AS33" s="89">
        <f>CEILING(AS30*0.47+5,0.5)</f>
        <v>63</v>
      </c>
      <c r="AT33" s="89"/>
      <c r="AU33" s="89"/>
      <c r="AV33" s="89"/>
    </row>
    <row r="34" spans="1:48" ht="16.5" customHeight="1">
      <c r="A34" s="71" t="s">
        <v>266</v>
      </c>
      <c r="B34" s="72"/>
      <c r="C34" s="10"/>
      <c r="D34" s="10"/>
      <c r="E34" s="10"/>
      <c r="F34" s="14"/>
      <c r="G34" s="14"/>
      <c r="H34" s="14"/>
      <c r="I34" s="14"/>
      <c r="J34" s="14"/>
      <c r="K34" s="14"/>
      <c r="L34" s="14"/>
      <c r="M34" s="14"/>
      <c r="N34" s="14"/>
      <c r="O34" s="14"/>
      <c r="P34" s="14"/>
      <c r="Q34" s="14"/>
      <c r="R34" s="14"/>
      <c r="S34" s="14"/>
      <c r="T34" s="14"/>
      <c r="Z34" s="71"/>
      <c r="AA34" s="72"/>
      <c r="AB34" s="10"/>
      <c r="AC34" s="10"/>
      <c r="AD34" s="10"/>
      <c r="AE34" s="14"/>
      <c r="AF34" s="14"/>
      <c r="AG34" s="14"/>
      <c r="AH34" s="14"/>
      <c r="AI34" s="14"/>
      <c r="AJ34" s="14"/>
      <c r="AK34" s="14"/>
      <c r="AL34" s="14"/>
      <c r="AM34" s="14"/>
      <c r="AN34" s="14"/>
      <c r="AO34" s="14"/>
      <c r="AP34" s="14"/>
      <c r="AQ34" s="14"/>
      <c r="AR34" s="14"/>
      <c r="AS34" s="14"/>
    </row>
    <row r="35" spans="1:48" ht="16.5" customHeight="1">
      <c r="A35" s="71" t="s">
        <v>267</v>
      </c>
      <c r="B35" s="72"/>
      <c r="C35" s="10"/>
      <c r="D35" s="10"/>
      <c r="E35" s="10"/>
      <c r="F35" s="10"/>
      <c r="G35" s="10"/>
      <c r="H35" s="10"/>
      <c r="I35" s="10"/>
      <c r="Z35" s="71"/>
      <c r="AA35" s="72"/>
      <c r="AB35" s="10"/>
      <c r="AC35" s="10"/>
      <c r="AD35" s="10"/>
      <c r="AE35" s="10"/>
      <c r="AF35" s="10"/>
      <c r="AG35" s="10"/>
      <c r="AH35" s="10"/>
    </row>
    <row r="36" spans="1:48" ht="16.5" customHeight="1">
      <c r="A36" s="71" t="s">
        <v>25</v>
      </c>
      <c r="B36" s="72"/>
      <c r="C36" s="10"/>
      <c r="D36" s="10"/>
      <c r="E36" s="10"/>
      <c r="F36" s="10"/>
      <c r="G36" s="10"/>
      <c r="H36" s="10"/>
      <c r="I36" s="10"/>
      <c r="Z36" s="71"/>
      <c r="AA36" s="72"/>
      <c r="AB36" s="10"/>
      <c r="AC36" s="10"/>
      <c r="AD36" s="10"/>
      <c r="AE36" s="10"/>
      <c r="AF36" s="10"/>
      <c r="AG36" s="10"/>
      <c r="AH36" s="10"/>
    </row>
    <row r="37" spans="1:48" ht="16.5" customHeight="1">
      <c r="A37" s="71" t="s">
        <v>26</v>
      </c>
      <c r="B37" s="72"/>
      <c r="C37" s="10"/>
      <c r="D37" s="10"/>
      <c r="E37" s="10"/>
      <c r="F37" s="10"/>
      <c r="G37" s="10"/>
      <c r="H37" s="10"/>
      <c r="I37" s="10"/>
      <c r="Z37" s="71"/>
      <c r="AA37" s="72"/>
      <c r="AB37" s="10"/>
      <c r="AC37" s="10"/>
      <c r="AD37" s="10"/>
      <c r="AE37" s="10"/>
      <c r="AF37" s="10"/>
      <c r="AG37" s="10"/>
      <c r="AH37" s="10"/>
    </row>
    <row r="38" spans="1:48" ht="16.5" customHeight="1" thickBot="1">
      <c r="AA38" s="10"/>
      <c r="AB38" s="10"/>
      <c r="AC38" s="10"/>
      <c r="AD38" s="10"/>
      <c r="AE38" s="10"/>
      <c r="AF38" s="10"/>
      <c r="AG38" s="10"/>
      <c r="AH38" s="10"/>
    </row>
    <row r="39" spans="1:48" ht="16.5" customHeight="1" thickTop="1">
      <c r="A39" s="90" t="s">
        <v>27</v>
      </c>
      <c r="B39" s="91"/>
      <c r="C39" s="91"/>
      <c r="D39" s="91"/>
      <c r="E39" s="91"/>
      <c r="F39" s="91"/>
      <c r="G39" s="91"/>
      <c r="H39" s="91"/>
      <c r="I39" s="91"/>
      <c r="J39" s="91"/>
      <c r="K39" s="91"/>
      <c r="L39" s="91"/>
      <c r="M39" s="91"/>
      <c r="N39" s="91"/>
      <c r="O39" s="91"/>
      <c r="P39" s="91"/>
      <c r="Q39" s="91"/>
      <c r="R39" s="91"/>
      <c r="S39" s="91"/>
      <c r="T39" s="92"/>
    </row>
    <row r="40" spans="1:48" ht="16.5" customHeight="1">
      <c r="A40" s="186" t="s">
        <v>28</v>
      </c>
      <c r="B40" s="187"/>
      <c r="C40" s="187"/>
      <c r="D40" s="187"/>
      <c r="E40" s="187"/>
      <c r="F40" s="187"/>
      <c r="G40" s="187"/>
      <c r="H40" s="188"/>
      <c r="I40" s="227" t="s">
        <v>29</v>
      </c>
      <c r="J40" s="187"/>
      <c r="K40" s="187"/>
      <c r="L40" s="187"/>
      <c r="M40" s="187"/>
      <c r="N40" s="187"/>
      <c r="O40" s="187"/>
      <c r="P40" s="187"/>
      <c r="Q40" s="187"/>
      <c r="R40" s="187"/>
      <c r="S40" s="187"/>
      <c r="T40" s="189"/>
    </row>
    <row r="41" spans="1:48" ht="16.5" customHeight="1" thickBot="1">
      <c r="A41" s="85" t="s">
        <v>30</v>
      </c>
      <c r="B41" s="86"/>
      <c r="C41" s="86"/>
      <c r="D41" s="86"/>
      <c r="E41" s="86"/>
      <c r="F41" s="86"/>
      <c r="G41" s="86"/>
      <c r="H41" s="87"/>
      <c r="I41" s="86" t="s">
        <v>31</v>
      </c>
      <c r="J41" s="86"/>
      <c r="K41" s="86"/>
      <c r="L41" s="86"/>
      <c r="M41" s="86"/>
      <c r="N41" s="86"/>
      <c r="O41" s="86"/>
      <c r="P41" s="86"/>
      <c r="Q41" s="86"/>
      <c r="R41" s="86"/>
      <c r="S41" s="86"/>
      <c r="T41" s="88"/>
    </row>
    <row r="42" spans="1:48" ht="16.5" customHeight="1" thickTop="1">
      <c r="AA42" s="10"/>
      <c r="AB42" s="10"/>
      <c r="AC42" s="10"/>
      <c r="AD42" s="10"/>
      <c r="AE42" s="10"/>
      <c r="AF42" s="10"/>
      <c r="AG42" s="10"/>
      <c r="AH42" s="10"/>
    </row>
    <row r="43" spans="1:48" ht="16.5" customHeight="1">
      <c r="AA43" s="10"/>
      <c r="AB43" s="10"/>
      <c r="AC43" s="10"/>
      <c r="AD43" s="10"/>
      <c r="AE43" s="10"/>
      <c r="AF43" s="10"/>
      <c r="AG43" s="10"/>
      <c r="AH43" s="10"/>
    </row>
    <row r="44" spans="1:48" ht="16.5" customHeight="1">
      <c r="AA44" s="10"/>
      <c r="AB44" s="10"/>
      <c r="AC44" s="10"/>
      <c r="AD44" s="10"/>
      <c r="AE44" s="10"/>
      <c r="AF44" s="10"/>
      <c r="AG44" s="10"/>
      <c r="AH44" s="10"/>
    </row>
    <row r="45" spans="1:48" ht="16.5" customHeight="1">
      <c r="AA45" s="10"/>
      <c r="AB45" s="10"/>
      <c r="AC45" s="10"/>
      <c r="AD45" s="10"/>
      <c r="AE45" s="10"/>
      <c r="AF45" s="10"/>
      <c r="AG45" s="10"/>
      <c r="AH45" s="10"/>
    </row>
    <row r="46" spans="1:48" ht="16.5" customHeight="1">
      <c r="AA46" s="10"/>
      <c r="AB46" s="10"/>
      <c r="AC46" s="10"/>
      <c r="AD46" s="10"/>
      <c r="AE46" s="10"/>
      <c r="AF46" s="10"/>
      <c r="AG46" s="10"/>
      <c r="AH46" s="10"/>
    </row>
    <row r="47" spans="1:48" ht="16.5" customHeight="1"/>
    <row r="48" spans="1:48" ht="16.5" customHeight="1"/>
    <row r="49" spans="1:65" ht="16.5" customHeight="1"/>
    <row r="50" spans="1:65" ht="16.5" customHeight="1"/>
    <row r="51" spans="1:65" ht="16.5" customHeight="1">
      <c r="AA51" s="10"/>
      <c r="AB51" s="10"/>
      <c r="AC51" s="10"/>
      <c r="AD51" s="10"/>
      <c r="AE51" s="10"/>
      <c r="AF51" s="10"/>
      <c r="AG51" s="10"/>
      <c r="AH51" s="10"/>
    </row>
    <row r="52" spans="1:65" ht="16.5" customHeight="1">
      <c r="AA52" s="10"/>
      <c r="AB52" s="10"/>
      <c r="AC52" s="10"/>
      <c r="AD52" s="10"/>
      <c r="AE52" s="10"/>
      <c r="AF52" s="10"/>
      <c r="AG52" s="10"/>
      <c r="AH52" s="10"/>
    </row>
    <row r="53" spans="1:65" ht="16.5" customHeight="1">
      <c r="AA53" s="10"/>
      <c r="AB53" s="10"/>
      <c r="AC53" s="10"/>
      <c r="AD53" s="10"/>
      <c r="AE53" s="10"/>
      <c r="AF53" s="10"/>
      <c r="AG53" s="10"/>
      <c r="AH53" s="10"/>
    </row>
    <row r="54" spans="1:65" ht="16.5" customHeight="1">
      <c r="AA54" s="10"/>
      <c r="AB54" s="10"/>
      <c r="AC54" s="10"/>
      <c r="AD54" s="10"/>
      <c r="AE54" s="10"/>
      <c r="AF54" s="10"/>
      <c r="AG54" s="10"/>
      <c r="AH54" s="10"/>
      <c r="AT54" s="12"/>
      <c r="AU54" s="12"/>
      <c r="AV54" s="12"/>
      <c r="AW54" s="12"/>
      <c r="AX54" s="12"/>
      <c r="AY54" s="12"/>
      <c r="AZ54" s="12"/>
      <c r="BA54" s="12"/>
      <c r="BB54" s="12"/>
      <c r="BC54" s="12"/>
      <c r="BD54" s="12"/>
      <c r="BE54" s="12"/>
      <c r="BF54" s="12"/>
      <c r="BG54" s="12"/>
      <c r="BH54" s="12"/>
      <c r="BI54" s="12"/>
      <c r="BJ54" s="12"/>
      <c r="BK54" s="12"/>
      <c r="BL54" s="12"/>
      <c r="BM54" s="12"/>
    </row>
    <row r="55" spans="1:65" ht="16.5" customHeight="1">
      <c r="AA55" s="10"/>
      <c r="AB55" s="10"/>
      <c r="AC55" s="10"/>
      <c r="AD55" s="10"/>
      <c r="AE55" s="10"/>
      <c r="AF55" s="10"/>
      <c r="AG55" s="10"/>
      <c r="AH55" s="10"/>
      <c r="AT55" s="12"/>
      <c r="AU55" s="12"/>
      <c r="AV55" s="12"/>
      <c r="AW55" s="12"/>
      <c r="AX55" s="12"/>
      <c r="AY55" s="12"/>
      <c r="AZ55" s="12"/>
      <c r="BA55" s="12"/>
      <c r="BB55" s="12"/>
      <c r="BC55" s="12"/>
      <c r="BD55" s="12"/>
      <c r="BE55" s="12"/>
      <c r="BF55" s="12"/>
      <c r="BG55" s="12"/>
      <c r="BH55" s="12"/>
      <c r="BI55" s="12"/>
      <c r="BJ55" s="12"/>
      <c r="BK55" s="12"/>
      <c r="BL55" s="12"/>
      <c r="BM55" s="12"/>
    </row>
    <row r="56" spans="1:65" ht="16.5" customHeight="1">
      <c r="AA56" s="10"/>
      <c r="AB56" s="10"/>
      <c r="AC56" s="10"/>
      <c r="AD56" s="10"/>
      <c r="AE56" s="10"/>
      <c r="AF56" s="10"/>
      <c r="AG56" s="10"/>
      <c r="AH56" s="10"/>
      <c r="AT56" s="12"/>
      <c r="AU56" s="12"/>
      <c r="AV56" s="12"/>
      <c r="AW56" s="12"/>
      <c r="AX56" s="12"/>
      <c r="AY56" s="12"/>
      <c r="AZ56" s="12"/>
      <c r="BA56" s="12"/>
      <c r="BB56" s="12"/>
      <c r="BC56" s="12"/>
      <c r="BD56" s="12"/>
      <c r="BE56" s="12"/>
      <c r="BF56" s="12"/>
      <c r="BG56" s="12"/>
      <c r="BH56" s="12"/>
      <c r="BI56" s="12"/>
      <c r="BJ56" s="12"/>
      <c r="BK56" s="12"/>
      <c r="BL56" s="12"/>
      <c r="BM56" s="12"/>
    </row>
    <row r="57" spans="1:65" ht="16.5" customHeight="1">
      <c r="AA57" s="10"/>
      <c r="AB57" s="10"/>
      <c r="AC57" s="10"/>
      <c r="AD57" s="10"/>
      <c r="AE57" s="10"/>
      <c r="AF57" s="10"/>
      <c r="AG57" s="10"/>
      <c r="AH57" s="10"/>
      <c r="AT57" s="12"/>
      <c r="AU57" s="12"/>
      <c r="AV57" s="12"/>
      <c r="AW57" s="12"/>
      <c r="AX57" s="12"/>
      <c r="AY57" s="12"/>
      <c r="AZ57" s="12"/>
      <c r="BA57" s="12"/>
      <c r="BB57" s="12"/>
      <c r="BC57" s="12"/>
      <c r="BD57" s="12"/>
      <c r="BE57" s="12"/>
      <c r="BF57" s="12"/>
      <c r="BG57" s="12"/>
      <c r="BH57" s="12"/>
      <c r="BI57" s="12"/>
      <c r="BJ57" s="12"/>
      <c r="BK57" s="12"/>
      <c r="BL57" s="12"/>
      <c r="BM57" s="12"/>
    </row>
    <row r="58" spans="1:65" ht="16.5" customHeight="1">
      <c r="A58" s="98" t="s">
        <v>3</v>
      </c>
      <c r="B58" s="98"/>
      <c r="C58" s="98"/>
      <c r="D58" s="98"/>
      <c r="E58" s="98"/>
      <c r="F58" s="98" t="s">
        <v>4</v>
      </c>
      <c r="G58" s="98"/>
      <c r="H58" s="98"/>
      <c r="I58" s="98" t="s">
        <v>5</v>
      </c>
      <c r="J58" s="98"/>
      <c r="K58" s="98"/>
      <c r="L58" s="98"/>
      <c r="M58" s="98"/>
      <c r="N58" s="98"/>
      <c r="O58" s="98"/>
      <c r="P58" s="98" t="s">
        <v>6</v>
      </c>
      <c r="Q58" s="98"/>
      <c r="R58" s="98"/>
      <c r="S58" s="98"/>
      <c r="T58" s="98" t="s">
        <v>253</v>
      </c>
      <c r="U58" s="98"/>
      <c r="V58" s="98"/>
      <c r="W58" s="98"/>
      <c r="X58" s="10"/>
      <c r="Y58" s="10"/>
      <c r="Z58" s="10"/>
      <c r="AA58" s="10"/>
      <c r="AB58" s="10"/>
      <c r="AC58" s="10"/>
      <c r="AD58" s="10"/>
      <c r="AE58" s="10"/>
      <c r="AQ58" s="12"/>
      <c r="AR58" s="12"/>
      <c r="AS58" s="12"/>
      <c r="AT58" s="12"/>
      <c r="AU58" s="12"/>
      <c r="AV58" s="12"/>
      <c r="AW58" s="12"/>
      <c r="AX58" s="12"/>
      <c r="AY58" s="12"/>
      <c r="AZ58" s="12"/>
      <c r="BA58" s="12"/>
      <c r="BB58" s="12"/>
      <c r="BC58" s="12"/>
      <c r="BD58" s="12"/>
      <c r="BE58" s="12"/>
      <c r="BF58" s="12"/>
      <c r="BG58" s="12"/>
      <c r="BH58" s="12"/>
      <c r="BI58" s="12"/>
      <c r="BJ58" s="12"/>
    </row>
    <row r="59" spans="1:65" ht="16.5" customHeight="1">
      <c r="A59" s="93" t="s">
        <v>287</v>
      </c>
      <c r="B59" s="93"/>
      <c r="C59" s="93"/>
      <c r="D59" s="93"/>
      <c r="E59" s="93"/>
      <c r="F59" s="165">
        <v>10</v>
      </c>
      <c r="G59" s="165"/>
      <c r="H59" s="165"/>
      <c r="I59" s="95" t="s">
        <v>9</v>
      </c>
      <c r="J59" s="95"/>
      <c r="K59" s="95"/>
      <c r="L59" s="95"/>
      <c r="M59" s="95"/>
      <c r="N59" s="100" t="s">
        <v>184</v>
      </c>
      <c r="O59" s="100"/>
      <c r="P59" s="101">
        <f>CEILING(123.5*1.3,0.5)</f>
        <v>161</v>
      </c>
      <c r="Q59" s="101"/>
      <c r="R59" s="101"/>
      <c r="S59" s="101"/>
      <c r="T59" s="99">
        <f>P59+20</f>
        <v>181</v>
      </c>
      <c r="U59" s="99"/>
      <c r="V59" s="99"/>
      <c r="W59" s="99"/>
      <c r="X59" s="10"/>
      <c r="Y59" s="10"/>
      <c r="Z59" s="10"/>
      <c r="AA59" s="10"/>
      <c r="AB59" s="10"/>
      <c r="AC59" s="10"/>
      <c r="AD59" s="10"/>
      <c r="AE59" s="10"/>
      <c r="AQ59" s="12"/>
      <c r="AR59" s="12"/>
      <c r="AS59" s="12"/>
      <c r="AT59" s="12"/>
      <c r="AU59" s="12"/>
      <c r="AV59" s="12"/>
      <c r="AW59" s="12"/>
      <c r="AX59" s="12"/>
      <c r="AY59" s="12"/>
      <c r="AZ59" s="12"/>
      <c r="BA59" s="12"/>
      <c r="BB59" s="12"/>
      <c r="BC59" s="12"/>
      <c r="BD59" s="12"/>
      <c r="BE59" s="12"/>
      <c r="BF59" s="12"/>
      <c r="BG59" s="12"/>
      <c r="BH59" s="12"/>
      <c r="BI59" s="12"/>
      <c r="BJ59" s="12"/>
    </row>
    <row r="60" spans="1:65" ht="16.5" customHeight="1">
      <c r="A60" s="93"/>
      <c r="B60" s="93"/>
      <c r="C60" s="93"/>
      <c r="D60" s="93"/>
      <c r="E60" s="93"/>
      <c r="F60" s="165"/>
      <c r="G60" s="165"/>
      <c r="H60" s="165"/>
      <c r="I60" s="95"/>
      <c r="J60" s="95"/>
      <c r="K60" s="95"/>
      <c r="L60" s="95"/>
      <c r="M60" s="95"/>
      <c r="N60" s="100" t="s">
        <v>186</v>
      </c>
      <c r="O60" s="100"/>
      <c r="P60" s="99">
        <f>CEILING(P59*0.92,0.5)</f>
        <v>148.5</v>
      </c>
      <c r="Q60" s="99"/>
      <c r="R60" s="99"/>
      <c r="S60" s="99"/>
      <c r="T60" s="99">
        <f>CEILING(T59*0.92,0.5)</f>
        <v>167</v>
      </c>
      <c r="U60" s="99"/>
      <c r="V60" s="99"/>
      <c r="W60" s="99"/>
    </row>
    <row r="61" spans="1:65" ht="16.5" customHeight="1">
      <c r="A61" s="93"/>
      <c r="B61" s="93"/>
      <c r="C61" s="93"/>
      <c r="D61" s="93"/>
      <c r="E61" s="93"/>
      <c r="F61" s="165"/>
      <c r="G61" s="165"/>
      <c r="H61" s="165"/>
      <c r="I61" s="95"/>
      <c r="J61" s="95"/>
      <c r="K61" s="95"/>
      <c r="L61" s="95"/>
      <c r="M61" s="95"/>
      <c r="N61" s="100" t="s">
        <v>96</v>
      </c>
      <c r="O61" s="100"/>
      <c r="P61" s="101">
        <f>CEILING(109.5*1.3,0.5)</f>
        <v>142.5</v>
      </c>
      <c r="Q61" s="101"/>
      <c r="R61" s="101"/>
      <c r="S61" s="101"/>
      <c r="T61" s="99">
        <f>P61+20</f>
        <v>162.5</v>
      </c>
      <c r="U61" s="99"/>
      <c r="V61" s="99"/>
      <c r="W61" s="99"/>
    </row>
    <row r="62" spans="1:65" ht="16.5" customHeight="1">
      <c r="A62" s="93"/>
      <c r="B62" s="93"/>
      <c r="C62" s="93"/>
      <c r="D62" s="93"/>
      <c r="E62" s="93"/>
      <c r="F62" s="165"/>
      <c r="G62" s="165"/>
      <c r="H62" s="165"/>
      <c r="I62" s="97" t="s">
        <v>70</v>
      </c>
      <c r="J62" s="97"/>
      <c r="K62" s="97"/>
      <c r="L62" s="97"/>
      <c r="M62" s="97"/>
      <c r="N62" s="98" t="s">
        <v>184</v>
      </c>
      <c r="O62" s="98"/>
      <c r="P62" s="96">
        <f>CEILING(P59*0.57+5,0.5)</f>
        <v>97</v>
      </c>
      <c r="Q62" s="96"/>
      <c r="R62" s="96"/>
      <c r="S62" s="96"/>
      <c r="T62" s="96">
        <f>CEILING(T59*0.57+5,0.5)</f>
        <v>108.5</v>
      </c>
      <c r="U62" s="96"/>
      <c r="V62" s="96"/>
      <c r="W62" s="96"/>
    </row>
    <row r="63" spans="1:65" ht="16.5" customHeight="1">
      <c r="A63" s="93"/>
      <c r="B63" s="93"/>
      <c r="C63" s="93"/>
      <c r="D63" s="93"/>
      <c r="E63" s="93"/>
      <c r="F63" s="165"/>
      <c r="G63" s="165"/>
      <c r="H63" s="165"/>
      <c r="I63" s="97"/>
      <c r="J63" s="97"/>
      <c r="K63" s="97"/>
      <c r="L63" s="97"/>
      <c r="M63" s="97"/>
      <c r="N63" s="98" t="s">
        <v>186</v>
      </c>
      <c r="O63" s="98"/>
      <c r="P63" s="96">
        <f>CEILING(P62*0.92,0.5)</f>
        <v>89.5</v>
      </c>
      <c r="Q63" s="96"/>
      <c r="R63" s="96"/>
      <c r="S63" s="96"/>
      <c r="T63" s="96">
        <f>CEILING(T62*0.92,0.5)</f>
        <v>100</v>
      </c>
      <c r="U63" s="96"/>
      <c r="V63" s="96"/>
      <c r="W63" s="96"/>
    </row>
    <row r="64" spans="1:65" ht="16.5" customHeight="1">
      <c r="A64" s="93"/>
      <c r="B64" s="93"/>
      <c r="C64" s="93"/>
      <c r="D64" s="93"/>
      <c r="E64" s="93"/>
      <c r="F64" s="165"/>
      <c r="G64" s="165"/>
      <c r="H64" s="165"/>
      <c r="I64" s="97"/>
      <c r="J64" s="97"/>
      <c r="K64" s="97"/>
      <c r="L64" s="97"/>
      <c r="M64" s="97"/>
      <c r="N64" s="98" t="s">
        <v>96</v>
      </c>
      <c r="O64" s="98"/>
      <c r="P64" s="96">
        <f>CEILING(P61*0.57+5,0.5)</f>
        <v>86.5</v>
      </c>
      <c r="Q64" s="96"/>
      <c r="R64" s="96"/>
      <c r="S64" s="96"/>
      <c r="T64" s="96">
        <f>CEILING(T61*0.57+5,0.5)</f>
        <v>98</v>
      </c>
      <c r="U64" s="96"/>
      <c r="V64" s="96"/>
      <c r="W64" s="96"/>
    </row>
    <row r="65" spans="1:23" ht="16.5" customHeight="1">
      <c r="A65" s="93"/>
      <c r="B65" s="93"/>
      <c r="C65" s="93"/>
      <c r="D65" s="93"/>
      <c r="E65" s="93"/>
      <c r="F65" s="165"/>
      <c r="G65" s="165"/>
      <c r="H65" s="165"/>
      <c r="I65" s="95" t="s">
        <v>15</v>
      </c>
      <c r="J65" s="95"/>
      <c r="K65" s="95"/>
      <c r="L65" s="95"/>
      <c r="M65" s="95"/>
      <c r="N65" s="100" t="s">
        <v>184</v>
      </c>
      <c r="O65" s="100"/>
      <c r="P65" s="99">
        <f>P59-5</f>
        <v>156</v>
      </c>
      <c r="Q65" s="99"/>
      <c r="R65" s="99"/>
      <c r="S65" s="99"/>
      <c r="T65" s="99">
        <f>P65+15</f>
        <v>171</v>
      </c>
      <c r="U65" s="99"/>
      <c r="V65" s="99"/>
      <c r="W65" s="99"/>
    </row>
    <row r="66" spans="1:23" ht="16.5" customHeight="1">
      <c r="A66" s="93"/>
      <c r="B66" s="93"/>
      <c r="C66" s="93"/>
      <c r="D66" s="93"/>
      <c r="E66" s="93"/>
      <c r="F66" s="165"/>
      <c r="G66" s="165"/>
      <c r="H66" s="165"/>
      <c r="I66" s="95"/>
      <c r="J66" s="95"/>
      <c r="K66" s="95"/>
      <c r="L66" s="95"/>
      <c r="M66" s="95"/>
      <c r="N66" s="100" t="s">
        <v>186</v>
      </c>
      <c r="O66" s="100"/>
      <c r="P66" s="99">
        <f>CEILING(P65*0.92,0.5)</f>
        <v>144</v>
      </c>
      <c r="Q66" s="99"/>
      <c r="R66" s="99"/>
      <c r="S66" s="99"/>
      <c r="T66" s="99">
        <f>CEILING(T65*0.92,0.5)</f>
        <v>157.5</v>
      </c>
      <c r="U66" s="99"/>
      <c r="V66" s="99"/>
      <c r="W66" s="99"/>
    </row>
    <row r="67" spans="1:23" ht="16.5" customHeight="1">
      <c r="A67" s="93"/>
      <c r="B67" s="93"/>
      <c r="C67" s="93"/>
      <c r="D67" s="93"/>
      <c r="E67" s="93"/>
      <c r="F67" s="165"/>
      <c r="G67" s="165"/>
      <c r="H67" s="165"/>
      <c r="I67" s="95"/>
      <c r="J67" s="95"/>
      <c r="K67" s="95"/>
      <c r="L67" s="95"/>
      <c r="M67" s="95"/>
      <c r="N67" s="100" t="s">
        <v>96</v>
      </c>
      <c r="O67" s="100"/>
      <c r="P67" s="99">
        <f>P61-5</f>
        <v>137.5</v>
      </c>
      <c r="Q67" s="99"/>
      <c r="R67" s="99"/>
      <c r="S67" s="99"/>
      <c r="T67" s="99">
        <f>P67+15</f>
        <v>152.5</v>
      </c>
      <c r="U67" s="99"/>
      <c r="V67" s="99"/>
      <c r="W67" s="99"/>
    </row>
    <row r="68" spans="1:23" ht="16.5" customHeight="1">
      <c r="A68" s="93"/>
      <c r="B68" s="93"/>
      <c r="C68" s="93"/>
      <c r="D68" s="93"/>
      <c r="E68" s="93"/>
      <c r="F68" s="165"/>
      <c r="G68" s="165"/>
      <c r="H68" s="165"/>
      <c r="I68" s="97" t="s">
        <v>55</v>
      </c>
      <c r="J68" s="97"/>
      <c r="K68" s="97"/>
      <c r="L68" s="97"/>
      <c r="M68" s="97"/>
      <c r="N68" s="98" t="s">
        <v>184</v>
      </c>
      <c r="O68" s="98"/>
      <c r="P68" s="96">
        <f>CEILING(P65*0.57+5,0.5)</f>
        <v>94</v>
      </c>
      <c r="Q68" s="96"/>
      <c r="R68" s="96"/>
      <c r="S68" s="96"/>
      <c r="T68" s="96">
        <f>CEILING(T65*0.57+5,0.5)</f>
        <v>102.5</v>
      </c>
      <c r="U68" s="96"/>
      <c r="V68" s="96"/>
      <c r="W68" s="96"/>
    </row>
    <row r="69" spans="1:23" ht="16.5" customHeight="1">
      <c r="A69" s="93"/>
      <c r="B69" s="93"/>
      <c r="C69" s="93"/>
      <c r="D69" s="93"/>
      <c r="E69" s="93"/>
      <c r="F69" s="165"/>
      <c r="G69" s="165"/>
      <c r="H69" s="165"/>
      <c r="I69" s="97"/>
      <c r="J69" s="97"/>
      <c r="K69" s="97"/>
      <c r="L69" s="97"/>
      <c r="M69" s="97"/>
      <c r="N69" s="98" t="s">
        <v>186</v>
      </c>
      <c r="O69" s="98"/>
      <c r="P69" s="96">
        <f>CEILING(P68*0.92,0.5)</f>
        <v>86.5</v>
      </c>
      <c r="Q69" s="96"/>
      <c r="R69" s="96"/>
      <c r="S69" s="96"/>
      <c r="T69" s="96">
        <f>CEILING(T68*0.92,0.5)</f>
        <v>94.5</v>
      </c>
      <c r="U69" s="96"/>
      <c r="V69" s="96"/>
      <c r="W69" s="96"/>
    </row>
    <row r="70" spans="1:23" ht="16.5" customHeight="1">
      <c r="A70" s="93"/>
      <c r="B70" s="93"/>
      <c r="C70" s="93"/>
      <c r="D70" s="93"/>
      <c r="E70" s="93"/>
      <c r="F70" s="165"/>
      <c r="G70" s="165"/>
      <c r="H70" s="165"/>
      <c r="I70" s="97"/>
      <c r="J70" s="97"/>
      <c r="K70" s="97"/>
      <c r="L70" s="97"/>
      <c r="M70" s="97"/>
      <c r="N70" s="98" t="s">
        <v>96</v>
      </c>
      <c r="O70" s="98"/>
      <c r="P70" s="96">
        <f>CEILING(P67*0.57+5,0.5)</f>
        <v>83.5</v>
      </c>
      <c r="Q70" s="96"/>
      <c r="R70" s="96"/>
      <c r="S70" s="96"/>
      <c r="T70" s="96">
        <f>CEILING(T67*0.57+5,0.5)</f>
        <v>92</v>
      </c>
      <c r="U70" s="96"/>
      <c r="V70" s="96"/>
      <c r="W70" s="96"/>
    </row>
    <row r="71" spans="1:23" ht="16.5" customHeight="1">
      <c r="A71" s="93"/>
      <c r="B71" s="93"/>
      <c r="C71" s="93"/>
      <c r="D71" s="93"/>
      <c r="E71" s="93"/>
      <c r="F71" s="165"/>
      <c r="G71" s="165"/>
      <c r="H71" s="165"/>
      <c r="I71" s="95" t="s">
        <v>18</v>
      </c>
      <c r="J71" s="95"/>
      <c r="K71" s="95"/>
      <c r="L71" s="95"/>
      <c r="M71" s="95"/>
      <c r="N71" s="100" t="s">
        <v>184</v>
      </c>
      <c r="O71" s="100"/>
      <c r="P71" s="99">
        <f>P59-10</f>
        <v>151</v>
      </c>
      <c r="Q71" s="99"/>
      <c r="R71" s="99"/>
      <c r="S71" s="99"/>
      <c r="T71" s="99">
        <f>P71+10</f>
        <v>161</v>
      </c>
      <c r="U71" s="99"/>
      <c r="V71" s="99"/>
      <c r="W71" s="99"/>
    </row>
    <row r="72" spans="1:23" ht="16.5" customHeight="1">
      <c r="A72" s="93"/>
      <c r="B72" s="93"/>
      <c r="C72" s="93"/>
      <c r="D72" s="93"/>
      <c r="E72" s="93"/>
      <c r="F72" s="165"/>
      <c r="G72" s="165"/>
      <c r="H72" s="165"/>
      <c r="I72" s="95"/>
      <c r="J72" s="95"/>
      <c r="K72" s="95"/>
      <c r="L72" s="95"/>
      <c r="M72" s="95"/>
      <c r="N72" s="100" t="s">
        <v>186</v>
      </c>
      <c r="O72" s="100"/>
      <c r="P72" s="99">
        <f>CEILING(P71*0.92,0.5)</f>
        <v>139</v>
      </c>
      <c r="Q72" s="99"/>
      <c r="R72" s="99"/>
      <c r="S72" s="99"/>
      <c r="T72" s="99">
        <f>CEILING(T71*0.92,0.5)</f>
        <v>148.5</v>
      </c>
      <c r="U72" s="99"/>
      <c r="V72" s="99"/>
      <c r="W72" s="99"/>
    </row>
    <row r="73" spans="1:23" ht="16.5" customHeight="1">
      <c r="A73" s="93"/>
      <c r="B73" s="93"/>
      <c r="C73" s="93"/>
      <c r="D73" s="93"/>
      <c r="E73" s="93"/>
      <c r="F73" s="165"/>
      <c r="G73" s="165"/>
      <c r="H73" s="165"/>
      <c r="I73" s="95"/>
      <c r="J73" s="95"/>
      <c r="K73" s="95"/>
      <c r="L73" s="95"/>
      <c r="M73" s="95"/>
      <c r="N73" s="100" t="s">
        <v>96</v>
      </c>
      <c r="O73" s="100"/>
      <c r="P73" s="99">
        <f>P61-10</f>
        <v>132.5</v>
      </c>
      <c r="Q73" s="99"/>
      <c r="R73" s="99"/>
      <c r="S73" s="99"/>
      <c r="T73" s="99">
        <f>P73+10</f>
        <v>142.5</v>
      </c>
      <c r="U73" s="99"/>
      <c r="V73" s="99"/>
      <c r="W73" s="99"/>
    </row>
    <row r="74" spans="1:23" ht="16.5" customHeight="1">
      <c r="A74" s="93"/>
      <c r="B74" s="93"/>
      <c r="C74" s="93"/>
      <c r="D74" s="93"/>
      <c r="E74" s="93"/>
      <c r="F74" s="165"/>
      <c r="G74" s="165"/>
      <c r="H74" s="165"/>
      <c r="I74" s="97" t="s">
        <v>64</v>
      </c>
      <c r="J74" s="97"/>
      <c r="K74" s="97"/>
      <c r="L74" s="97"/>
      <c r="M74" s="97"/>
      <c r="N74" s="98" t="s">
        <v>184</v>
      </c>
      <c r="O74" s="98"/>
      <c r="P74" s="96">
        <f>CEILING(P71*0.57+5,0.5)</f>
        <v>91.5</v>
      </c>
      <c r="Q74" s="96"/>
      <c r="R74" s="96"/>
      <c r="S74" s="96"/>
      <c r="T74" s="96">
        <f>CEILING(T71*0.57+5,0.5)</f>
        <v>97</v>
      </c>
      <c r="U74" s="96"/>
      <c r="V74" s="96"/>
      <c r="W74" s="96"/>
    </row>
    <row r="75" spans="1:23" ht="16.5" customHeight="1">
      <c r="A75" s="93"/>
      <c r="B75" s="93"/>
      <c r="C75" s="93"/>
      <c r="D75" s="93"/>
      <c r="E75" s="93"/>
      <c r="F75" s="165"/>
      <c r="G75" s="165"/>
      <c r="H75" s="165"/>
      <c r="I75" s="97"/>
      <c r="J75" s="97"/>
      <c r="K75" s="97"/>
      <c r="L75" s="97"/>
      <c r="M75" s="97"/>
      <c r="N75" s="98" t="s">
        <v>186</v>
      </c>
      <c r="O75" s="98"/>
      <c r="P75" s="96">
        <f>CEILING(P74*0.92,0.5)</f>
        <v>84.5</v>
      </c>
      <c r="Q75" s="96"/>
      <c r="R75" s="96"/>
      <c r="S75" s="96"/>
      <c r="T75" s="96">
        <f>CEILING(T74*0.92,0.5)</f>
        <v>89.5</v>
      </c>
      <c r="U75" s="96"/>
      <c r="V75" s="96"/>
      <c r="W75" s="96"/>
    </row>
    <row r="76" spans="1:23" ht="16.5" customHeight="1">
      <c r="A76" s="93"/>
      <c r="B76" s="93"/>
      <c r="C76" s="93"/>
      <c r="D76" s="93"/>
      <c r="E76" s="93"/>
      <c r="F76" s="165"/>
      <c r="G76" s="165"/>
      <c r="H76" s="165"/>
      <c r="I76" s="97"/>
      <c r="J76" s="97"/>
      <c r="K76" s="97"/>
      <c r="L76" s="97"/>
      <c r="M76" s="97"/>
      <c r="N76" s="98" t="s">
        <v>96</v>
      </c>
      <c r="O76" s="98"/>
      <c r="P76" s="96">
        <f>CEILING(P73*0.57+5,0.5)</f>
        <v>81</v>
      </c>
      <c r="Q76" s="96"/>
      <c r="R76" s="96"/>
      <c r="S76" s="96"/>
      <c r="T76" s="96">
        <f>CEILING(T73*0.57+5,0.5)</f>
        <v>86.5</v>
      </c>
      <c r="U76" s="96"/>
      <c r="V76" s="96"/>
      <c r="W76" s="96"/>
    </row>
    <row r="77" spans="1:23" ht="16.5" customHeight="1">
      <c r="A77" s="93"/>
      <c r="B77" s="93"/>
      <c r="C77" s="93"/>
      <c r="D77" s="93"/>
      <c r="E77" s="93"/>
      <c r="F77" s="165"/>
      <c r="G77" s="165"/>
      <c r="H77" s="165"/>
      <c r="I77" s="82" t="s">
        <v>21</v>
      </c>
      <c r="J77" s="82"/>
      <c r="K77" s="82"/>
      <c r="L77" s="82"/>
      <c r="M77" s="82"/>
      <c r="N77" s="84" t="s">
        <v>184</v>
      </c>
      <c r="O77" s="84"/>
      <c r="P77" s="83">
        <f>P71-2</f>
        <v>149</v>
      </c>
      <c r="Q77" s="83"/>
      <c r="R77" s="83"/>
      <c r="S77" s="83"/>
      <c r="T77" s="83">
        <f>P77+8</f>
        <v>157</v>
      </c>
      <c r="U77" s="83"/>
      <c r="V77" s="83"/>
      <c r="W77" s="83"/>
    </row>
    <row r="78" spans="1:23" ht="16.5" customHeight="1">
      <c r="A78" s="93"/>
      <c r="B78" s="93"/>
      <c r="C78" s="93"/>
      <c r="D78" s="93"/>
      <c r="E78" s="93"/>
      <c r="F78" s="165"/>
      <c r="G78" s="165"/>
      <c r="H78" s="165"/>
      <c r="I78" s="82"/>
      <c r="J78" s="82"/>
      <c r="K78" s="82"/>
      <c r="L78" s="82"/>
      <c r="M78" s="82"/>
      <c r="N78" s="84" t="s">
        <v>186</v>
      </c>
      <c r="O78" s="84"/>
      <c r="P78" s="83">
        <f>CEILING(P77*0.92,0.5)</f>
        <v>137.5</v>
      </c>
      <c r="Q78" s="83"/>
      <c r="R78" s="83"/>
      <c r="S78" s="83"/>
      <c r="T78" s="83">
        <f>CEILING(T77*0.92,0.5)</f>
        <v>144.5</v>
      </c>
      <c r="U78" s="83"/>
      <c r="V78" s="83"/>
      <c r="W78" s="83"/>
    </row>
    <row r="79" spans="1:23" ht="16.5" customHeight="1">
      <c r="A79" s="93"/>
      <c r="B79" s="93"/>
      <c r="C79" s="93"/>
      <c r="D79" s="93"/>
      <c r="E79" s="93"/>
      <c r="F79" s="165"/>
      <c r="G79" s="165"/>
      <c r="H79" s="165"/>
      <c r="I79" s="82"/>
      <c r="J79" s="82"/>
      <c r="K79" s="82"/>
      <c r="L79" s="82"/>
      <c r="M79" s="82"/>
      <c r="N79" s="84" t="s">
        <v>96</v>
      </c>
      <c r="O79" s="84"/>
      <c r="P79" s="83">
        <f>P73-2</f>
        <v>130.5</v>
      </c>
      <c r="Q79" s="83"/>
      <c r="R79" s="83"/>
      <c r="S79" s="83"/>
      <c r="T79" s="83">
        <f>P79+8</f>
        <v>138.5</v>
      </c>
      <c r="U79" s="83"/>
      <c r="V79" s="83"/>
      <c r="W79" s="83"/>
    </row>
    <row r="80" spans="1:23" ht="16.5" customHeight="1">
      <c r="A80" s="93"/>
      <c r="B80" s="93"/>
      <c r="C80" s="93"/>
      <c r="D80" s="93"/>
      <c r="E80" s="93"/>
      <c r="F80" s="165"/>
      <c r="G80" s="165"/>
      <c r="H80" s="165"/>
      <c r="I80" s="80" t="s">
        <v>75</v>
      </c>
      <c r="J80" s="80"/>
      <c r="K80" s="80"/>
      <c r="L80" s="80"/>
      <c r="M80" s="80"/>
      <c r="N80" s="81" t="s">
        <v>184</v>
      </c>
      <c r="O80" s="81"/>
      <c r="P80" s="89">
        <f>CEILING(P77*0.57+5,0.5)</f>
        <v>90</v>
      </c>
      <c r="Q80" s="89"/>
      <c r="R80" s="89"/>
      <c r="S80" s="89"/>
      <c r="T80" s="89">
        <f>CEILING(T77*0.57+5,0.5)</f>
        <v>94.5</v>
      </c>
      <c r="U80" s="89"/>
      <c r="V80" s="89"/>
      <c r="W80" s="89"/>
    </row>
    <row r="81" spans="1:45" ht="16.5" customHeight="1">
      <c r="A81" s="93"/>
      <c r="B81" s="93"/>
      <c r="C81" s="93"/>
      <c r="D81" s="93"/>
      <c r="E81" s="93"/>
      <c r="F81" s="165"/>
      <c r="G81" s="165"/>
      <c r="H81" s="165"/>
      <c r="I81" s="80"/>
      <c r="J81" s="80"/>
      <c r="K81" s="80"/>
      <c r="L81" s="80"/>
      <c r="M81" s="80"/>
      <c r="N81" s="81" t="s">
        <v>186</v>
      </c>
      <c r="O81" s="81"/>
      <c r="P81" s="89">
        <f>CEILING(P80*0.92,0.5)</f>
        <v>83</v>
      </c>
      <c r="Q81" s="89"/>
      <c r="R81" s="89"/>
      <c r="S81" s="89"/>
      <c r="T81" s="89">
        <f>CEILING(T80*0.92,0.5)</f>
        <v>87</v>
      </c>
      <c r="U81" s="89"/>
      <c r="V81" s="89"/>
      <c r="W81" s="89"/>
    </row>
    <row r="82" spans="1:45" ht="16.5" customHeight="1">
      <c r="A82" s="93"/>
      <c r="B82" s="93"/>
      <c r="C82" s="93"/>
      <c r="D82" s="93"/>
      <c r="E82" s="93"/>
      <c r="F82" s="167"/>
      <c r="G82" s="167"/>
      <c r="H82" s="167"/>
      <c r="I82" s="80"/>
      <c r="J82" s="80"/>
      <c r="K82" s="80"/>
      <c r="L82" s="80"/>
      <c r="M82" s="80"/>
      <c r="N82" s="81" t="s">
        <v>96</v>
      </c>
      <c r="O82" s="81"/>
      <c r="P82" s="89">
        <f>CEILING(P79*0.57+5,0.5)</f>
        <v>79.5</v>
      </c>
      <c r="Q82" s="89"/>
      <c r="R82" s="89"/>
      <c r="S82" s="89"/>
      <c r="T82" s="89">
        <f>CEILING(T79*0.57+5,0.5)</f>
        <v>84</v>
      </c>
      <c r="U82" s="89"/>
      <c r="V82" s="89"/>
      <c r="W82" s="89"/>
    </row>
    <row r="83" spans="1:45" ht="16.5" customHeight="1">
      <c r="A83" s="71" t="s">
        <v>266</v>
      </c>
      <c r="B83" s="72"/>
      <c r="C83" s="10"/>
      <c r="D83" s="10"/>
      <c r="E83" s="10"/>
      <c r="F83" s="14"/>
      <c r="G83" s="14"/>
      <c r="H83" s="14"/>
      <c r="I83" s="14"/>
      <c r="J83" s="14"/>
      <c r="K83" s="14"/>
      <c r="L83" s="14"/>
      <c r="M83" s="14"/>
      <c r="N83" s="14"/>
      <c r="O83" s="14"/>
      <c r="P83" s="14"/>
      <c r="Q83" s="14"/>
      <c r="R83" s="14"/>
      <c r="S83" s="14"/>
      <c r="T83" s="14"/>
      <c r="Z83" s="71"/>
      <c r="AA83" s="72"/>
      <c r="AB83" s="10"/>
      <c r="AC83" s="10"/>
      <c r="AD83" s="10"/>
      <c r="AE83" s="14"/>
      <c r="AF83" s="14"/>
      <c r="AG83" s="14"/>
      <c r="AH83" s="14"/>
      <c r="AI83" s="14"/>
      <c r="AJ83" s="14"/>
      <c r="AK83" s="14"/>
      <c r="AL83" s="14"/>
      <c r="AM83" s="14"/>
      <c r="AN83" s="14"/>
      <c r="AO83" s="14"/>
      <c r="AP83" s="14"/>
      <c r="AQ83" s="14"/>
      <c r="AR83" s="14"/>
      <c r="AS83" s="14"/>
    </row>
    <row r="84" spans="1:45" ht="16.5" customHeight="1">
      <c r="A84" s="71" t="s">
        <v>267</v>
      </c>
      <c r="B84" s="72"/>
      <c r="C84" s="10"/>
      <c r="D84" s="10"/>
      <c r="E84" s="10"/>
      <c r="F84" s="10"/>
      <c r="G84" s="10"/>
      <c r="H84" s="10"/>
      <c r="I84" s="10"/>
      <c r="Z84" s="71"/>
      <c r="AA84" s="72"/>
      <c r="AB84" s="10"/>
      <c r="AC84" s="10"/>
      <c r="AD84" s="10"/>
      <c r="AE84" s="10"/>
      <c r="AF84" s="10"/>
      <c r="AG84" s="10"/>
      <c r="AH84" s="10"/>
    </row>
    <row r="85" spans="1:45" ht="16.5" customHeight="1">
      <c r="A85" s="71" t="s">
        <v>25</v>
      </c>
      <c r="B85" s="72"/>
      <c r="C85" s="10"/>
      <c r="D85" s="10"/>
      <c r="E85" s="10"/>
      <c r="F85" s="10"/>
      <c r="G85" s="10"/>
      <c r="H85" s="10"/>
      <c r="I85" s="10"/>
      <c r="Z85" s="71"/>
      <c r="AA85" s="72"/>
      <c r="AB85" s="10"/>
      <c r="AC85" s="10"/>
      <c r="AD85" s="10"/>
      <c r="AE85" s="10"/>
      <c r="AF85" s="10"/>
      <c r="AG85" s="10"/>
      <c r="AH85" s="10"/>
    </row>
    <row r="86" spans="1:45" ht="16.5" customHeight="1">
      <c r="A86" s="71" t="s">
        <v>26</v>
      </c>
      <c r="B86" s="72"/>
      <c r="C86" s="10"/>
      <c r="D86" s="10"/>
      <c r="E86" s="10"/>
      <c r="F86" s="10"/>
      <c r="G86" s="10"/>
      <c r="H86" s="10"/>
      <c r="I86" s="10"/>
      <c r="Z86" s="71"/>
      <c r="AA86" s="72"/>
      <c r="AB86" s="10"/>
      <c r="AC86" s="10"/>
      <c r="AD86" s="10"/>
      <c r="AE86" s="10"/>
      <c r="AF86" s="10"/>
      <c r="AG86" s="10"/>
      <c r="AH86" s="10"/>
    </row>
    <row r="87" spans="1:45" ht="16.5" customHeight="1" thickBot="1"/>
    <row r="88" spans="1:45" ht="16.5" customHeight="1" thickTop="1">
      <c r="A88" s="90" t="s">
        <v>27</v>
      </c>
      <c r="B88" s="91"/>
      <c r="C88" s="91"/>
      <c r="D88" s="91"/>
      <c r="E88" s="91"/>
      <c r="F88" s="91"/>
      <c r="G88" s="91"/>
      <c r="H88" s="91"/>
      <c r="I88" s="91"/>
      <c r="J88" s="91"/>
      <c r="K88" s="91"/>
      <c r="L88" s="91"/>
      <c r="M88" s="91"/>
      <c r="N88" s="91"/>
      <c r="O88" s="91"/>
      <c r="P88" s="91"/>
      <c r="Q88" s="91"/>
      <c r="R88" s="91"/>
      <c r="S88" s="91"/>
      <c r="T88" s="92"/>
    </row>
    <row r="89" spans="1:45" ht="16.5" customHeight="1" thickBot="1">
      <c r="A89" s="85" t="s">
        <v>73</v>
      </c>
      <c r="B89" s="86"/>
      <c r="C89" s="86"/>
      <c r="D89" s="86"/>
      <c r="E89" s="86"/>
      <c r="F89" s="86"/>
      <c r="G89" s="86"/>
      <c r="H89" s="87"/>
      <c r="I89" s="86" t="s">
        <v>74</v>
      </c>
      <c r="J89" s="86"/>
      <c r="K89" s="86"/>
      <c r="L89" s="86"/>
      <c r="M89" s="86"/>
      <c r="N89" s="86"/>
      <c r="O89" s="86"/>
      <c r="P89" s="86"/>
      <c r="Q89" s="86"/>
      <c r="R89" s="86"/>
      <c r="S89" s="86"/>
      <c r="T89" s="88"/>
    </row>
    <row r="90" spans="1:45" ht="16.5" customHeight="1" thickTop="1"/>
    <row r="91" spans="1:45" ht="16.5" customHeight="1"/>
    <row r="92" spans="1:45" ht="16.5" customHeight="1"/>
    <row r="93" spans="1:45" ht="16.5" customHeight="1"/>
    <row r="94" spans="1:45" ht="16.5" customHeight="1"/>
    <row r="95" spans="1:45" ht="16.5" customHeight="1"/>
    <row r="96" spans="1:45"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sheetData>
  <mergeCells count="291">
    <mergeCell ref="N79:O79"/>
    <mergeCell ref="P79:S79"/>
    <mergeCell ref="I74:M76"/>
    <mergeCell ref="N74:O74"/>
    <mergeCell ref="P74:S74"/>
    <mergeCell ref="T74:W74"/>
    <mergeCell ref="N75:O75"/>
    <mergeCell ref="I80:M82"/>
    <mergeCell ref="N80:O80"/>
    <mergeCell ref="P80:S80"/>
    <mergeCell ref="T80:W80"/>
    <mergeCell ref="N81:O81"/>
    <mergeCell ref="P75:S75"/>
    <mergeCell ref="T75:W75"/>
    <mergeCell ref="N76:O76"/>
    <mergeCell ref="P76:S76"/>
    <mergeCell ref="T76:W76"/>
    <mergeCell ref="I77:M79"/>
    <mergeCell ref="N77:O77"/>
    <mergeCell ref="P77:S77"/>
    <mergeCell ref="T77:W77"/>
    <mergeCell ref="P81:S81"/>
    <mergeCell ref="T81:W81"/>
    <mergeCell ref="N82:O82"/>
    <mergeCell ref="P82:S82"/>
    <mergeCell ref="T79:W79"/>
    <mergeCell ref="A39:T39"/>
    <mergeCell ref="N65:O65"/>
    <mergeCell ref="P65:S65"/>
    <mergeCell ref="T65:W65"/>
    <mergeCell ref="A40:H40"/>
    <mergeCell ref="I68:M70"/>
    <mergeCell ref="N68:O68"/>
    <mergeCell ref="P68:S68"/>
    <mergeCell ref="T68:W68"/>
    <mergeCell ref="N69:O69"/>
    <mergeCell ref="I65:M67"/>
    <mergeCell ref="P69:S69"/>
    <mergeCell ref="T69:W69"/>
    <mergeCell ref="N70:O70"/>
    <mergeCell ref="P70:S70"/>
    <mergeCell ref="T70:W70"/>
    <mergeCell ref="I40:T40"/>
    <mergeCell ref="N66:O66"/>
    <mergeCell ref="T82:W82"/>
    <mergeCell ref="A41:H41"/>
    <mergeCell ref="I41:T41"/>
    <mergeCell ref="T62:W62"/>
    <mergeCell ref="N63:O63"/>
    <mergeCell ref="P63:S63"/>
    <mergeCell ref="N67:O67"/>
    <mergeCell ref="P67:S67"/>
    <mergeCell ref="T67:W67"/>
    <mergeCell ref="N78:O78"/>
    <mergeCell ref="P78:S78"/>
    <mergeCell ref="T78:W78"/>
    <mergeCell ref="I71:M73"/>
    <mergeCell ref="N71:O71"/>
    <mergeCell ref="P71:S71"/>
    <mergeCell ref="T63:W63"/>
    <mergeCell ref="N64:O64"/>
    <mergeCell ref="P64:S64"/>
    <mergeCell ref="T64:W64"/>
    <mergeCell ref="T71:W71"/>
    <mergeCell ref="N72:O72"/>
    <mergeCell ref="P72:S72"/>
    <mergeCell ref="T72:W72"/>
    <mergeCell ref="N73:O73"/>
    <mergeCell ref="P73:S73"/>
    <mergeCell ref="T73:W73"/>
    <mergeCell ref="P66:S66"/>
    <mergeCell ref="T66:W66"/>
    <mergeCell ref="AO31:AR31"/>
    <mergeCell ref="AS31:AV31"/>
    <mergeCell ref="N32:O32"/>
    <mergeCell ref="P32:S32"/>
    <mergeCell ref="T32:W32"/>
    <mergeCell ref="AM32:AN32"/>
    <mergeCell ref="AO32:AR32"/>
    <mergeCell ref="AS32:AV32"/>
    <mergeCell ref="I31:M33"/>
    <mergeCell ref="N31:O31"/>
    <mergeCell ref="P31:S31"/>
    <mergeCell ref="T31:W31"/>
    <mergeCell ref="AH31:AL33"/>
    <mergeCell ref="AM31:AN31"/>
    <mergeCell ref="N33:O33"/>
    <mergeCell ref="P33:S33"/>
    <mergeCell ref="T33:W33"/>
    <mergeCell ref="AM33:AN33"/>
    <mergeCell ref="AO33:AR33"/>
    <mergeCell ref="AS33:AV33"/>
    <mergeCell ref="I28:M30"/>
    <mergeCell ref="N28:O28"/>
    <mergeCell ref="P28:S28"/>
    <mergeCell ref="T28:W28"/>
    <mergeCell ref="AH28:AL30"/>
    <mergeCell ref="AM28:AN28"/>
    <mergeCell ref="AO28:AR28"/>
    <mergeCell ref="AS28:AV28"/>
    <mergeCell ref="N30:O30"/>
    <mergeCell ref="P30:S30"/>
    <mergeCell ref="T30:W30"/>
    <mergeCell ref="AM30:AN30"/>
    <mergeCell ref="AO30:AR30"/>
    <mergeCell ref="AS30:AV30"/>
    <mergeCell ref="N29:O29"/>
    <mergeCell ref="P29:S29"/>
    <mergeCell ref="T29:W29"/>
    <mergeCell ref="AM29:AN29"/>
    <mergeCell ref="AO29:AR29"/>
    <mergeCell ref="AS29:AV29"/>
    <mergeCell ref="AO25:AR25"/>
    <mergeCell ref="AS25:AV25"/>
    <mergeCell ref="N26:O26"/>
    <mergeCell ref="P26:S26"/>
    <mergeCell ref="T26:W26"/>
    <mergeCell ref="AM26:AN26"/>
    <mergeCell ref="AO26:AR26"/>
    <mergeCell ref="AS26:AV26"/>
    <mergeCell ref="I25:M27"/>
    <mergeCell ref="N25:O25"/>
    <mergeCell ref="P25:S25"/>
    <mergeCell ref="T25:W25"/>
    <mergeCell ref="AH25:AL27"/>
    <mergeCell ref="AM25:AN25"/>
    <mergeCell ref="N27:O27"/>
    <mergeCell ref="P27:S27"/>
    <mergeCell ref="T27:W27"/>
    <mergeCell ref="AM27:AN27"/>
    <mergeCell ref="AO27:AR27"/>
    <mergeCell ref="AS27:AV27"/>
    <mergeCell ref="I22:M24"/>
    <mergeCell ref="N22:O22"/>
    <mergeCell ref="P22:S22"/>
    <mergeCell ref="T22:W22"/>
    <mergeCell ref="AH22:AL24"/>
    <mergeCell ref="AM22:AN22"/>
    <mergeCell ref="AO22:AR22"/>
    <mergeCell ref="AS22:AV22"/>
    <mergeCell ref="N24:O24"/>
    <mergeCell ref="P24:S24"/>
    <mergeCell ref="T24:W24"/>
    <mergeCell ref="AM24:AN24"/>
    <mergeCell ref="AO24:AR24"/>
    <mergeCell ref="AS24:AV24"/>
    <mergeCell ref="N23:O23"/>
    <mergeCell ref="P23:S23"/>
    <mergeCell ref="T23:W23"/>
    <mergeCell ref="AM23:AN23"/>
    <mergeCell ref="AO23:AR23"/>
    <mergeCell ref="AS23:AV23"/>
    <mergeCell ref="AO19:AR19"/>
    <mergeCell ref="AS19:AV19"/>
    <mergeCell ref="N20:O20"/>
    <mergeCell ref="P20:S20"/>
    <mergeCell ref="T20:W20"/>
    <mergeCell ref="AM20:AN20"/>
    <mergeCell ref="AO20:AR20"/>
    <mergeCell ref="AS20:AV20"/>
    <mergeCell ref="I19:M21"/>
    <mergeCell ref="N19:O19"/>
    <mergeCell ref="P19:S19"/>
    <mergeCell ref="T19:W19"/>
    <mergeCell ref="AH19:AL21"/>
    <mergeCell ref="AM19:AN19"/>
    <mergeCell ref="N21:O21"/>
    <mergeCell ref="P21:S21"/>
    <mergeCell ref="T21:W21"/>
    <mergeCell ref="AM21:AN21"/>
    <mergeCell ref="AO21:AR21"/>
    <mergeCell ref="AS21:AV21"/>
    <mergeCell ref="I16:M18"/>
    <mergeCell ref="N16:O16"/>
    <mergeCell ref="P16:S16"/>
    <mergeCell ref="T16:W16"/>
    <mergeCell ref="AH16:AL18"/>
    <mergeCell ref="AM16:AN16"/>
    <mergeCell ref="AO16:AR16"/>
    <mergeCell ref="AS16:AV16"/>
    <mergeCell ref="N18:O18"/>
    <mergeCell ref="P18:S18"/>
    <mergeCell ref="T18:W18"/>
    <mergeCell ref="AM18:AN18"/>
    <mergeCell ref="AO18:AR18"/>
    <mergeCell ref="AS18:AV18"/>
    <mergeCell ref="N17:O17"/>
    <mergeCell ref="P17:S17"/>
    <mergeCell ref="T17:W17"/>
    <mergeCell ref="AM17:AN17"/>
    <mergeCell ref="AO17:AR17"/>
    <mergeCell ref="AS17:AV17"/>
    <mergeCell ref="N14:O14"/>
    <mergeCell ref="P14:S14"/>
    <mergeCell ref="T14:W14"/>
    <mergeCell ref="AM14:AN14"/>
    <mergeCell ref="AO14:AR14"/>
    <mergeCell ref="AS14:AV14"/>
    <mergeCell ref="I13:M15"/>
    <mergeCell ref="N13:O13"/>
    <mergeCell ref="P13:S13"/>
    <mergeCell ref="T13:W13"/>
    <mergeCell ref="AH13:AL15"/>
    <mergeCell ref="AM13:AN13"/>
    <mergeCell ref="N15:O15"/>
    <mergeCell ref="P15:S15"/>
    <mergeCell ref="T15:W15"/>
    <mergeCell ref="AM15:AN15"/>
    <mergeCell ref="AO15:AR15"/>
    <mergeCell ref="AS15:AV15"/>
    <mergeCell ref="AS10:AV10"/>
    <mergeCell ref="N11:O11"/>
    <mergeCell ref="P11:S11"/>
    <mergeCell ref="T11:W11"/>
    <mergeCell ref="AM11:AN11"/>
    <mergeCell ref="AO11:AR11"/>
    <mergeCell ref="AS11:AV11"/>
    <mergeCell ref="AO13:AR13"/>
    <mergeCell ref="AS13:AV13"/>
    <mergeCell ref="AS9:AV9"/>
    <mergeCell ref="A10:E33"/>
    <mergeCell ref="F10:H33"/>
    <mergeCell ref="I10:M12"/>
    <mergeCell ref="N10:O10"/>
    <mergeCell ref="P10:S10"/>
    <mergeCell ref="T10:W10"/>
    <mergeCell ref="Z10:AD33"/>
    <mergeCell ref="AE10:AG33"/>
    <mergeCell ref="AH10:AL12"/>
    <mergeCell ref="T9:W9"/>
    <mergeCell ref="Z9:AD9"/>
    <mergeCell ref="AE9:AG9"/>
    <mergeCell ref="AH9:AL9"/>
    <mergeCell ref="AM9:AN9"/>
    <mergeCell ref="AO9:AR9"/>
    <mergeCell ref="N12:O12"/>
    <mergeCell ref="P12:S12"/>
    <mergeCell ref="T12:W12"/>
    <mergeCell ref="AM12:AN12"/>
    <mergeCell ref="AO12:AR12"/>
    <mergeCell ref="AS12:AV12"/>
    <mergeCell ref="AM10:AN10"/>
    <mergeCell ref="AO10:AR10"/>
    <mergeCell ref="A9:E9"/>
    <mergeCell ref="F9:H9"/>
    <mergeCell ref="I9:M9"/>
    <mergeCell ref="N9:O9"/>
    <mergeCell ref="P9:S9"/>
    <mergeCell ref="A6:K7"/>
    <mergeCell ref="AE6:AF6"/>
    <mergeCell ref="AG6:AM6"/>
    <mergeCell ref="AN6:AO6"/>
    <mergeCell ref="AE5:AF5"/>
    <mergeCell ref="AG5:AM5"/>
    <mergeCell ref="AN5:AO5"/>
    <mergeCell ref="AP5:AV5"/>
    <mergeCell ref="A4:K5"/>
    <mergeCell ref="L4:AB7"/>
    <mergeCell ref="AE4:AF4"/>
    <mergeCell ref="AG4:AM4"/>
    <mergeCell ref="AN4:AO4"/>
    <mergeCell ref="AP4:AV4"/>
    <mergeCell ref="AE7:AF7"/>
    <mergeCell ref="AG7:AM7"/>
    <mergeCell ref="AN7:AO7"/>
    <mergeCell ref="AP7:AV7"/>
    <mergeCell ref="AP6:AV6"/>
    <mergeCell ref="A88:T88"/>
    <mergeCell ref="A89:H89"/>
    <mergeCell ref="I89:T89"/>
    <mergeCell ref="A58:E58"/>
    <mergeCell ref="F58:H58"/>
    <mergeCell ref="I58:M58"/>
    <mergeCell ref="N58:O58"/>
    <mergeCell ref="P58:S58"/>
    <mergeCell ref="T58:W58"/>
    <mergeCell ref="A59:E82"/>
    <mergeCell ref="F59:H82"/>
    <mergeCell ref="I59:M61"/>
    <mergeCell ref="N59:O59"/>
    <mergeCell ref="P59:S59"/>
    <mergeCell ref="T59:W59"/>
    <mergeCell ref="N60:O60"/>
    <mergeCell ref="P60:S60"/>
    <mergeCell ref="T60:W60"/>
    <mergeCell ref="N61:O61"/>
    <mergeCell ref="P61:S61"/>
    <mergeCell ref="T61:W61"/>
    <mergeCell ref="I62:M64"/>
    <mergeCell ref="N62:O62"/>
    <mergeCell ref="P62:S62"/>
  </mergeCells>
  <phoneticPr fontId="2"/>
  <pageMargins left="0.39370078740157483" right="0.39370078740157483" top="0.59055118110236227" bottom="0.39370078740157483" header="0.51181102362204722" footer="0.19685039370078741"/>
  <pageSetup paperSize="9" scale="90" firstPageNumber="24" orientation="portrait" useFirstPageNumber="1" r:id="rId1"/>
  <headerFooter alignWithMargins="0">
    <oddFooter>&amp;C20260511臨時改定価格_SP_SFポリ&amp;R&amp;P/&amp;N</oddFooter>
  </headerFooter>
  <rowBreaks count="1" manualBreakCount="1">
    <brk id="54" max="62"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0EFC-A9E0-411C-8C9C-F16F9DE70C1A}">
  <sheetPr>
    <tabColor indexed="10"/>
  </sheetPr>
  <dimension ref="A1:BY279"/>
  <sheetViews>
    <sheetView view="pageBreakPreview" zoomScaleSheetLayoutView="100" workbookViewId="0">
      <selection activeCell="BS8" sqref="BS8"/>
    </sheetView>
  </sheetViews>
  <sheetFormatPr defaultColWidth="8.875" defaultRowHeight="13.5"/>
  <cols>
    <col min="1" max="94" width="1.625" style="1" customWidth="1"/>
    <col min="95" max="16384" width="8.875" style="1"/>
  </cols>
  <sheetData>
    <row r="1" spans="1:66"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6" ht="16.5" customHeight="1">
      <c r="A2" s="9"/>
      <c r="X2" s="10"/>
      <c r="Y2" s="10"/>
      <c r="Z2" s="10"/>
      <c r="AA2" s="10"/>
      <c r="AB2" s="10"/>
      <c r="AC2" s="10"/>
      <c r="AD2" s="10"/>
      <c r="AE2" s="10"/>
      <c r="AQ2" s="12"/>
      <c r="AR2" s="12"/>
      <c r="AS2" s="12"/>
      <c r="AT2" s="12"/>
      <c r="AU2" s="12"/>
      <c r="AV2" s="12"/>
      <c r="AW2" s="12"/>
      <c r="AX2" s="12"/>
      <c r="AY2" s="12"/>
      <c r="AZ2" s="12"/>
      <c r="BA2" s="12"/>
      <c r="BB2" s="12"/>
      <c r="BC2" s="12"/>
      <c r="BD2" s="12"/>
      <c r="BE2" s="12"/>
      <c r="BF2" s="12"/>
      <c r="BG2" s="12"/>
      <c r="BH2" s="12"/>
      <c r="BI2" s="12"/>
      <c r="BJ2" s="12"/>
    </row>
    <row r="3" spans="1:66" ht="16.5" customHeight="1">
      <c r="AL3" s="14"/>
      <c r="AM3" s="14"/>
      <c r="AN3" s="14"/>
      <c r="AO3" s="14"/>
      <c r="AP3" s="14"/>
      <c r="AQ3" s="14"/>
      <c r="AR3" s="14"/>
      <c r="AS3" s="14"/>
      <c r="AT3" s="14"/>
      <c r="AU3" s="14"/>
      <c r="AV3" s="14"/>
      <c r="AW3" s="14"/>
      <c r="AX3" s="14"/>
      <c r="AY3" s="14"/>
      <c r="AZ3" s="14"/>
      <c r="BA3" s="14"/>
      <c r="BB3" s="14"/>
      <c r="BC3" s="14"/>
      <c r="BD3" s="14"/>
      <c r="BE3" s="14"/>
    </row>
    <row r="4" spans="1:66" ht="16.5" customHeight="1">
      <c r="A4" s="109" t="s">
        <v>0</v>
      </c>
      <c r="B4" s="110"/>
      <c r="C4" s="110"/>
      <c r="D4" s="110"/>
      <c r="E4" s="110"/>
      <c r="F4" s="110"/>
      <c r="G4" s="110"/>
      <c r="H4" s="110"/>
      <c r="I4" s="110"/>
      <c r="J4" s="110"/>
      <c r="K4" s="110"/>
      <c r="L4" s="390" t="s">
        <v>288</v>
      </c>
      <c r="M4" s="391"/>
      <c r="N4" s="391"/>
      <c r="O4" s="391"/>
      <c r="P4" s="391"/>
      <c r="Q4" s="391"/>
      <c r="R4" s="391"/>
      <c r="S4" s="391"/>
      <c r="T4" s="391"/>
      <c r="U4" s="391"/>
      <c r="V4" s="391"/>
      <c r="W4" s="391"/>
      <c r="X4" s="391"/>
      <c r="Y4" s="391"/>
      <c r="Z4" s="391"/>
      <c r="AA4" s="391"/>
      <c r="AB4" s="391"/>
      <c r="AC4" s="74"/>
      <c r="AD4" s="74"/>
      <c r="AE4" s="119">
        <v>804</v>
      </c>
      <c r="AF4" s="119"/>
      <c r="AG4" s="140" t="s">
        <v>289</v>
      </c>
      <c r="AH4" s="140"/>
      <c r="AI4" s="140"/>
      <c r="AJ4" s="140"/>
      <c r="AK4" s="140"/>
      <c r="AL4" s="140"/>
      <c r="AM4" s="140"/>
      <c r="AN4" s="119">
        <v>899</v>
      </c>
      <c r="AO4" s="119"/>
      <c r="AP4" s="140" t="s">
        <v>290</v>
      </c>
      <c r="AQ4" s="140"/>
      <c r="AR4" s="140"/>
      <c r="AS4" s="140"/>
      <c r="AT4" s="140"/>
      <c r="AU4" s="140"/>
      <c r="AV4" s="140"/>
      <c r="AW4" s="119">
        <v>911</v>
      </c>
      <c r="AX4" s="119"/>
      <c r="AY4" s="140" t="s">
        <v>291</v>
      </c>
      <c r="AZ4" s="140"/>
      <c r="BA4" s="140"/>
      <c r="BB4" s="140"/>
      <c r="BC4" s="140"/>
      <c r="BD4" s="140"/>
      <c r="BE4" s="140"/>
      <c r="BF4" s="14"/>
      <c r="BG4" s="14"/>
      <c r="BH4" s="14"/>
    </row>
    <row r="5" spans="1:66" ht="16.5" customHeight="1">
      <c r="A5" s="111"/>
      <c r="B5" s="112"/>
      <c r="C5" s="112"/>
      <c r="D5" s="112"/>
      <c r="E5" s="112"/>
      <c r="F5" s="112"/>
      <c r="G5" s="112"/>
      <c r="H5" s="112"/>
      <c r="I5" s="112"/>
      <c r="J5" s="112"/>
      <c r="K5" s="112"/>
      <c r="L5" s="392"/>
      <c r="M5" s="393"/>
      <c r="N5" s="393"/>
      <c r="O5" s="393"/>
      <c r="P5" s="393"/>
      <c r="Q5" s="393"/>
      <c r="R5" s="393"/>
      <c r="S5" s="393"/>
      <c r="T5" s="393"/>
      <c r="U5" s="393"/>
      <c r="V5" s="393"/>
      <c r="W5" s="393"/>
      <c r="X5" s="393"/>
      <c r="Y5" s="393"/>
      <c r="Z5" s="393"/>
      <c r="AA5" s="393"/>
      <c r="AB5" s="393"/>
      <c r="AC5" s="74"/>
      <c r="AD5" s="74"/>
      <c r="AE5" s="141">
        <v>805</v>
      </c>
      <c r="AF5" s="141"/>
      <c r="AG5" s="142" t="s">
        <v>292</v>
      </c>
      <c r="AH5" s="142"/>
      <c r="AI5" s="142"/>
      <c r="AJ5" s="142"/>
      <c r="AK5" s="142"/>
      <c r="AL5" s="142"/>
      <c r="AM5" s="142"/>
      <c r="AN5" s="121">
        <v>900</v>
      </c>
      <c r="AO5" s="121"/>
      <c r="AP5" s="310" t="s">
        <v>293</v>
      </c>
      <c r="AQ5" s="310"/>
      <c r="AR5" s="310"/>
      <c r="AS5" s="310"/>
      <c r="AT5" s="310"/>
      <c r="AU5" s="310"/>
      <c r="AV5" s="310"/>
      <c r="AW5" s="141">
        <v>954</v>
      </c>
      <c r="AX5" s="141"/>
      <c r="AY5" s="142" t="s">
        <v>294</v>
      </c>
      <c r="AZ5" s="142"/>
      <c r="BA5" s="142"/>
      <c r="BB5" s="142"/>
      <c r="BC5" s="142"/>
      <c r="BD5" s="142"/>
      <c r="BE5" s="142"/>
    </row>
    <row r="6" spans="1:66" ht="16.5" customHeight="1">
      <c r="A6" s="103" t="s">
        <v>2</v>
      </c>
      <c r="B6" s="104"/>
      <c r="C6" s="104"/>
      <c r="D6" s="104"/>
      <c r="E6" s="104"/>
      <c r="F6" s="104"/>
      <c r="G6" s="104"/>
      <c r="H6" s="104"/>
      <c r="I6" s="104"/>
      <c r="J6" s="104"/>
      <c r="K6" s="105"/>
      <c r="L6" s="392"/>
      <c r="M6" s="393"/>
      <c r="N6" s="393"/>
      <c r="O6" s="393"/>
      <c r="P6" s="393"/>
      <c r="Q6" s="393"/>
      <c r="R6" s="393"/>
      <c r="S6" s="393"/>
      <c r="T6" s="393"/>
      <c r="U6" s="393"/>
      <c r="V6" s="393"/>
      <c r="W6" s="393"/>
      <c r="X6" s="393"/>
      <c r="Y6" s="393"/>
      <c r="Z6" s="393"/>
      <c r="AA6" s="393"/>
      <c r="AB6" s="393"/>
      <c r="AC6" s="74"/>
      <c r="AD6" s="74"/>
      <c r="AE6" s="141">
        <v>897</v>
      </c>
      <c r="AF6" s="141"/>
      <c r="AG6" s="142" t="s">
        <v>295</v>
      </c>
      <c r="AH6" s="142"/>
      <c r="AI6" s="142"/>
      <c r="AJ6" s="142"/>
      <c r="AK6" s="142"/>
      <c r="AL6" s="142"/>
      <c r="AM6" s="142"/>
      <c r="AN6" s="141">
        <v>909</v>
      </c>
      <c r="AO6" s="141"/>
      <c r="AP6" s="142" t="s">
        <v>296</v>
      </c>
      <c r="AQ6" s="142"/>
      <c r="AR6" s="142"/>
      <c r="AS6" s="142"/>
      <c r="AT6" s="142"/>
      <c r="AU6" s="142"/>
      <c r="AV6" s="142"/>
      <c r="AW6" s="141">
        <v>989</v>
      </c>
      <c r="AX6" s="141"/>
      <c r="AY6" s="142" t="s">
        <v>297</v>
      </c>
      <c r="AZ6" s="142"/>
      <c r="BA6" s="142"/>
      <c r="BB6" s="142"/>
      <c r="BC6" s="142"/>
      <c r="BD6" s="142"/>
      <c r="BE6" s="142"/>
    </row>
    <row r="7" spans="1:66" ht="16.5" customHeight="1">
      <c r="A7" s="106"/>
      <c r="B7" s="107"/>
      <c r="C7" s="107"/>
      <c r="D7" s="107"/>
      <c r="E7" s="107"/>
      <c r="F7" s="107"/>
      <c r="G7" s="107"/>
      <c r="H7" s="107"/>
      <c r="I7" s="107"/>
      <c r="J7" s="107"/>
      <c r="K7" s="108"/>
      <c r="L7" s="394"/>
      <c r="M7" s="395"/>
      <c r="N7" s="395"/>
      <c r="O7" s="395"/>
      <c r="P7" s="395"/>
      <c r="Q7" s="395"/>
      <c r="R7" s="395"/>
      <c r="S7" s="395"/>
      <c r="T7" s="395"/>
      <c r="U7" s="395"/>
      <c r="V7" s="395"/>
      <c r="W7" s="395"/>
      <c r="X7" s="395"/>
      <c r="Y7" s="395"/>
      <c r="Z7" s="395"/>
      <c r="AA7" s="395"/>
      <c r="AB7" s="395"/>
      <c r="AC7" s="74"/>
      <c r="AD7" s="74"/>
      <c r="AE7" s="151">
        <v>898</v>
      </c>
      <c r="AF7" s="151"/>
      <c r="AG7" s="152" t="s">
        <v>298</v>
      </c>
      <c r="AH7" s="152"/>
      <c r="AI7" s="152"/>
      <c r="AJ7" s="152"/>
      <c r="AK7" s="152"/>
      <c r="AL7" s="152"/>
      <c r="AM7" s="152"/>
      <c r="AN7" s="151">
        <v>910</v>
      </c>
      <c r="AO7" s="151"/>
      <c r="AP7" s="152" t="s">
        <v>299</v>
      </c>
      <c r="AQ7" s="152"/>
      <c r="AR7" s="152"/>
      <c r="AS7" s="152"/>
      <c r="AT7" s="152"/>
      <c r="AU7" s="152"/>
      <c r="AV7" s="152"/>
      <c r="AW7" s="151">
        <v>1013</v>
      </c>
      <c r="AX7" s="151"/>
      <c r="AY7" s="152" t="s">
        <v>300</v>
      </c>
      <c r="AZ7" s="152"/>
      <c r="BA7" s="152"/>
      <c r="BB7" s="152"/>
      <c r="BC7" s="152"/>
      <c r="BD7" s="152"/>
      <c r="BE7" s="152"/>
    </row>
    <row r="8" spans="1:66" ht="16.5" customHeight="1"/>
    <row r="9" spans="1:66"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22"/>
      <c r="Y9" s="3"/>
      <c r="Z9" s="98" t="s">
        <v>3</v>
      </c>
      <c r="AA9" s="98"/>
      <c r="AB9" s="98"/>
      <c r="AC9" s="98"/>
      <c r="AD9" s="98"/>
      <c r="AE9" s="98" t="s">
        <v>4</v>
      </c>
      <c r="AF9" s="98"/>
      <c r="AG9" s="98"/>
      <c r="AH9" s="98" t="s">
        <v>5</v>
      </c>
      <c r="AI9" s="98"/>
      <c r="AJ9" s="98"/>
      <c r="AK9" s="98"/>
      <c r="AL9" s="98"/>
      <c r="AM9" s="98"/>
      <c r="AN9" s="98"/>
      <c r="AO9" s="98" t="s">
        <v>6</v>
      </c>
      <c r="AP9" s="98"/>
      <c r="AQ9" s="98"/>
      <c r="AR9" s="98"/>
      <c r="AS9" s="98" t="s">
        <v>7</v>
      </c>
      <c r="AT9" s="98"/>
      <c r="AU9" s="98"/>
      <c r="AV9" s="98"/>
      <c r="AW9" s="3"/>
      <c r="AX9" s="14"/>
      <c r="AY9" s="14"/>
      <c r="AZ9" s="14"/>
      <c r="BA9" s="14"/>
      <c r="BB9" s="14"/>
      <c r="BC9" s="14"/>
      <c r="BD9" s="14"/>
      <c r="BE9" s="14"/>
      <c r="BF9" s="14"/>
      <c r="BG9" s="14"/>
      <c r="BH9" s="14"/>
      <c r="BI9" s="14"/>
      <c r="BJ9" s="14"/>
      <c r="BK9" s="14"/>
      <c r="BL9" s="14"/>
      <c r="BM9" s="14"/>
      <c r="BN9" s="14"/>
    </row>
    <row r="10" spans="1:66" ht="16.5" customHeight="1">
      <c r="A10" s="381" t="s">
        <v>301</v>
      </c>
      <c r="B10" s="382"/>
      <c r="C10" s="382"/>
      <c r="D10" s="382"/>
      <c r="E10" s="383"/>
      <c r="F10" s="418">
        <v>2</v>
      </c>
      <c r="G10" s="419"/>
      <c r="H10" s="420"/>
      <c r="I10" s="427" t="s">
        <v>9</v>
      </c>
      <c r="J10" s="428"/>
      <c r="K10" s="428"/>
      <c r="L10" s="428"/>
      <c r="M10" s="429"/>
      <c r="N10" s="208" t="s">
        <v>184</v>
      </c>
      <c r="O10" s="210"/>
      <c r="P10" s="406">
        <f>CEILING(111.5*1.3,0.5)</f>
        <v>145</v>
      </c>
      <c r="Q10" s="407"/>
      <c r="R10" s="407"/>
      <c r="S10" s="408"/>
      <c r="T10" s="403">
        <f>P10+20</f>
        <v>165</v>
      </c>
      <c r="U10" s="404"/>
      <c r="V10" s="404"/>
      <c r="W10" s="405"/>
      <c r="X10" s="29"/>
      <c r="Y10" s="3"/>
      <c r="Z10" s="381">
        <v>909</v>
      </c>
      <c r="AA10" s="382"/>
      <c r="AB10" s="382"/>
      <c r="AC10" s="382"/>
      <c r="AD10" s="383"/>
      <c r="AE10" s="418">
        <v>3</v>
      </c>
      <c r="AF10" s="419"/>
      <c r="AG10" s="420"/>
      <c r="AH10" s="427" t="s">
        <v>9</v>
      </c>
      <c r="AI10" s="428"/>
      <c r="AJ10" s="428"/>
      <c r="AK10" s="428"/>
      <c r="AL10" s="429"/>
      <c r="AM10" s="208" t="s">
        <v>184</v>
      </c>
      <c r="AN10" s="210"/>
      <c r="AO10" s="406">
        <f>CEILING(118.5*1.3,0.5)</f>
        <v>154.5</v>
      </c>
      <c r="AP10" s="407"/>
      <c r="AQ10" s="407"/>
      <c r="AR10" s="408"/>
      <c r="AS10" s="403">
        <f>AO10+20</f>
        <v>174.5</v>
      </c>
      <c r="AT10" s="404"/>
      <c r="AU10" s="404"/>
      <c r="AV10" s="405"/>
      <c r="AW10" s="10"/>
      <c r="AX10" s="14"/>
      <c r="AY10" s="14"/>
      <c r="AZ10" s="14"/>
      <c r="BA10" s="14"/>
      <c r="BB10" s="14"/>
      <c r="BC10" s="14"/>
      <c r="BD10" s="14"/>
      <c r="BE10" s="14"/>
      <c r="BF10" s="14"/>
      <c r="BG10" s="14"/>
      <c r="BH10" s="14"/>
      <c r="BI10" s="14"/>
      <c r="BJ10" s="14"/>
      <c r="BK10" s="14"/>
      <c r="BL10" s="14"/>
      <c r="BM10" s="14"/>
      <c r="BN10" s="14"/>
    </row>
    <row r="11" spans="1:66" ht="16.5" customHeight="1">
      <c r="A11" s="384"/>
      <c r="B11" s="385"/>
      <c r="C11" s="385"/>
      <c r="D11" s="385"/>
      <c r="E11" s="386"/>
      <c r="F11" s="421"/>
      <c r="G11" s="422"/>
      <c r="H11" s="423"/>
      <c r="I11" s="430"/>
      <c r="J11" s="431"/>
      <c r="K11" s="431"/>
      <c r="L11" s="431"/>
      <c r="M11" s="432"/>
      <c r="N11" s="208" t="s">
        <v>186</v>
      </c>
      <c r="O11" s="210"/>
      <c r="P11" s="403">
        <f>CEILING(P10*0.92,0.5)</f>
        <v>133.5</v>
      </c>
      <c r="Q11" s="404"/>
      <c r="R11" s="404"/>
      <c r="S11" s="405"/>
      <c r="T11" s="403">
        <f>CEILING(T10*0.92,0.5)</f>
        <v>152</v>
      </c>
      <c r="U11" s="404"/>
      <c r="V11" s="404"/>
      <c r="W11" s="405"/>
      <c r="X11" s="29"/>
      <c r="Y11" s="3"/>
      <c r="Z11" s="384"/>
      <c r="AA11" s="385"/>
      <c r="AB11" s="385"/>
      <c r="AC11" s="385"/>
      <c r="AD11" s="386"/>
      <c r="AE11" s="421"/>
      <c r="AF11" s="422"/>
      <c r="AG11" s="423"/>
      <c r="AH11" s="430"/>
      <c r="AI11" s="431"/>
      <c r="AJ11" s="431"/>
      <c r="AK11" s="431"/>
      <c r="AL11" s="432"/>
      <c r="AM11" s="208" t="s">
        <v>186</v>
      </c>
      <c r="AN11" s="210"/>
      <c r="AO11" s="403">
        <f>CEILING(AO10*0.92,0.5)</f>
        <v>142.5</v>
      </c>
      <c r="AP11" s="404"/>
      <c r="AQ11" s="404"/>
      <c r="AR11" s="405"/>
      <c r="AS11" s="403">
        <f>CEILING(AS10*0.92,0.5)</f>
        <v>161</v>
      </c>
      <c r="AT11" s="404"/>
      <c r="AU11" s="404"/>
      <c r="AV11" s="405"/>
      <c r="AW11" s="10"/>
      <c r="AX11" s="14"/>
      <c r="AY11" s="14"/>
      <c r="AZ11" s="14"/>
      <c r="BA11" s="14"/>
      <c r="BB11" s="14"/>
      <c r="BC11" s="14"/>
      <c r="BD11" s="14"/>
      <c r="BE11" s="14"/>
      <c r="BF11" s="14"/>
      <c r="BG11" s="14"/>
      <c r="BH11" s="14"/>
      <c r="BI11" s="14"/>
      <c r="BJ11" s="14"/>
      <c r="BK11" s="14"/>
      <c r="BL11" s="14"/>
      <c r="BM11" s="14"/>
      <c r="BN11" s="14"/>
    </row>
    <row r="12" spans="1:66" ht="16.5" customHeight="1">
      <c r="A12" s="384"/>
      <c r="B12" s="385"/>
      <c r="C12" s="385"/>
      <c r="D12" s="385"/>
      <c r="E12" s="386"/>
      <c r="F12" s="421"/>
      <c r="G12" s="422"/>
      <c r="H12" s="423"/>
      <c r="I12" s="433"/>
      <c r="J12" s="434"/>
      <c r="K12" s="434"/>
      <c r="L12" s="434"/>
      <c r="M12" s="435"/>
      <c r="N12" s="208" t="s">
        <v>96</v>
      </c>
      <c r="O12" s="210"/>
      <c r="P12" s="406">
        <f>CEILING(99*1.3,0.5)</f>
        <v>129</v>
      </c>
      <c r="Q12" s="407"/>
      <c r="R12" s="407"/>
      <c r="S12" s="408"/>
      <c r="T12" s="403">
        <f>P12+20</f>
        <v>149</v>
      </c>
      <c r="U12" s="404"/>
      <c r="V12" s="404"/>
      <c r="W12" s="405"/>
      <c r="X12" s="29"/>
      <c r="Y12" s="3"/>
      <c r="Z12" s="384"/>
      <c r="AA12" s="385"/>
      <c r="AB12" s="385"/>
      <c r="AC12" s="385"/>
      <c r="AD12" s="386"/>
      <c r="AE12" s="421"/>
      <c r="AF12" s="422"/>
      <c r="AG12" s="423"/>
      <c r="AH12" s="433"/>
      <c r="AI12" s="434"/>
      <c r="AJ12" s="434"/>
      <c r="AK12" s="434"/>
      <c r="AL12" s="435"/>
      <c r="AM12" s="208" t="s">
        <v>96</v>
      </c>
      <c r="AN12" s="210"/>
      <c r="AO12" s="406">
        <f>CEILING(103*1.3,0.5)</f>
        <v>134</v>
      </c>
      <c r="AP12" s="407"/>
      <c r="AQ12" s="407"/>
      <c r="AR12" s="408"/>
      <c r="AS12" s="403">
        <f>AO12+20</f>
        <v>154</v>
      </c>
      <c r="AT12" s="404"/>
      <c r="AU12" s="404"/>
      <c r="AV12" s="405"/>
      <c r="AW12" s="10"/>
      <c r="AX12" s="14"/>
      <c r="AY12" s="14"/>
      <c r="AZ12" s="14"/>
      <c r="BA12" s="14"/>
      <c r="BB12" s="14"/>
      <c r="BC12" s="14"/>
      <c r="BD12" s="14"/>
      <c r="BE12" s="14"/>
      <c r="BF12" s="14"/>
      <c r="BG12" s="14"/>
      <c r="BH12" s="14"/>
      <c r="BI12" s="14"/>
      <c r="BJ12" s="14"/>
      <c r="BK12" s="14"/>
      <c r="BL12" s="14"/>
      <c r="BM12" s="14"/>
      <c r="BN12" s="14"/>
    </row>
    <row r="13" spans="1:66" ht="16.5" customHeight="1">
      <c r="A13" s="384"/>
      <c r="B13" s="385"/>
      <c r="C13" s="385"/>
      <c r="D13" s="385"/>
      <c r="E13" s="386"/>
      <c r="F13" s="421"/>
      <c r="G13" s="422"/>
      <c r="H13" s="423"/>
      <c r="I13" s="409" t="s">
        <v>13</v>
      </c>
      <c r="J13" s="410"/>
      <c r="K13" s="410"/>
      <c r="L13" s="410"/>
      <c r="M13" s="411"/>
      <c r="N13" s="401" t="s">
        <v>184</v>
      </c>
      <c r="O13" s="402"/>
      <c r="P13" s="398">
        <f>CEILING(P10*0.35+5,0.5)</f>
        <v>56</v>
      </c>
      <c r="Q13" s="399"/>
      <c r="R13" s="399"/>
      <c r="S13" s="400"/>
      <c r="T13" s="398">
        <f>CEILING(T10*0.35+5,0.5)</f>
        <v>63</v>
      </c>
      <c r="U13" s="399"/>
      <c r="V13" s="399"/>
      <c r="W13" s="400"/>
      <c r="X13" s="29"/>
      <c r="Y13" s="3"/>
      <c r="Z13" s="384"/>
      <c r="AA13" s="385"/>
      <c r="AB13" s="385"/>
      <c r="AC13" s="385"/>
      <c r="AD13" s="386"/>
      <c r="AE13" s="421"/>
      <c r="AF13" s="422"/>
      <c r="AG13" s="423"/>
      <c r="AH13" s="409" t="s">
        <v>63</v>
      </c>
      <c r="AI13" s="410"/>
      <c r="AJ13" s="410"/>
      <c r="AK13" s="410"/>
      <c r="AL13" s="411"/>
      <c r="AM13" s="401" t="s">
        <v>184</v>
      </c>
      <c r="AN13" s="402"/>
      <c r="AO13" s="398">
        <f>CEILING(AO10*0.4+5,0.5)</f>
        <v>67</v>
      </c>
      <c r="AP13" s="399"/>
      <c r="AQ13" s="399"/>
      <c r="AR13" s="400"/>
      <c r="AS13" s="398">
        <f>CEILING(AS10*0.4+5,0.5)</f>
        <v>75</v>
      </c>
      <c r="AT13" s="399"/>
      <c r="AU13" s="399"/>
      <c r="AV13" s="400"/>
      <c r="AW13" s="10"/>
      <c r="AX13" s="14"/>
      <c r="AY13" s="14"/>
      <c r="AZ13" s="14"/>
      <c r="BA13" s="14"/>
      <c r="BB13" s="14"/>
      <c r="BC13" s="14"/>
      <c r="BD13" s="14"/>
      <c r="BE13" s="14"/>
      <c r="BF13" s="14"/>
      <c r="BG13" s="14"/>
      <c r="BH13" s="14"/>
      <c r="BI13" s="14"/>
      <c r="BJ13" s="14"/>
      <c r="BK13" s="14"/>
      <c r="BL13" s="14"/>
      <c r="BM13" s="14"/>
      <c r="BN13" s="14"/>
    </row>
    <row r="14" spans="1:66" ht="16.5" customHeight="1">
      <c r="A14" s="384"/>
      <c r="B14" s="385"/>
      <c r="C14" s="385"/>
      <c r="D14" s="385"/>
      <c r="E14" s="386"/>
      <c r="F14" s="421"/>
      <c r="G14" s="422"/>
      <c r="H14" s="423"/>
      <c r="I14" s="412"/>
      <c r="J14" s="413"/>
      <c r="K14" s="413"/>
      <c r="L14" s="413"/>
      <c r="M14" s="414"/>
      <c r="N14" s="401" t="s">
        <v>186</v>
      </c>
      <c r="O14" s="402"/>
      <c r="P14" s="398">
        <f>CEILING(P13*0.92,0.5)</f>
        <v>52</v>
      </c>
      <c r="Q14" s="399"/>
      <c r="R14" s="399"/>
      <c r="S14" s="400"/>
      <c r="T14" s="398">
        <f>CEILING(T13*0.92,0.5)</f>
        <v>58</v>
      </c>
      <c r="U14" s="399"/>
      <c r="V14" s="399"/>
      <c r="W14" s="400"/>
      <c r="X14" s="29"/>
      <c r="Y14" s="3"/>
      <c r="Z14" s="384"/>
      <c r="AA14" s="385"/>
      <c r="AB14" s="385"/>
      <c r="AC14" s="385"/>
      <c r="AD14" s="386"/>
      <c r="AE14" s="421"/>
      <c r="AF14" s="422"/>
      <c r="AG14" s="423"/>
      <c r="AH14" s="412"/>
      <c r="AI14" s="413"/>
      <c r="AJ14" s="413"/>
      <c r="AK14" s="413"/>
      <c r="AL14" s="414"/>
      <c r="AM14" s="401" t="s">
        <v>186</v>
      </c>
      <c r="AN14" s="402"/>
      <c r="AO14" s="398">
        <f>CEILING(AO13*0.92,0.5)</f>
        <v>62</v>
      </c>
      <c r="AP14" s="399"/>
      <c r="AQ14" s="399"/>
      <c r="AR14" s="400"/>
      <c r="AS14" s="398">
        <f>CEILING(AS13*0.92,0.5)</f>
        <v>69</v>
      </c>
      <c r="AT14" s="399"/>
      <c r="AU14" s="399"/>
      <c r="AV14" s="400"/>
      <c r="AW14" s="10"/>
    </row>
    <row r="15" spans="1:66" ht="16.5" customHeight="1">
      <c r="A15" s="384"/>
      <c r="B15" s="385"/>
      <c r="C15" s="385"/>
      <c r="D15" s="385"/>
      <c r="E15" s="386"/>
      <c r="F15" s="421"/>
      <c r="G15" s="422"/>
      <c r="H15" s="423"/>
      <c r="I15" s="415"/>
      <c r="J15" s="416"/>
      <c r="K15" s="416"/>
      <c r="L15" s="416"/>
      <c r="M15" s="417"/>
      <c r="N15" s="401" t="s">
        <v>96</v>
      </c>
      <c r="O15" s="402"/>
      <c r="P15" s="398">
        <f>CEILING(P12*0.35+5,0.5)</f>
        <v>50.5</v>
      </c>
      <c r="Q15" s="399"/>
      <c r="R15" s="399"/>
      <c r="S15" s="400"/>
      <c r="T15" s="398">
        <f>CEILING(T12*0.35+5,0.5)</f>
        <v>57.5</v>
      </c>
      <c r="U15" s="399"/>
      <c r="V15" s="399"/>
      <c r="W15" s="400"/>
      <c r="X15" s="29"/>
      <c r="Y15" s="3"/>
      <c r="Z15" s="384"/>
      <c r="AA15" s="385"/>
      <c r="AB15" s="385"/>
      <c r="AC15" s="385"/>
      <c r="AD15" s="386"/>
      <c r="AE15" s="421"/>
      <c r="AF15" s="422"/>
      <c r="AG15" s="423"/>
      <c r="AH15" s="415"/>
      <c r="AI15" s="416"/>
      <c r="AJ15" s="416"/>
      <c r="AK15" s="416"/>
      <c r="AL15" s="417"/>
      <c r="AM15" s="401" t="s">
        <v>96</v>
      </c>
      <c r="AN15" s="402"/>
      <c r="AO15" s="398">
        <f>CEILING(AO12*0.4+5,0.5)</f>
        <v>59</v>
      </c>
      <c r="AP15" s="399"/>
      <c r="AQ15" s="399"/>
      <c r="AR15" s="400"/>
      <c r="AS15" s="398">
        <f>CEILING(AS12*0.4+5,0.5)</f>
        <v>67</v>
      </c>
      <c r="AT15" s="399"/>
      <c r="AU15" s="399"/>
      <c r="AV15" s="400"/>
      <c r="AW15" s="10"/>
      <c r="AX15" s="63"/>
      <c r="AY15" s="63"/>
      <c r="AZ15" s="63"/>
      <c r="BA15" s="63"/>
      <c r="BB15" s="63"/>
      <c r="BC15" s="63"/>
      <c r="BD15" s="63"/>
      <c r="BE15" s="63"/>
      <c r="BF15" s="63"/>
      <c r="BG15" s="63"/>
      <c r="BH15" s="63"/>
      <c r="BI15" s="63"/>
      <c r="BJ15" s="63"/>
      <c r="BK15" s="63"/>
    </row>
    <row r="16" spans="1:66" ht="16.5" customHeight="1">
      <c r="A16" s="384"/>
      <c r="B16" s="385"/>
      <c r="C16" s="385"/>
      <c r="D16" s="385"/>
      <c r="E16" s="386"/>
      <c r="F16" s="421"/>
      <c r="G16" s="422"/>
      <c r="H16" s="423"/>
      <c r="I16" s="427" t="s">
        <v>15</v>
      </c>
      <c r="J16" s="428"/>
      <c r="K16" s="428"/>
      <c r="L16" s="428"/>
      <c r="M16" s="429"/>
      <c r="N16" s="208" t="s">
        <v>184</v>
      </c>
      <c r="O16" s="210"/>
      <c r="P16" s="403">
        <f>P10-5</f>
        <v>140</v>
      </c>
      <c r="Q16" s="404"/>
      <c r="R16" s="404"/>
      <c r="S16" s="405"/>
      <c r="T16" s="403">
        <f>P16+15</f>
        <v>155</v>
      </c>
      <c r="U16" s="404"/>
      <c r="V16" s="404"/>
      <c r="W16" s="405"/>
      <c r="X16" s="29"/>
      <c r="Y16" s="3"/>
      <c r="Z16" s="384"/>
      <c r="AA16" s="385"/>
      <c r="AB16" s="385"/>
      <c r="AC16" s="385"/>
      <c r="AD16" s="386"/>
      <c r="AE16" s="421"/>
      <c r="AF16" s="422"/>
      <c r="AG16" s="423"/>
      <c r="AH16" s="427" t="s">
        <v>15</v>
      </c>
      <c r="AI16" s="428"/>
      <c r="AJ16" s="428"/>
      <c r="AK16" s="428"/>
      <c r="AL16" s="429"/>
      <c r="AM16" s="208" t="s">
        <v>184</v>
      </c>
      <c r="AN16" s="210"/>
      <c r="AO16" s="403">
        <f>AO10-5</f>
        <v>149.5</v>
      </c>
      <c r="AP16" s="404"/>
      <c r="AQ16" s="404"/>
      <c r="AR16" s="405"/>
      <c r="AS16" s="403">
        <f>AO16+15</f>
        <v>164.5</v>
      </c>
      <c r="AT16" s="404"/>
      <c r="AU16" s="404"/>
      <c r="AV16" s="405"/>
      <c r="AW16" s="10"/>
      <c r="AX16" s="63"/>
      <c r="AY16" s="63"/>
      <c r="AZ16" s="63"/>
      <c r="BA16" s="63"/>
      <c r="BB16" s="63"/>
      <c r="BC16" s="63"/>
      <c r="BD16" s="63"/>
      <c r="BE16" s="63"/>
      <c r="BF16" s="63"/>
      <c r="BG16" s="63"/>
      <c r="BH16" s="63"/>
      <c r="BI16" s="63"/>
      <c r="BJ16" s="63"/>
      <c r="BK16" s="63"/>
    </row>
    <row r="17" spans="1:63" ht="16.5" customHeight="1">
      <c r="A17" s="384"/>
      <c r="B17" s="385"/>
      <c r="C17" s="385"/>
      <c r="D17" s="385"/>
      <c r="E17" s="386"/>
      <c r="F17" s="421"/>
      <c r="G17" s="422"/>
      <c r="H17" s="423"/>
      <c r="I17" s="430"/>
      <c r="J17" s="431"/>
      <c r="K17" s="431"/>
      <c r="L17" s="431"/>
      <c r="M17" s="432"/>
      <c r="N17" s="208" t="s">
        <v>186</v>
      </c>
      <c r="O17" s="210"/>
      <c r="P17" s="403">
        <f>CEILING(P16*0.92,0.5)</f>
        <v>129</v>
      </c>
      <c r="Q17" s="404"/>
      <c r="R17" s="404"/>
      <c r="S17" s="405"/>
      <c r="T17" s="403">
        <f>CEILING(T16*0.92,0.5)</f>
        <v>143</v>
      </c>
      <c r="U17" s="404"/>
      <c r="V17" s="404"/>
      <c r="W17" s="405"/>
      <c r="X17" s="29"/>
      <c r="Y17" s="3"/>
      <c r="Z17" s="384"/>
      <c r="AA17" s="385"/>
      <c r="AB17" s="385"/>
      <c r="AC17" s="385"/>
      <c r="AD17" s="386"/>
      <c r="AE17" s="421"/>
      <c r="AF17" s="422"/>
      <c r="AG17" s="423"/>
      <c r="AH17" s="430"/>
      <c r="AI17" s="431"/>
      <c r="AJ17" s="431"/>
      <c r="AK17" s="431"/>
      <c r="AL17" s="432"/>
      <c r="AM17" s="208" t="s">
        <v>186</v>
      </c>
      <c r="AN17" s="210"/>
      <c r="AO17" s="403">
        <f>CEILING(AO16*0.92,0.5)</f>
        <v>138</v>
      </c>
      <c r="AP17" s="404"/>
      <c r="AQ17" s="404"/>
      <c r="AR17" s="405"/>
      <c r="AS17" s="403">
        <f>CEILING(AS16*0.92,0.5)</f>
        <v>151.5</v>
      </c>
      <c r="AT17" s="404"/>
      <c r="AU17" s="404"/>
      <c r="AV17" s="405"/>
      <c r="AW17" s="10"/>
      <c r="AX17" s="63"/>
      <c r="AY17" s="63"/>
      <c r="AZ17" s="63"/>
      <c r="BA17" s="63"/>
      <c r="BB17" s="63"/>
      <c r="BC17" s="63"/>
      <c r="BD17" s="63"/>
      <c r="BE17" s="63"/>
      <c r="BF17" s="63"/>
      <c r="BG17" s="63"/>
      <c r="BH17" s="63"/>
      <c r="BI17" s="63"/>
      <c r="BJ17" s="63"/>
      <c r="BK17" s="63"/>
    </row>
    <row r="18" spans="1:63" ht="16.5" customHeight="1">
      <c r="A18" s="384"/>
      <c r="B18" s="385"/>
      <c r="C18" s="385"/>
      <c r="D18" s="385"/>
      <c r="E18" s="386"/>
      <c r="F18" s="421"/>
      <c r="G18" s="422"/>
      <c r="H18" s="423"/>
      <c r="I18" s="433"/>
      <c r="J18" s="434"/>
      <c r="K18" s="434"/>
      <c r="L18" s="434"/>
      <c r="M18" s="435"/>
      <c r="N18" s="208" t="s">
        <v>96</v>
      </c>
      <c r="O18" s="210"/>
      <c r="P18" s="403">
        <f>P12-5</f>
        <v>124</v>
      </c>
      <c r="Q18" s="404"/>
      <c r="R18" s="404"/>
      <c r="S18" s="405"/>
      <c r="T18" s="403">
        <f>P18+15</f>
        <v>139</v>
      </c>
      <c r="U18" s="404"/>
      <c r="V18" s="404"/>
      <c r="W18" s="405"/>
      <c r="X18" s="29"/>
      <c r="Y18" s="3"/>
      <c r="Z18" s="384"/>
      <c r="AA18" s="385"/>
      <c r="AB18" s="385"/>
      <c r="AC18" s="385"/>
      <c r="AD18" s="386"/>
      <c r="AE18" s="421"/>
      <c r="AF18" s="422"/>
      <c r="AG18" s="423"/>
      <c r="AH18" s="433"/>
      <c r="AI18" s="434"/>
      <c r="AJ18" s="434"/>
      <c r="AK18" s="434"/>
      <c r="AL18" s="435"/>
      <c r="AM18" s="208" t="s">
        <v>96</v>
      </c>
      <c r="AN18" s="210"/>
      <c r="AO18" s="403">
        <f>AO12-5</f>
        <v>129</v>
      </c>
      <c r="AP18" s="404"/>
      <c r="AQ18" s="404"/>
      <c r="AR18" s="405"/>
      <c r="AS18" s="403">
        <f>AO18+15</f>
        <v>144</v>
      </c>
      <c r="AT18" s="404"/>
      <c r="AU18" s="404"/>
      <c r="AV18" s="405"/>
      <c r="AW18" s="10"/>
      <c r="AX18" s="63"/>
      <c r="AY18" s="63"/>
      <c r="AZ18" s="63"/>
      <c r="BA18" s="63"/>
      <c r="BB18" s="63"/>
      <c r="BC18" s="63"/>
      <c r="BD18" s="63"/>
      <c r="BE18" s="63"/>
      <c r="BF18" s="63"/>
      <c r="BG18" s="63"/>
      <c r="BH18" s="63"/>
      <c r="BI18" s="63"/>
      <c r="BJ18" s="63"/>
      <c r="BK18" s="63"/>
    </row>
    <row r="19" spans="1:63" ht="16.5" customHeight="1">
      <c r="A19" s="384"/>
      <c r="B19" s="385"/>
      <c r="C19" s="385"/>
      <c r="D19" s="385"/>
      <c r="E19" s="386"/>
      <c r="F19" s="421"/>
      <c r="G19" s="422"/>
      <c r="H19" s="423"/>
      <c r="I19" s="409" t="s">
        <v>16</v>
      </c>
      <c r="J19" s="410"/>
      <c r="K19" s="410"/>
      <c r="L19" s="410"/>
      <c r="M19" s="411"/>
      <c r="N19" s="401" t="s">
        <v>184</v>
      </c>
      <c r="O19" s="402"/>
      <c r="P19" s="398">
        <f>CEILING(P16*0.35+5,0.5)</f>
        <v>54</v>
      </c>
      <c r="Q19" s="399"/>
      <c r="R19" s="399"/>
      <c r="S19" s="400"/>
      <c r="T19" s="398">
        <f>CEILING(T16*0.35+5,0.5)</f>
        <v>59.5</v>
      </c>
      <c r="U19" s="399"/>
      <c r="V19" s="399"/>
      <c r="W19" s="400"/>
      <c r="X19" s="29"/>
      <c r="Y19" s="3"/>
      <c r="Z19" s="384"/>
      <c r="AA19" s="385"/>
      <c r="AB19" s="385"/>
      <c r="AC19" s="385"/>
      <c r="AD19" s="386"/>
      <c r="AE19" s="421"/>
      <c r="AF19" s="422"/>
      <c r="AG19" s="423"/>
      <c r="AH19" s="409" t="s">
        <v>64</v>
      </c>
      <c r="AI19" s="410"/>
      <c r="AJ19" s="410"/>
      <c r="AK19" s="410"/>
      <c r="AL19" s="411"/>
      <c r="AM19" s="401" t="s">
        <v>184</v>
      </c>
      <c r="AN19" s="402"/>
      <c r="AO19" s="398">
        <f>CEILING(AO16*0.4+5,0.5)</f>
        <v>65</v>
      </c>
      <c r="AP19" s="399"/>
      <c r="AQ19" s="399"/>
      <c r="AR19" s="400"/>
      <c r="AS19" s="398">
        <f>CEILING(AS16*0.4+5,0.5)</f>
        <v>71</v>
      </c>
      <c r="AT19" s="399"/>
      <c r="AU19" s="399"/>
      <c r="AV19" s="400"/>
      <c r="AW19" s="10"/>
      <c r="AX19" s="63"/>
      <c r="AY19" s="63"/>
      <c r="AZ19" s="63"/>
      <c r="BA19" s="63"/>
      <c r="BB19" s="63"/>
      <c r="BC19" s="63"/>
      <c r="BD19" s="63"/>
      <c r="BE19" s="63"/>
      <c r="BF19" s="63"/>
      <c r="BG19" s="63"/>
      <c r="BH19" s="63"/>
      <c r="BI19" s="63"/>
      <c r="BJ19" s="63"/>
      <c r="BK19" s="63"/>
    </row>
    <row r="20" spans="1:63" ht="16.5" customHeight="1">
      <c r="A20" s="384"/>
      <c r="B20" s="385"/>
      <c r="C20" s="385"/>
      <c r="D20" s="385"/>
      <c r="E20" s="386"/>
      <c r="F20" s="421"/>
      <c r="G20" s="422"/>
      <c r="H20" s="423"/>
      <c r="I20" s="412"/>
      <c r="J20" s="413"/>
      <c r="K20" s="413"/>
      <c r="L20" s="413"/>
      <c r="M20" s="414"/>
      <c r="N20" s="401" t="s">
        <v>186</v>
      </c>
      <c r="O20" s="402"/>
      <c r="P20" s="398">
        <f>CEILING(P19*0.92,0.5)</f>
        <v>50</v>
      </c>
      <c r="Q20" s="399"/>
      <c r="R20" s="399"/>
      <c r="S20" s="400"/>
      <c r="T20" s="398">
        <f>CEILING(T19*0.92,0.5)</f>
        <v>55</v>
      </c>
      <c r="U20" s="399"/>
      <c r="V20" s="399"/>
      <c r="W20" s="400"/>
      <c r="X20" s="29"/>
      <c r="Y20" s="3"/>
      <c r="Z20" s="384"/>
      <c r="AA20" s="385"/>
      <c r="AB20" s="385"/>
      <c r="AC20" s="385"/>
      <c r="AD20" s="386"/>
      <c r="AE20" s="421"/>
      <c r="AF20" s="422"/>
      <c r="AG20" s="423"/>
      <c r="AH20" s="412"/>
      <c r="AI20" s="413"/>
      <c r="AJ20" s="413"/>
      <c r="AK20" s="413"/>
      <c r="AL20" s="414"/>
      <c r="AM20" s="401" t="s">
        <v>186</v>
      </c>
      <c r="AN20" s="402"/>
      <c r="AO20" s="398">
        <f>CEILING(AO19*0.92,0.5)</f>
        <v>60</v>
      </c>
      <c r="AP20" s="399"/>
      <c r="AQ20" s="399"/>
      <c r="AR20" s="400"/>
      <c r="AS20" s="398">
        <f>CEILING(AS19*0.92,0.5)</f>
        <v>65.5</v>
      </c>
      <c r="AT20" s="399"/>
      <c r="AU20" s="399"/>
      <c r="AV20" s="400"/>
      <c r="AW20" s="10"/>
      <c r="AX20" s="63"/>
      <c r="AY20" s="63"/>
      <c r="AZ20" s="63"/>
      <c r="BA20" s="63"/>
      <c r="BB20" s="63"/>
      <c r="BC20" s="63"/>
      <c r="BD20" s="63"/>
      <c r="BE20" s="63"/>
      <c r="BF20" s="63"/>
      <c r="BG20" s="63"/>
      <c r="BH20" s="63"/>
      <c r="BI20" s="63"/>
      <c r="BJ20" s="63"/>
      <c r="BK20" s="63"/>
    </row>
    <row r="21" spans="1:63" ht="16.5" customHeight="1">
      <c r="A21" s="384"/>
      <c r="B21" s="385"/>
      <c r="C21" s="385"/>
      <c r="D21" s="385"/>
      <c r="E21" s="386"/>
      <c r="F21" s="421"/>
      <c r="G21" s="422"/>
      <c r="H21" s="423"/>
      <c r="I21" s="415"/>
      <c r="J21" s="416"/>
      <c r="K21" s="416"/>
      <c r="L21" s="416"/>
      <c r="M21" s="417"/>
      <c r="N21" s="401" t="s">
        <v>96</v>
      </c>
      <c r="O21" s="402"/>
      <c r="P21" s="398">
        <f>CEILING(P18*0.35+5,0.5)</f>
        <v>48.5</v>
      </c>
      <c r="Q21" s="399"/>
      <c r="R21" s="399"/>
      <c r="S21" s="400"/>
      <c r="T21" s="398">
        <f>CEILING(T18*0.35+5,0.5)</f>
        <v>54</v>
      </c>
      <c r="U21" s="399"/>
      <c r="V21" s="399"/>
      <c r="W21" s="400"/>
      <c r="X21" s="29"/>
      <c r="Y21" s="3"/>
      <c r="Z21" s="384"/>
      <c r="AA21" s="385"/>
      <c r="AB21" s="385"/>
      <c r="AC21" s="385"/>
      <c r="AD21" s="386"/>
      <c r="AE21" s="421"/>
      <c r="AF21" s="422"/>
      <c r="AG21" s="423"/>
      <c r="AH21" s="415"/>
      <c r="AI21" s="416"/>
      <c r="AJ21" s="416"/>
      <c r="AK21" s="416"/>
      <c r="AL21" s="417"/>
      <c r="AM21" s="401" t="s">
        <v>96</v>
      </c>
      <c r="AN21" s="402"/>
      <c r="AO21" s="398">
        <f>CEILING(AO18*0.4+5,0.5)</f>
        <v>57</v>
      </c>
      <c r="AP21" s="399"/>
      <c r="AQ21" s="399"/>
      <c r="AR21" s="400"/>
      <c r="AS21" s="398">
        <f>CEILING(AS18*0.4+5,0.5)</f>
        <v>63</v>
      </c>
      <c r="AT21" s="399"/>
      <c r="AU21" s="399"/>
      <c r="AV21" s="400"/>
      <c r="AW21" s="10"/>
      <c r="AX21" s="63"/>
      <c r="AY21" s="63"/>
      <c r="AZ21" s="63"/>
      <c r="BA21" s="63"/>
      <c r="BB21" s="63"/>
      <c r="BC21" s="63"/>
      <c r="BD21" s="63"/>
      <c r="BE21" s="63"/>
      <c r="BF21" s="63"/>
      <c r="BG21" s="63"/>
      <c r="BH21" s="63"/>
      <c r="BI21" s="63"/>
      <c r="BJ21" s="63"/>
      <c r="BK21" s="63"/>
    </row>
    <row r="22" spans="1:63" ht="16.5" customHeight="1">
      <c r="A22" s="384"/>
      <c r="B22" s="385"/>
      <c r="C22" s="385"/>
      <c r="D22" s="385"/>
      <c r="E22" s="386"/>
      <c r="F22" s="421"/>
      <c r="G22" s="422"/>
      <c r="H22" s="423"/>
      <c r="I22" s="427" t="s">
        <v>18</v>
      </c>
      <c r="J22" s="428"/>
      <c r="K22" s="428"/>
      <c r="L22" s="428"/>
      <c r="M22" s="429"/>
      <c r="N22" s="208" t="s">
        <v>184</v>
      </c>
      <c r="O22" s="210"/>
      <c r="P22" s="403">
        <f>P10-10</f>
        <v>135</v>
      </c>
      <c r="Q22" s="404"/>
      <c r="R22" s="404"/>
      <c r="S22" s="405"/>
      <c r="T22" s="403">
        <f>P22+10</f>
        <v>145</v>
      </c>
      <c r="U22" s="404"/>
      <c r="V22" s="404"/>
      <c r="W22" s="405"/>
      <c r="X22" s="29"/>
      <c r="Y22" s="3"/>
      <c r="Z22" s="384"/>
      <c r="AA22" s="385"/>
      <c r="AB22" s="385"/>
      <c r="AC22" s="385"/>
      <c r="AD22" s="386"/>
      <c r="AE22" s="421"/>
      <c r="AF22" s="422"/>
      <c r="AG22" s="423"/>
      <c r="AH22" s="427" t="s">
        <v>18</v>
      </c>
      <c r="AI22" s="428"/>
      <c r="AJ22" s="428"/>
      <c r="AK22" s="428"/>
      <c r="AL22" s="429"/>
      <c r="AM22" s="208" t="s">
        <v>184</v>
      </c>
      <c r="AN22" s="210"/>
      <c r="AO22" s="403">
        <f>AO10-10</f>
        <v>144.5</v>
      </c>
      <c r="AP22" s="404"/>
      <c r="AQ22" s="404"/>
      <c r="AR22" s="405"/>
      <c r="AS22" s="403">
        <f>AO22+10</f>
        <v>154.5</v>
      </c>
      <c r="AT22" s="404"/>
      <c r="AU22" s="404"/>
      <c r="AV22" s="405"/>
      <c r="AW22" s="10"/>
      <c r="AX22" s="63"/>
      <c r="AY22" s="63"/>
      <c r="AZ22" s="63"/>
      <c r="BA22" s="63"/>
      <c r="BB22" s="63"/>
      <c r="BC22" s="63"/>
      <c r="BD22" s="63"/>
      <c r="BE22" s="63"/>
      <c r="BF22" s="63"/>
      <c r="BG22" s="63"/>
      <c r="BH22" s="63"/>
      <c r="BI22" s="63"/>
      <c r="BJ22" s="63"/>
      <c r="BK22" s="63"/>
    </row>
    <row r="23" spans="1:63" ht="16.5" customHeight="1">
      <c r="A23" s="384"/>
      <c r="B23" s="385"/>
      <c r="C23" s="385"/>
      <c r="D23" s="385"/>
      <c r="E23" s="386"/>
      <c r="F23" s="421"/>
      <c r="G23" s="422"/>
      <c r="H23" s="423"/>
      <c r="I23" s="430"/>
      <c r="J23" s="431"/>
      <c r="K23" s="431"/>
      <c r="L23" s="431"/>
      <c r="M23" s="432"/>
      <c r="N23" s="208" t="s">
        <v>186</v>
      </c>
      <c r="O23" s="210"/>
      <c r="P23" s="403">
        <f>CEILING(P22*0.92,0.5)</f>
        <v>124.5</v>
      </c>
      <c r="Q23" s="404"/>
      <c r="R23" s="404"/>
      <c r="S23" s="405"/>
      <c r="T23" s="403">
        <f>CEILING(T22*0.92,0.5)</f>
        <v>133.5</v>
      </c>
      <c r="U23" s="404"/>
      <c r="V23" s="404"/>
      <c r="W23" s="405"/>
      <c r="X23" s="29"/>
      <c r="Y23" s="3"/>
      <c r="Z23" s="384"/>
      <c r="AA23" s="385"/>
      <c r="AB23" s="385"/>
      <c r="AC23" s="385"/>
      <c r="AD23" s="386"/>
      <c r="AE23" s="421"/>
      <c r="AF23" s="422"/>
      <c r="AG23" s="423"/>
      <c r="AH23" s="430"/>
      <c r="AI23" s="431"/>
      <c r="AJ23" s="431"/>
      <c r="AK23" s="431"/>
      <c r="AL23" s="432"/>
      <c r="AM23" s="208" t="s">
        <v>186</v>
      </c>
      <c r="AN23" s="210"/>
      <c r="AO23" s="403">
        <f>CEILING(AO22*0.92,0.5)</f>
        <v>133</v>
      </c>
      <c r="AP23" s="404"/>
      <c r="AQ23" s="404"/>
      <c r="AR23" s="405"/>
      <c r="AS23" s="403">
        <f>CEILING(AS22*0.92,0.5)</f>
        <v>142.5</v>
      </c>
      <c r="AT23" s="404"/>
      <c r="AU23" s="404"/>
      <c r="AV23" s="405"/>
      <c r="AW23" s="10"/>
    </row>
    <row r="24" spans="1:63" ht="16.5" customHeight="1">
      <c r="A24" s="384"/>
      <c r="B24" s="385"/>
      <c r="C24" s="385"/>
      <c r="D24" s="385"/>
      <c r="E24" s="386"/>
      <c r="F24" s="421"/>
      <c r="G24" s="422"/>
      <c r="H24" s="423"/>
      <c r="I24" s="433"/>
      <c r="J24" s="434"/>
      <c r="K24" s="434"/>
      <c r="L24" s="434"/>
      <c r="M24" s="435"/>
      <c r="N24" s="208" t="s">
        <v>96</v>
      </c>
      <c r="O24" s="210"/>
      <c r="P24" s="403">
        <f>P12-10</f>
        <v>119</v>
      </c>
      <c r="Q24" s="404"/>
      <c r="R24" s="404"/>
      <c r="S24" s="405"/>
      <c r="T24" s="403">
        <f>P24+10</f>
        <v>129</v>
      </c>
      <c r="U24" s="404"/>
      <c r="V24" s="404"/>
      <c r="W24" s="405"/>
      <c r="X24" s="29"/>
      <c r="Y24" s="3"/>
      <c r="Z24" s="384"/>
      <c r="AA24" s="385"/>
      <c r="AB24" s="385"/>
      <c r="AC24" s="385"/>
      <c r="AD24" s="386"/>
      <c r="AE24" s="421"/>
      <c r="AF24" s="422"/>
      <c r="AG24" s="423"/>
      <c r="AH24" s="433"/>
      <c r="AI24" s="434"/>
      <c r="AJ24" s="434"/>
      <c r="AK24" s="434"/>
      <c r="AL24" s="435"/>
      <c r="AM24" s="208" t="s">
        <v>96</v>
      </c>
      <c r="AN24" s="210"/>
      <c r="AO24" s="403">
        <f>AO12-10</f>
        <v>124</v>
      </c>
      <c r="AP24" s="404"/>
      <c r="AQ24" s="404"/>
      <c r="AR24" s="405"/>
      <c r="AS24" s="403">
        <f>AO24+10</f>
        <v>134</v>
      </c>
      <c r="AT24" s="404"/>
      <c r="AU24" s="404"/>
      <c r="AV24" s="405"/>
      <c r="AW24" s="10"/>
    </row>
    <row r="25" spans="1:63" ht="16.5" customHeight="1">
      <c r="A25" s="384"/>
      <c r="B25" s="385"/>
      <c r="C25" s="385"/>
      <c r="D25" s="385"/>
      <c r="E25" s="386"/>
      <c r="F25" s="421"/>
      <c r="G25" s="422"/>
      <c r="H25" s="423"/>
      <c r="I25" s="409" t="s">
        <v>19</v>
      </c>
      <c r="J25" s="410"/>
      <c r="K25" s="410"/>
      <c r="L25" s="410"/>
      <c r="M25" s="411"/>
      <c r="N25" s="401" t="s">
        <v>184</v>
      </c>
      <c r="O25" s="402"/>
      <c r="P25" s="398">
        <f>CEILING(P22*0.35+5,0.5)</f>
        <v>52.5</v>
      </c>
      <c r="Q25" s="399"/>
      <c r="R25" s="399"/>
      <c r="S25" s="400"/>
      <c r="T25" s="398">
        <f>CEILING(T22*0.35+5,0.5)</f>
        <v>56</v>
      </c>
      <c r="U25" s="399"/>
      <c r="V25" s="399"/>
      <c r="W25" s="400"/>
      <c r="X25" s="29"/>
      <c r="Y25" s="3"/>
      <c r="Z25" s="384"/>
      <c r="AA25" s="385"/>
      <c r="AB25" s="385"/>
      <c r="AC25" s="385"/>
      <c r="AD25" s="386"/>
      <c r="AE25" s="421"/>
      <c r="AF25" s="422"/>
      <c r="AG25" s="423"/>
      <c r="AH25" s="409" t="s">
        <v>65</v>
      </c>
      <c r="AI25" s="410"/>
      <c r="AJ25" s="410"/>
      <c r="AK25" s="410"/>
      <c r="AL25" s="411"/>
      <c r="AM25" s="401" t="s">
        <v>184</v>
      </c>
      <c r="AN25" s="402"/>
      <c r="AO25" s="398">
        <f>CEILING(AO22*0.4+5,0.5)</f>
        <v>63</v>
      </c>
      <c r="AP25" s="399"/>
      <c r="AQ25" s="399"/>
      <c r="AR25" s="400"/>
      <c r="AS25" s="398">
        <f>CEILING(AS22*0.4+5,0.5)</f>
        <v>67</v>
      </c>
      <c r="AT25" s="399"/>
      <c r="AU25" s="399"/>
      <c r="AV25" s="400"/>
      <c r="AW25" s="10"/>
    </row>
    <row r="26" spans="1:63" ht="16.5" customHeight="1">
      <c r="A26" s="384"/>
      <c r="B26" s="385"/>
      <c r="C26" s="385"/>
      <c r="D26" s="385"/>
      <c r="E26" s="386"/>
      <c r="F26" s="421"/>
      <c r="G26" s="422"/>
      <c r="H26" s="423"/>
      <c r="I26" s="412"/>
      <c r="J26" s="413"/>
      <c r="K26" s="413"/>
      <c r="L26" s="413"/>
      <c r="M26" s="414"/>
      <c r="N26" s="401" t="s">
        <v>186</v>
      </c>
      <c r="O26" s="402"/>
      <c r="P26" s="398">
        <f>CEILING(P25*0.92,0.5)</f>
        <v>48.5</v>
      </c>
      <c r="Q26" s="399"/>
      <c r="R26" s="399"/>
      <c r="S26" s="400"/>
      <c r="T26" s="398">
        <f>CEILING(T25*0.92,0.5)</f>
        <v>52</v>
      </c>
      <c r="U26" s="399"/>
      <c r="V26" s="399"/>
      <c r="W26" s="400"/>
      <c r="X26" s="29"/>
      <c r="Y26" s="3"/>
      <c r="Z26" s="384"/>
      <c r="AA26" s="385"/>
      <c r="AB26" s="385"/>
      <c r="AC26" s="385"/>
      <c r="AD26" s="386"/>
      <c r="AE26" s="421"/>
      <c r="AF26" s="422"/>
      <c r="AG26" s="423"/>
      <c r="AH26" s="412"/>
      <c r="AI26" s="413"/>
      <c r="AJ26" s="413"/>
      <c r="AK26" s="413"/>
      <c r="AL26" s="414"/>
      <c r="AM26" s="401" t="s">
        <v>186</v>
      </c>
      <c r="AN26" s="402"/>
      <c r="AO26" s="398">
        <f>CEILING(AO25*0.92,0.5)</f>
        <v>58</v>
      </c>
      <c r="AP26" s="399"/>
      <c r="AQ26" s="399"/>
      <c r="AR26" s="400"/>
      <c r="AS26" s="398">
        <f>CEILING(AS25*0.92,0.5)</f>
        <v>62</v>
      </c>
      <c r="AT26" s="399"/>
      <c r="AU26" s="399"/>
      <c r="AV26" s="400"/>
      <c r="AW26" s="10"/>
    </row>
    <row r="27" spans="1:63" ht="16.5" customHeight="1">
      <c r="A27" s="384"/>
      <c r="B27" s="385"/>
      <c r="C27" s="385"/>
      <c r="D27" s="385"/>
      <c r="E27" s="386"/>
      <c r="F27" s="421"/>
      <c r="G27" s="422"/>
      <c r="H27" s="423"/>
      <c r="I27" s="415"/>
      <c r="J27" s="416"/>
      <c r="K27" s="416"/>
      <c r="L27" s="416"/>
      <c r="M27" s="417"/>
      <c r="N27" s="401" t="s">
        <v>96</v>
      </c>
      <c r="O27" s="402"/>
      <c r="P27" s="398">
        <f>CEILING(P24*0.35+5,0.5)</f>
        <v>47</v>
      </c>
      <c r="Q27" s="399"/>
      <c r="R27" s="399"/>
      <c r="S27" s="400"/>
      <c r="T27" s="398">
        <f>CEILING(T24*0.35+5,0.5)</f>
        <v>50.5</v>
      </c>
      <c r="U27" s="399"/>
      <c r="V27" s="399"/>
      <c r="W27" s="400"/>
      <c r="X27" s="29"/>
      <c r="Y27" s="3"/>
      <c r="Z27" s="384"/>
      <c r="AA27" s="385"/>
      <c r="AB27" s="385"/>
      <c r="AC27" s="385"/>
      <c r="AD27" s="386"/>
      <c r="AE27" s="421"/>
      <c r="AF27" s="422"/>
      <c r="AG27" s="423"/>
      <c r="AH27" s="415"/>
      <c r="AI27" s="416"/>
      <c r="AJ27" s="416"/>
      <c r="AK27" s="416"/>
      <c r="AL27" s="417"/>
      <c r="AM27" s="401" t="s">
        <v>96</v>
      </c>
      <c r="AN27" s="402"/>
      <c r="AO27" s="398">
        <f>CEILING(AO24*0.4+5,0.5)</f>
        <v>55</v>
      </c>
      <c r="AP27" s="399"/>
      <c r="AQ27" s="399"/>
      <c r="AR27" s="400"/>
      <c r="AS27" s="398">
        <f>CEILING(AS24*0.4+5,0.5)</f>
        <v>59</v>
      </c>
      <c r="AT27" s="399"/>
      <c r="AU27" s="399"/>
      <c r="AV27" s="400"/>
      <c r="AW27" s="10"/>
    </row>
    <row r="28" spans="1:63" ht="16.5" customHeight="1">
      <c r="A28" s="384"/>
      <c r="B28" s="385"/>
      <c r="C28" s="385"/>
      <c r="D28" s="385"/>
      <c r="E28" s="386"/>
      <c r="F28" s="421"/>
      <c r="G28" s="422"/>
      <c r="H28" s="423"/>
      <c r="I28" s="436" t="s">
        <v>21</v>
      </c>
      <c r="J28" s="437"/>
      <c r="K28" s="437"/>
      <c r="L28" s="437"/>
      <c r="M28" s="438"/>
      <c r="N28" s="445" t="s">
        <v>184</v>
      </c>
      <c r="O28" s="446"/>
      <c r="P28" s="447">
        <f>P22-2</f>
        <v>133</v>
      </c>
      <c r="Q28" s="448"/>
      <c r="R28" s="448"/>
      <c r="S28" s="449"/>
      <c r="T28" s="447">
        <f>P28+8</f>
        <v>141</v>
      </c>
      <c r="U28" s="448"/>
      <c r="V28" s="448"/>
      <c r="W28" s="449"/>
      <c r="X28" s="75"/>
      <c r="Y28" s="3"/>
      <c r="Z28" s="384"/>
      <c r="AA28" s="385"/>
      <c r="AB28" s="385"/>
      <c r="AC28" s="385"/>
      <c r="AD28" s="386"/>
      <c r="AE28" s="421"/>
      <c r="AF28" s="422"/>
      <c r="AG28" s="423"/>
      <c r="AH28" s="436" t="s">
        <v>21</v>
      </c>
      <c r="AI28" s="437"/>
      <c r="AJ28" s="437"/>
      <c r="AK28" s="437"/>
      <c r="AL28" s="438"/>
      <c r="AM28" s="445" t="s">
        <v>184</v>
      </c>
      <c r="AN28" s="446"/>
      <c r="AO28" s="447">
        <f>AO22-2</f>
        <v>142.5</v>
      </c>
      <c r="AP28" s="448"/>
      <c r="AQ28" s="448"/>
      <c r="AR28" s="449"/>
      <c r="AS28" s="447">
        <f>AO28+8</f>
        <v>150.5</v>
      </c>
      <c r="AT28" s="448"/>
      <c r="AU28" s="448"/>
      <c r="AV28" s="449"/>
      <c r="AW28" s="10"/>
    </row>
    <row r="29" spans="1:63" ht="16.5" customHeight="1">
      <c r="A29" s="384"/>
      <c r="B29" s="385"/>
      <c r="C29" s="385"/>
      <c r="D29" s="385"/>
      <c r="E29" s="386"/>
      <c r="F29" s="421"/>
      <c r="G29" s="422"/>
      <c r="H29" s="423"/>
      <c r="I29" s="439"/>
      <c r="J29" s="440"/>
      <c r="K29" s="440"/>
      <c r="L29" s="440"/>
      <c r="M29" s="441"/>
      <c r="N29" s="445" t="s">
        <v>186</v>
      </c>
      <c r="O29" s="446"/>
      <c r="P29" s="447">
        <f>CEILING(P28*0.92,0.5)</f>
        <v>122.5</v>
      </c>
      <c r="Q29" s="448"/>
      <c r="R29" s="448"/>
      <c r="S29" s="449"/>
      <c r="T29" s="447">
        <f>CEILING(T28*0.92,0.5)</f>
        <v>130</v>
      </c>
      <c r="U29" s="448"/>
      <c r="V29" s="448"/>
      <c r="W29" s="449"/>
      <c r="X29" s="75"/>
      <c r="Y29" s="3"/>
      <c r="Z29" s="384"/>
      <c r="AA29" s="385"/>
      <c r="AB29" s="385"/>
      <c r="AC29" s="385"/>
      <c r="AD29" s="386"/>
      <c r="AE29" s="421"/>
      <c r="AF29" s="422"/>
      <c r="AG29" s="423"/>
      <c r="AH29" s="439"/>
      <c r="AI29" s="440"/>
      <c r="AJ29" s="440"/>
      <c r="AK29" s="440"/>
      <c r="AL29" s="441"/>
      <c r="AM29" s="445" t="s">
        <v>186</v>
      </c>
      <c r="AN29" s="446"/>
      <c r="AO29" s="447">
        <f>CEILING(AO28*0.92,0.5)</f>
        <v>131.5</v>
      </c>
      <c r="AP29" s="448"/>
      <c r="AQ29" s="448"/>
      <c r="AR29" s="449"/>
      <c r="AS29" s="447">
        <f>CEILING(AS28*0.92,0.5)</f>
        <v>138.5</v>
      </c>
      <c r="AT29" s="448"/>
      <c r="AU29" s="448"/>
      <c r="AV29" s="449"/>
      <c r="AW29" s="10"/>
    </row>
    <row r="30" spans="1:63" ht="16.5" customHeight="1">
      <c r="A30" s="384"/>
      <c r="B30" s="385"/>
      <c r="C30" s="385"/>
      <c r="D30" s="385"/>
      <c r="E30" s="386"/>
      <c r="F30" s="421"/>
      <c r="G30" s="422"/>
      <c r="H30" s="423"/>
      <c r="I30" s="442"/>
      <c r="J30" s="443"/>
      <c r="K30" s="443"/>
      <c r="L30" s="443"/>
      <c r="M30" s="444"/>
      <c r="N30" s="445" t="s">
        <v>96</v>
      </c>
      <c r="O30" s="446"/>
      <c r="P30" s="447">
        <f>P24-2</f>
        <v>117</v>
      </c>
      <c r="Q30" s="448"/>
      <c r="R30" s="448"/>
      <c r="S30" s="449"/>
      <c r="T30" s="447">
        <f>P30+8</f>
        <v>125</v>
      </c>
      <c r="U30" s="448"/>
      <c r="V30" s="448"/>
      <c r="W30" s="449"/>
      <c r="X30" s="75"/>
      <c r="Y30" s="3"/>
      <c r="Z30" s="384"/>
      <c r="AA30" s="385"/>
      <c r="AB30" s="385"/>
      <c r="AC30" s="385"/>
      <c r="AD30" s="386"/>
      <c r="AE30" s="421"/>
      <c r="AF30" s="422"/>
      <c r="AG30" s="423"/>
      <c r="AH30" s="442"/>
      <c r="AI30" s="443"/>
      <c r="AJ30" s="443"/>
      <c r="AK30" s="443"/>
      <c r="AL30" s="444"/>
      <c r="AM30" s="445" t="s">
        <v>96</v>
      </c>
      <c r="AN30" s="446"/>
      <c r="AO30" s="447">
        <f>AO24-2</f>
        <v>122</v>
      </c>
      <c r="AP30" s="448"/>
      <c r="AQ30" s="448"/>
      <c r="AR30" s="449"/>
      <c r="AS30" s="447">
        <f>AO30+8</f>
        <v>130</v>
      </c>
      <c r="AT30" s="448"/>
      <c r="AU30" s="448"/>
      <c r="AV30" s="449"/>
      <c r="AW30" s="10"/>
    </row>
    <row r="31" spans="1:63" ht="16.5" customHeight="1">
      <c r="A31" s="384"/>
      <c r="B31" s="385"/>
      <c r="C31" s="385"/>
      <c r="D31" s="385"/>
      <c r="E31" s="386"/>
      <c r="F31" s="421"/>
      <c r="G31" s="422"/>
      <c r="H31" s="423"/>
      <c r="I31" s="455" t="s">
        <v>22</v>
      </c>
      <c r="J31" s="456"/>
      <c r="K31" s="456"/>
      <c r="L31" s="456"/>
      <c r="M31" s="457"/>
      <c r="N31" s="453" t="s">
        <v>184</v>
      </c>
      <c r="O31" s="454"/>
      <c r="P31" s="450">
        <f>CEILING(P28*0.35+5,0.5)</f>
        <v>52</v>
      </c>
      <c r="Q31" s="451"/>
      <c r="R31" s="451"/>
      <c r="S31" s="452"/>
      <c r="T31" s="450">
        <f>CEILING(T28*0.35+5,0.5)</f>
        <v>54.5</v>
      </c>
      <c r="U31" s="451"/>
      <c r="V31" s="451"/>
      <c r="W31" s="452"/>
      <c r="X31" s="75"/>
      <c r="Y31" s="3"/>
      <c r="Z31" s="384"/>
      <c r="AA31" s="385"/>
      <c r="AB31" s="385"/>
      <c r="AC31" s="385"/>
      <c r="AD31" s="386"/>
      <c r="AE31" s="421"/>
      <c r="AF31" s="422"/>
      <c r="AG31" s="423"/>
      <c r="AH31" s="455" t="s">
        <v>66</v>
      </c>
      <c r="AI31" s="456"/>
      <c r="AJ31" s="456"/>
      <c r="AK31" s="456"/>
      <c r="AL31" s="457"/>
      <c r="AM31" s="453" t="s">
        <v>184</v>
      </c>
      <c r="AN31" s="454"/>
      <c r="AO31" s="450">
        <f>CEILING(AO28*0.4+5,0.5)</f>
        <v>62</v>
      </c>
      <c r="AP31" s="451"/>
      <c r="AQ31" s="451"/>
      <c r="AR31" s="452"/>
      <c r="AS31" s="450">
        <f>CEILING(AS28*0.4+5,0.5)</f>
        <v>65.5</v>
      </c>
      <c r="AT31" s="451"/>
      <c r="AU31" s="451"/>
      <c r="AV31" s="452"/>
      <c r="AW31" s="10"/>
    </row>
    <row r="32" spans="1:63" ht="16.5" customHeight="1">
      <c r="A32" s="384"/>
      <c r="B32" s="385"/>
      <c r="C32" s="385"/>
      <c r="D32" s="385"/>
      <c r="E32" s="386"/>
      <c r="F32" s="421"/>
      <c r="G32" s="422"/>
      <c r="H32" s="423"/>
      <c r="I32" s="458"/>
      <c r="J32" s="459"/>
      <c r="K32" s="459"/>
      <c r="L32" s="459"/>
      <c r="M32" s="460"/>
      <c r="N32" s="453" t="s">
        <v>186</v>
      </c>
      <c r="O32" s="454"/>
      <c r="P32" s="450">
        <f>CEILING(P31*0.92,0.5)</f>
        <v>48</v>
      </c>
      <c r="Q32" s="451"/>
      <c r="R32" s="451"/>
      <c r="S32" s="452"/>
      <c r="T32" s="450">
        <f>CEILING(T31*0.92,0.5)</f>
        <v>50.5</v>
      </c>
      <c r="U32" s="451"/>
      <c r="V32" s="451"/>
      <c r="W32" s="452"/>
      <c r="X32" s="75"/>
      <c r="Y32" s="3"/>
      <c r="Z32" s="384"/>
      <c r="AA32" s="385"/>
      <c r="AB32" s="385"/>
      <c r="AC32" s="385"/>
      <c r="AD32" s="386"/>
      <c r="AE32" s="421"/>
      <c r="AF32" s="422"/>
      <c r="AG32" s="423"/>
      <c r="AH32" s="458"/>
      <c r="AI32" s="459"/>
      <c r="AJ32" s="459"/>
      <c r="AK32" s="459"/>
      <c r="AL32" s="460"/>
      <c r="AM32" s="453" t="s">
        <v>186</v>
      </c>
      <c r="AN32" s="454"/>
      <c r="AO32" s="450">
        <f>CEILING(AO31*0.92,0.5)</f>
        <v>57.5</v>
      </c>
      <c r="AP32" s="451"/>
      <c r="AQ32" s="451"/>
      <c r="AR32" s="452"/>
      <c r="AS32" s="450">
        <f>CEILING(AS31*0.92,0.5)</f>
        <v>60.5</v>
      </c>
      <c r="AT32" s="451"/>
      <c r="AU32" s="451"/>
      <c r="AV32" s="452"/>
      <c r="AW32" s="10"/>
    </row>
    <row r="33" spans="1:49" ht="16.5" customHeight="1">
      <c r="A33" s="387"/>
      <c r="B33" s="388"/>
      <c r="C33" s="388"/>
      <c r="D33" s="388"/>
      <c r="E33" s="389"/>
      <c r="F33" s="424"/>
      <c r="G33" s="425"/>
      <c r="H33" s="426"/>
      <c r="I33" s="461"/>
      <c r="J33" s="462"/>
      <c r="K33" s="462"/>
      <c r="L33" s="462"/>
      <c r="M33" s="463"/>
      <c r="N33" s="453" t="s">
        <v>96</v>
      </c>
      <c r="O33" s="454"/>
      <c r="P33" s="450">
        <f>CEILING(P30*0.35+5,0.5)</f>
        <v>46</v>
      </c>
      <c r="Q33" s="451"/>
      <c r="R33" s="451"/>
      <c r="S33" s="452"/>
      <c r="T33" s="450">
        <f>CEILING(T30*0.35+5,0.5)</f>
        <v>49</v>
      </c>
      <c r="U33" s="451"/>
      <c r="V33" s="451"/>
      <c r="W33" s="452"/>
      <c r="X33" s="75"/>
      <c r="Y33" s="3"/>
      <c r="Z33" s="387"/>
      <c r="AA33" s="388"/>
      <c r="AB33" s="388"/>
      <c r="AC33" s="388"/>
      <c r="AD33" s="389"/>
      <c r="AE33" s="424"/>
      <c r="AF33" s="425"/>
      <c r="AG33" s="426"/>
      <c r="AH33" s="461"/>
      <c r="AI33" s="462"/>
      <c r="AJ33" s="462"/>
      <c r="AK33" s="462"/>
      <c r="AL33" s="463"/>
      <c r="AM33" s="453" t="s">
        <v>96</v>
      </c>
      <c r="AN33" s="454"/>
      <c r="AO33" s="450">
        <f>CEILING(AO30*0.4+5,0.5)</f>
        <v>54</v>
      </c>
      <c r="AP33" s="451"/>
      <c r="AQ33" s="451"/>
      <c r="AR33" s="452"/>
      <c r="AS33" s="450">
        <f>CEILING(AS30*0.4+5,0.5)</f>
        <v>57</v>
      </c>
      <c r="AT33" s="451"/>
      <c r="AU33" s="451"/>
      <c r="AV33" s="452"/>
      <c r="AW33" s="10"/>
    </row>
    <row r="34" spans="1:49" ht="16.5" customHeight="1">
      <c r="A34" s="71" t="s">
        <v>266</v>
      </c>
      <c r="B34" s="72"/>
      <c r="C34" s="10"/>
      <c r="D34" s="10"/>
      <c r="E34" s="10"/>
      <c r="F34" s="14"/>
      <c r="G34" s="14"/>
      <c r="H34" s="14"/>
      <c r="I34" s="14"/>
      <c r="J34" s="14"/>
      <c r="K34" s="14"/>
      <c r="L34" s="14"/>
      <c r="M34" s="14"/>
      <c r="N34" s="14"/>
      <c r="O34" s="14"/>
      <c r="P34" s="14"/>
      <c r="Q34" s="14"/>
      <c r="R34" s="14"/>
      <c r="S34" s="14"/>
      <c r="T34" s="14"/>
    </row>
    <row r="35" spans="1:49" ht="16.5" customHeight="1">
      <c r="A35" s="71" t="s">
        <v>267</v>
      </c>
      <c r="B35" s="72"/>
      <c r="C35" s="10"/>
      <c r="D35" s="10"/>
      <c r="E35" s="10"/>
      <c r="F35" s="10"/>
      <c r="G35" s="10"/>
      <c r="H35" s="10"/>
      <c r="I35" s="10"/>
    </row>
    <row r="36" spans="1:49" ht="16.5" customHeight="1">
      <c r="A36" s="71" t="s">
        <v>25</v>
      </c>
      <c r="B36" s="72"/>
      <c r="C36" s="10"/>
      <c r="D36" s="10"/>
      <c r="E36" s="10"/>
      <c r="F36" s="10"/>
      <c r="G36" s="10"/>
      <c r="H36" s="10"/>
      <c r="I36" s="10"/>
    </row>
    <row r="37" spans="1:49" ht="16.5" customHeight="1">
      <c r="A37" s="71" t="s">
        <v>26</v>
      </c>
      <c r="B37" s="72"/>
      <c r="C37" s="10"/>
      <c r="D37" s="10"/>
      <c r="E37" s="10"/>
      <c r="F37" s="10"/>
      <c r="G37" s="10"/>
      <c r="H37" s="10"/>
      <c r="I37" s="10"/>
    </row>
    <row r="38" spans="1:49" ht="16.5" customHeight="1" thickBot="1"/>
    <row r="39" spans="1:49" ht="16.5" customHeight="1" thickTop="1">
      <c r="A39" s="90" t="s">
        <v>27</v>
      </c>
      <c r="B39" s="91"/>
      <c r="C39" s="91"/>
      <c r="D39" s="91"/>
      <c r="E39" s="91"/>
      <c r="F39" s="91"/>
      <c r="G39" s="91"/>
      <c r="H39" s="91"/>
      <c r="I39" s="91"/>
      <c r="J39" s="91"/>
      <c r="K39" s="91"/>
      <c r="L39" s="91"/>
      <c r="M39" s="91"/>
      <c r="N39" s="91"/>
      <c r="O39" s="91"/>
      <c r="P39" s="91"/>
      <c r="Q39" s="91"/>
      <c r="R39" s="91"/>
      <c r="S39" s="91"/>
      <c r="T39" s="92"/>
    </row>
    <row r="40" spans="1:49" ht="16.5" customHeight="1">
      <c r="A40" s="186" t="s">
        <v>28</v>
      </c>
      <c r="B40" s="187"/>
      <c r="C40" s="187"/>
      <c r="D40" s="187"/>
      <c r="E40" s="187"/>
      <c r="F40" s="187"/>
      <c r="G40" s="187"/>
      <c r="H40" s="188"/>
      <c r="I40" s="227" t="s">
        <v>29</v>
      </c>
      <c r="J40" s="187"/>
      <c r="K40" s="187"/>
      <c r="L40" s="187"/>
      <c r="M40" s="187"/>
      <c r="N40" s="187"/>
      <c r="O40" s="187"/>
      <c r="P40" s="187"/>
      <c r="Q40" s="187"/>
      <c r="R40" s="187"/>
      <c r="S40" s="187"/>
      <c r="T40" s="189"/>
    </row>
    <row r="41" spans="1:49" ht="16.5" customHeight="1" thickBot="1">
      <c r="A41" s="85" t="s">
        <v>71</v>
      </c>
      <c r="B41" s="86"/>
      <c r="C41" s="86"/>
      <c r="D41" s="86"/>
      <c r="E41" s="86"/>
      <c r="F41" s="86"/>
      <c r="G41" s="86"/>
      <c r="H41" s="87"/>
      <c r="I41" s="86" t="s">
        <v>72</v>
      </c>
      <c r="J41" s="86"/>
      <c r="K41" s="86"/>
      <c r="L41" s="86"/>
      <c r="M41" s="86"/>
      <c r="N41" s="86"/>
      <c r="O41" s="86"/>
      <c r="P41" s="86"/>
      <c r="Q41" s="86"/>
      <c r="R41" s="86"/>
      <c r="S41" s="86"/>
      <c r="T41" s="88"/>
    </row>
    <row r="42" spans="1:49" ht="16.5" customHeight="1" thickTop="1">
      <c r="A42" s="10"/>
    </row>
    <row r="43" spans="1:49" ht="16.5" customHeight="1">
      <c r="A43" s="10"/>
    </row>
    <row r="44" spans="1:49" ht="16.5" customHeight="1">
      <c r="A44" s="10"/>
    </row>
    <row r="45" spans="1:49" ht="16.5" customHeight="1">
      <c r="A45" s="10"/>
    </row>
    <row r="46" spans="1:49" ht="16.5" customHeight="1">
      <c r="A46" s="10"/>
    </row>
    <row r="47" spans="1:49" ht="16.5" customHeight="1">
      <c r="A47" s="10"/>
    </row>
    <row r="48" spans="1:49" ht="16.5" customHeight="1">
      <c r="A48" s="10"/>
    </row>
    <row r="49" spans="1:50" ht="16.5" customHeight="1">
      <c r="A49" s="10"/>
    </row>
    <row r="50" spans="1:50" ht="16.5" customHeight="1">
      <c r="A50" s="10"/>
    </row>
    <row r="51" spans="1:50" ht="16.5" customHeight="1">
      <c r="A51" s="10"/>
    </row>
    <row r="52" spans="1:50" ht="16.5" customHeight="1">
      <c r="A52" s="10"/>
    </row>
    <row r="53" spans="1:50" ht="16.5" customHeight="1">
      <c r="A53" s="10"/>
    </row>
    <row r="54" spans="1:50" ht="16.5" customHeight="1">
      <c r="A54" s="10"/>
    </row>
    <row r="55" spans="1:50" ht="16.5" customHeight="1">
      <c r="A55" s="10"/>
    </row>
    <row r="56" spans="1:50" ht="16.5" customHeight="1">
      <c r="A56" s="10"/>
    </row>
    <row r="57" spans="1:50" ht="16.5" customHeight="1">
      <c r="A57" s="10"/>
    </row>
    <row r="58" spans="1:50" ht="16.5" customHeight="1">
      <c r="A58" s="98" t="s">
        <v>3</v>
      </c>
      <c r="B58" s="98"/>
      <c r="C58" s="98"/>
      <c r="D58" s="98"/>
      <c r="E58" s="98"/>
      <c r="F58" s="98" t="s">
        <v>4</v>
      </c>
      <c r="G58" s="98"/>
      <c r="H58" s="98"/>
      <c r="I58" s="98" t="s">
        <v>5</v>
      </c>
      <c r="J58" s="98"/>
      <c r="K58" s="98"/>
      <c r="L58" s="98"/>
      <c r="M58" s="98"/>
      <c r="N58" s="98"/>
      <c r="O58" s="98"/>
      <c r="P58" s="98" t="s">
        <v>6</v>
      </c>
      <c r="Q58" s="98"/>
      <c r="R58" s="98"/>
      <c r="S58" s="98"/>
      <c r="T58" s="98" t="s">
        <v>7</v>
      </c>
      <c r="U58" s="98"/>
      <c r="V58" s="98"/>
      <c r="W58" s="98"/>
      <c r="X58" s="22"/>
      <c r="Y58" s="3"/>
      <c r="Z58" s="98" t="s">
        <v>3</v>
      </c>
      <c r="AA58" s="98"/>
      <c r="AB58" s="98"/>
      <c r="AC58" s="98"/>
      <c r="AD58" s="98"/>
      <c r="AE58" s="98" t="s">
        <v>4</v>
      </c>
      <c r="AF58" s="98"/>
      <c r="AG58" s="98"/>
      <c r="AH58" s="98" t="s">
        <v>5</v>
      </c>
      <c r="AI58" s="98"/>
      <c r="AJ58" s="98"/>
      <c r="AK58" s="98"/>
      <c r="AL58" s="98"/>
      <c r="AM58" s="98"/>
      <c r="AN58" s="98"/>
      <c r="AO58" s="98" t="s">
        <v>6</v>
      </c>
      <c r="AP58" s="98"/>
      <c r="AQ58" s="98"/>
      <c r="AR58" s="98"/>
      <c r="AS58" s="98" t="s">
        <v>7</v>
      </c>
      <c r="AT58" s="98"/>
      <c r="AU58" s="98"/>
      <c r="AV58" s="98"/>
    </row>
    <row r="59" spans="1:50" ht="16.5" customHeight="1">
      <c r="A59" s="93" t="s">
        <v>302</v>
      </c>
      <c r="B59" s="93"/>
      <c r="C59" s="93"/>
      <c r="D59" s="93"/>
      <c r="E59" s="93"/>
      <c r="F59" s="165">
        <v>5</v>
      </c>
      <c r="G59" s="165"/>
      <c r="H59" s="165"/>
      <c r="I59" s="95" t="s">
        <v>9</v>
      </c>
      <c r="J59" s="95"/>
      <c r="K59" s="95"/>
      <c r="L59" s="95"/>
      <c r="M59" s="95"/>
      <c r="N59" s="100" t="s">
        <v>184</v>
      </c>
      <c r="O59" s="100"/>
      <c r="P59" s="101">
        <f>CEILING(118.5*1.3,0.5)</f>
        <v>154.5</v>
      </c>
      <c r="Q59" s="101"/>
      <c r="R59" s="101"/>
      <c r="S59" s="101"/>
      <c r="T59" s="99">
        <f>P59+20</f>
        <v>174.5</v>
      </c>
      <c r="U59" s="99"/>
      <c r="V59" s="99"/>
      <c r="W59" s="99"/>
      <c r="X59" s="29"/>
      <c r="Z59" s="93" t="s">
        <v>303</v>
      </c>
      <c r="AA59" s="93"/>
      <c r="AB59" s="93"/>
      <c r="AC59" s="93"/>
      <c r="AD59" s="93"/>
      <c r="AE59" s="165">
        <v>10</v>
      </c>
      <c r="AF59" s="165"/>
      <c r="AG59" s="165"/>
      <c r="AH59" s="95" t="s">
        <v>9</v>
      </c>
      <c r="AI59" s="95"/>
      <c r="AJ59" s="95"/>
      <c r="AK59" s="95"/>
      <c r="AL59" s="95"/>
      <c r="AM59" s="100" t="s">
        <v>184</v>
      </c>
      <c r="AN59" s="100"/>
      <c r="AO59" s="101">
        <f>CEILING(132*1.3,0.5)</f>
        <v>172</v>
      </c>
      <c r="AP59" s="101"/>
      <c r="AQ59" s="101"/>
      <c r="AR59" s="101"/>
      <c r="AS59" s="99">
        <f>AO59+20</f>
        <v>192</v>
      </c>
      <c r="AT59" s="99"/>
      <c r="AU59" s="99"/>
      <c r="AV59" s="99"/>
      <c r="AW59" s="14"/>
      <c r="AX59" s="14"/>
    </row>
    <row r="60" spans="1:50" ht="16.5" customHeight="1">
      <c r="A60" s="93"/>
      <c r="B60" s="93"/>
      <c r="C60" s="93"/>
      <c r="D60" s="93"/>
      <c r="E60" s="93"/>
      <c r="F60" s="165"/>
      <c r="G60" s="165"/>
      <c r="H60" s="165"/>
      <c r="I60" s="95"/>
      <c r="J60" s="95"/>
      <c r="K60" s="95"/>
      <c r="L60" s="95"/>
      <c r="M60" s="95"/>
      <c r="N60" s="100" t="s">
        <v>186</v>
      </c>
      <c r="O60" s="100"/>
      <c r="P60" s="99">
        <f>CEILING(P59*0.92,0.5)</f>
        <v>142.5</v>
      </c>
      <c r="Q60" s="99"/>
      <c r="R60" s="99"/>
      <c r="S60" s="99"/>
      <c r="T60" s="99">
        <f>CEILING(T59*0.92,0.5)</f>
        <v>161</v>
      </c>
      <c r="U60" s="99"/>
      <c r="V60" s="99"/>
      <c r="W60" s="99"/>
      <c r="X60" s="29"/>
      <c r="Z60" s="93"/>
      <c r="AA60" s="93"/>
      <c r="AB60" s="93"/>
      <c r="AC60" s="93"/>
      <c r="AD60" s="93"/>
      <c r="AE60" s="165"/>
      <c r="AF60" s="165"/>
      <c r="AG60" s="165"/>
      <c r="AH60" s="95"/>
      <c r="AI60" s="95"/>
      <c r="AJ60" s="95"/>
      <c r="AK60" s="95"/>
      <c r="AL60" s="95"/>
      <c r="AM60" s="100" t="s">
        <v>186</v>
      </c>
      <c r="AN60" s="100"/>
      <c r="AO60" s="99">
        <f>CEILING(AO59*0.92,0.5)</f>
        <v>158.5</v>
      </c>
      <c r="AP60" s="99"/>
      <c r="AQ60" s="99"/>
      <c r="AR60" s="99"/>
      <c r="AS60" s="99">
        <f>CEILING(AS59*0.92,0.5)</f>
        <v>177</v>
      </c>
      <c r="AT60" s="99"/>
      <c r="AU60" s="99"/>
      <c r="AV60" s="99"/>
      <c r="AW60" s="14"/>
    </row>
    <row r="61" spans="1:50" ht="16.5" customHeight="1">
      <c r="A61" s="93"/>
      <c r="B61" s="93"/>
      <c r="C61" s="93"/>
      <c r="D61" s="93"/>
      <c r="E61" s="93"/>
      <c r="F61" s="165"/>
      <c r="G61" s="165"/>
      <c r="H61" s="165"/>
      <c r="I61" s="95"/>
      <c r="J61" s="95"/>
      <c r="K61" s="95"/>
      <c r="L61" s="95"/>
      <c r="M61" s="95"/>
      <c r="N61" s="100" t="s">
        <v>96</v>
      </c>
      <c r="O61" s="100"/>
      <c r="P61" s="101">
        <f>CEILING(103*1.3,0.5)</f>
        <v>134</v>
      </c>
      <c r="Q61" s="101"/>
      <c r="R61" s="101"/>
      <c r="S61" s="101"/>
      <c r="T61" s="99">
        <f>P61+20</f>
        <v>154</v>
      </c>
      <c r="U61" s="99"/>
      <c r="V61" s="99"/>
      <c r="W61" s="99"/>
      <c r="X61" s="29"/>
      <c r="Z61" s="93"/>
      <c r="AA61" s="93"/>
      <c r="AB61" s="93"/>
      <c r="AC61" s="93"/>
      <c r="AD61" s="93"/>
      <c r="AE61" s="165"/>
      <c r="AF61" s="165"/>
      <c r="AG61" s="165"/>
      <c r="AH61" s="95"/>
      <c r="AI61" s="95"/>
      <c r="AJ61" s="95"/>
      <c r="AK61" s="95"/>
      <c r="AL61" s="95"/>
      <c r="AM61" s="100" t="s">
        <v>96</v>
      </c>
      <c r="AN61" s="100"/>
      <c r="AO61" s="101">
        <f>CEILING(118.5*1.3,0.5)</f>
        <v>154.5</v>
      </c>
      <c r="AP61" s="101"/>
      <c r="AQ61" s="101"/>
      <c r="AR61" s="101"/>
      <c r="AS61" s="99">
        <f>AO61+20</f>
        <v>174.5</v>
      </c>
      <c r="AT61" s="99"/>
      <c r="AU61" s="99"/>
      <c r="AV61" s="99"/>
    </row>
    <row r="62" spans="1:50" ht="16.5" customHeight="1">
      <c r="A62" s="93"/>
      <c r="B62" s="93"/>
      <c r="C62" s="93"/>
      <c r="D62" s="93"/>
      <c r="E62" s="93"/>
      <c r="F62" s="165"/>
      <c r="G62" s="165"/>
      <c r="H62" s="165"/>
      <c r="I62" s="97" t="s">
        <v>14</v>
      </c>
      <c r="J62" s="97"/>
      <c r="K62" s="97"/>
      <c r="L62" s="97"/>
      <c r="M62" s="97"/>
      <c r="N62" s="98" t="s">
        <v>184</v>
      </c>
      <c r="O62" s="98"/>
      <c r="P62" s="96">
        <f>CEILING(P59*0.47+5,0.5)</f>
        <v>78</v>
      </c>
      <c r="Q62" s="96"/>
      <c r="R62" s="96"/>
      <c r="S62" s="96"/>
      <c r="T62" s="96">
        <f>CEILING(T59*0.47+5,0.5)</f>
        <v>87.5</v>
      </c>
      <c r="U62" s="96"/>
      <c r="V62" s="96"/>
      <c r="W62" s="96"/>
      <c r="X62" s="29"/>
      <c r="Z62" s="93"/>
      <c r="AA62" s="93"/>
      <c r="AB62" s="93"/>
      <c r="AC62" s="93"/>
      <c r="AD62" s="93"/>
      <c r="AE62" s="165"/>
      <c r="AF62" s="165"/>
      <c r="AG62" s="165"/>
      <c r="AH62" s="97" t="s">
        <v>70</v>
      </c>
      <c r="AI62" s="97"/>
      <c r="AJ62" s="97"/>
      <c r="AK62" s="97"/>
      <c r="AL62" s="97"/>
      <c r="AM62" s="98" t="s">
        <v>184</v>
      </c>
      <c r="AN62" s="98"/>
      <c r="AO62" s="96">
        <f>CEILING(AO59*0.57+5,0.5)</f>
        <v>103.5</v>
      </c>
      <c r="AP62" s="96"/>
      <c r="AQ62" s="96"/>
      <c r="AR62" s="96"/>
      <c r="AS62" s="96">
        <f>CEILING(AS59*0.57+5,0.5)</f>
        <v>114.5</v>
      </c>
      <c r="AT62" s="96"/>
      <c r="AU62" s="96"/>
      <c r="AV62" s="96"/>
    </row>
    <row r="63" spans="1:50" ht="16.5" customHeight="1">
      <c r="A63" s="93"/>
      <c r="B63" s="93"/>
      <c r="C63" s="93"/>
      <c r="D63" s="93"/>
      <c r="E63" s="93"/>
      <c r="F63" s="165"/>
      <c r="G63" s="165"/>
      <c r="H63" s="165"/>
      <c r="I63" s="97"/>
      <c r="J63" s="97"/>
      <c r="K63" s="97"/>
      <c r="L63" s="97"/>
      <c r="M63" s="97"/>
      <c r="N63" s="98" t="s">
        <v>186</v>
      </c>
      <c r="O63" s="98"/>
      <c r="P63" s="96">
        <f>CEILING(P62*0.92,0.5)</f>
        <v>72</v>
      </c>
      <c r="Q63" s="96"/>
      <c r="R63" s="96"/>
      <c r="S63" s="96"/>
      <c r="T63" s="96">
        <f>CEILING(T62*0.92,0.5)</f>
        <v>80.5</v>
      </c>
      <c r="U63" s="96"/>
      <c r="V63" s="96"/>
      <c r="W63" s="96"/>
      <c r="X63" s="29"/>
      <c r="Z63" s="93"/>
      <c r="AA63" s="93"/>
      <c r="AB63" s="93"/>
      <c r="AC63" s="93"/>
      <c r="AD63" s="93"/>
      <c r="AE63" s="165"/>
      <c r="AF63" s="165"/>
      <c r="AG63" s="165"/>
      <c r="AH63" s="97"/>
      <c r="AI63" s="97"/>
      <c r="AJ63" s="97"/>
      <c r="AK63" s="97"/>
      <c r="AL63" s="97"/>
      <c r="AM63" s="98" t="s">
        <v>186</v>
      </c>
      <c r="AN63" s="98"/>
      <c r="AO63" s="96">
        <f>CEILING(AO62*0.92,0.5)</f>
        <v>95.5</v>
      </c>
      <c r="AP63" s="96"/>
      <c r="AQ63" s="96"/>
      <c r="AR63" s="96"/>
      <c r="AS63" s="96">
        <f>CEILING(AS62*0.92,0.5)</f>
        <v>105.5</v>
      </c>
      <c r="AT63" s="96"/>
      <c r="AU63" s="96"/>
      <c r="AV63" s="96"/>
    </row>
    <row r="64" spans="1:50" ht="16.5" customHeight="1">
      <c r="A64" s="93"/>
      <c r="B64" s="93"/>
      <c r="C64" s="93"/>
      <c r="D64" s="93"/>
      <c r="E64" s="93"/>
      <c r="F64" s="165"/>
      <c r="G64" s="165"/>
      <c r="H64" s="165"/>
      <c r="I64" s="97"/>
      <c r="J64" s="97"/>
      <c r="K64" s="97"/>
      <c r="L64" s="97"/>
      <c r="M64" s="97"/>
      <c r="N64" s="98" t="s">
        <v>96</v>
      </c>
      <c r="O64" s="98"/>
      <c r="P64" s="96">
        <f>CEILING(P61*0.47+5,0.5)</f>
        <v>68</v>
      </c>
      <c r="Q64" s="96"/>
      <c r="R64" s="96"/>
      <c r="S64" s="96"/>
      <c r="T64" s="96">
        <f>CEILING(T61*0.47+5,0.5)</f>
        <v>77.5</v>
      </c>
      <c r="U64" s="96"/>
      <c r="V64" s="96"/>
      <c r="W64" s="96"/>
      <c r="X64" s="29"/>
      <c r="Z64" s="93"/>
      <c r="AA64" s="93"/>
      <c r="AB64" s="93"/>
      <c r="AC64" s="93"/>
      <c r="AD64" s="93"/>
      <c r="AE64" s="165"/>
      <c r="AF64" s="165"/>
      <c r="AG64" s="165"/>
      <c r="AH64" s="97"/>
      <c r="AI64" s="97"/>
      <c r="AJ64" s="97"/>
      <c r="AK64" s="97"/>
      <c r="AL64" s="97"/>
      <c r="AM64" s="98" t="s">
        <v>96</v>
      </c>
      <c r="AN64" s="98"/>
      <c r="AO64" s="96">
        <f>CEILING(AO61*0.57+5,0.5)</f>
        <v>93.5</v>
      </c>
      <c r="AP64" s="96"/>
      <c r="AQ64" s="96"/>
      <c r="AR64" s="96"/>
      <c r="AS64" s="96">
        <f>CEILING(AS61*0.57+5,0.5)</f>
        <v>104.5</v>
      </c>
      <c r="AT64" s="96"/>
      <c r="AU64" s="96"/>
      <c r="AV64" s="96"/>
    </row>
    <row r="65" spans="1:77" ht="16.5" customHeight="1">
      <c r="A65" s="93"/>
      <c r="B65" s="93"/>
      <c r="C65" s="93"/>
      <c r="D65" s="93"/>
      <c r="E65" s="93"/>
      <c r="F65" s="165"/>
      <c r="G65" s="165"/>
      <c r="H65" s="165"/>
      <c r="I65" s="95" t="s">
        <v>15</v>
      </c>
      <c r="J65" s="95"/>
      <c r="K65" s="95"/>
      <c r="L65" s="95"/>
      <c r="M65" s="95"/>
      <c r="N65" s="100" t="s">
        <v>184</v>
      </c>
      <c r="O65" s="100"/>
      <c r="P65" s="99">
        <f>P59-5</f>
        <v>149.5</v>
      </c>
      <c r="Q65" s="99"/>
      <c r="R65" s="99"/>
      <c r="S65" s="99"/>
      <c r="T65" s="99">
        <f>P65+15</f>
        <v>164.5</v>
      </c>
      <c r="U65" s="99"/>
      <c r="V65" s="99"/>
      <c r="W65" s="99"/>
      <c r="X65" s="29"/>
      <c r="Z65" s="93"/>
      <c r="AA65" s="93"/>
      <c r="AB65" s="93"/>
      <c r="AC65" s="93"/>
      <c r="AD65" s="93"/>
      <c r="AE65" s="165"/>
      <c r="AF65" s="165"/>
      <c r="AG65" s="165"/>
      <c r="AH65" s="95" t="s">
        <v>15</v>
      </c>
      <c r="AI65" s="95"/>
      <c r="AJ65" s="95"/>
      <c r="AK65" s="95"/>
      <c r="AL65" s="95"/>
      <c r="AM65" s="100" t="s">
        <v>184</v>
      </c>
      <c r="AN65" s="100"/>
      <c r="AO65" s="99">
        <f>AO59-5</f>
        <v>167</v>
      </c>
      <c r="AP65" s="99"/>
      <c r="AQ65" s="99"/>
      <c r="AR65" s="99"/>
      <c r="AS65" s="99">
        <f>AO65+15</f>
        <v>182</v>
      </c>
      <c r="AT65" s="99"/>
      <c r="AU65" s="99"/>
      <c r="AV65" s="99"/>
    </row>
    <row r="66" spans="1:77" ht="16.5" customHeight="1">
      <c r="A66" s="93"/>
      <c r="B66" s="93"/>
      <c r="C66" s="93"/>
      <c r="D66" s="93"/>
      <c r="E66" s="93"/>
      <c r="F66" s="165"/>
      <c r="G66" s="165"/>
      <c r="H66" s="165"/>
      <c r="I66" s="95"/>
      <c r="J66" s="95"/>
      <c r="K66" s="95"/>
      <c r="L66" s="95"/>
      <c r="M66" s="95"/>
      <c r="N66" s="100" t="s">
        <v>186</v>
      </c>
      <c r="O66" s="100"/>
      <c r="P66" s="99">
        <f>CEILING(P65*0.92,0.5)</f>
        <v>138</v>
      </c>
      <c r="Q66" s="99"/>
      <c r="R66" s="99"/>
      <c r="S66" s="99"/>
      <c r="T66" s="99">
        <f>CEILING(T65*0.92,0.5)</f>
        <v>151.5</v>
      </c>
      <c r="U66" s="99"/>
      <c r="V66" s="99"/>
      <c r="W66" s="99"/>
      <c r="X66" s="29"/>
      <c r="Z66" s="93"/>
      <c r="AA66" s="93"/>
      <c r="AB66" s="93"/>
      <c r="AC66" s="93"/>
      <c r="AD66" s="93"/>
      <c r="AE66" s="165"/>
      <c r="AF66" s="165"/>
      <c r="AG66" s="165"/>
      <c r="AH66" s="95"/>
      <c r="AI66" s="95"/>
      <c r="AJ66" s="95"/>
      <c r="AK66" s="95"/>
      <c r="AL66" s="95"/>
      <c r="AM66" s="100" t="s">
        <v>186</v>
      </c>
      <c r="AN66" s="100"/>
      <c r="AO66" s="99">
        <f>CEILING(AO65*0.92,0.5)</f>
        <v>154</v>
      </c>
      <c r="AP66" s="99"/>
      <c r="AQ66" s="99"/>
      <c r="AR66" s="99"/>
      <c r="AS66" s="99">
        <f>CEILING(AS65*0.92,0.5)</f>
        <v>167.5</v>
      </c>
      <c r="AT66" s="99"/>
      <c r="AU66" s="99"/>
      <c r="AV66" s="99"/>
      <c r="BO66" s="14"/>
      <c r="BP66" s="14"/>
      <c r="BQ66" s="14"/>
      <c r="BR66" s="14"/>
      <c r="BS66" s="14"/>
      <c r="BT66" s="14"/>
      <c r="BU66" s="14"/>
      <c r="BV66" s="14"/>
      <c r="BW66" s="14"/>
      <c r="BX66" s="14"/>
      <c r="BY66" s="14"/>
    </row>
    <row r="67" spans="1:77" ht="16.5" customHeight="1">
      <c r="A67" s="93"/>
      <c r="B67" s="93"/>
      <c r="C67" s="93"/>
      <c r="D67" s="93"/>
      <c r="E67" s="93"/>
      <c r="F67" s="165"/>
      <c r="G67" s="165"/>
      <c r="H67" s="165"/>
      <c r="I67" s="95"/>
      <c r="J67" s="95"/>
      <c r="K67" s="95"/>
      <c r="L67" s="95"/>
      <c r="M67" s="95"/>
      <c r="N67" s="100" t="s">
        <v>96</v>
      </c>
      <c r="O67" s="100"/>
      <c r="P67" s="99">
        <f>P61-5</f>
        <v>129</v>
      </c>
      <c r="Q67" s="99"/>
      <c r="R67" s="99"/>
      <c r="S67" s="99"/>
      <c r="T67" s="99">
        <f>P67+15</f>
        <v>144</v>
      </c>
      <c r="U67" s="99"/>
      <c r="V67" s="99"/>
      <c r="W67" s="99"/>
      <c r="X67" s="29"/>
      <c r="Z67" s="93"/>
      <c r="AA67" s="93"/>
      <c r="AB67" s="93"/>
      <c r="AC67" s="93"/>
      <c r="AD67" s="93"/>
      <c r="AE67" s="165"/>
      <c r="AF67" s="165"/>
      <c r="AG67" s="165"/>
      <c r="AH67" s="95"/>
      <c r="AI67" s="95"/>
      <c r="AJ67" s="95"/>
      <c r="AK67" s="95"/>
      <c r="AL67" s="95"/>
      <c r="AM67" s="100" t="s">
        <v>96</v>
      </c>
      <c r="AN67" s="100"/>
      <c r="AO67" s="99">
        <f>AO61-5</f>
        <v>149.5</v>
      </c>
      <c r="AP67" s="99"/>
      <c r="AQ67" s="99"/>
      <c r="AR67" s="99"/>
      <c r="AS67" s="99">
        <f>AO67+15</f>
        <v>164.5</v>
      </c>
      <c r="AT67" s="99"/>
      <c r="AU67" s="99"/>
      <c r="AV67" s="99"/>
      <c r="BO67" s="14"/>
      <c r="BP67" s="14"/>
      <c r="BQ67" s="14"/>
      <c r="BR67" s="14"/>
      <c r="BS67" s="14"/>
      <c r="BT67" s="14"/>
      <c r="BU67" s="14"/>
      <c r="BV67" s="14"/>
      <c r="BW67" s="14"/>
      <c r="BX67" s="14"/>
    </row>
    <row r="68" spans="1:77" ht="16.5" customHeight="1">
      <c r="A68" s="93"/>
      <c r="B68" s="93"/>
      <c r="C68" s="93"/>
      <c r="D68" s="93"/>
      <c r="E68" s="93"/>
      <c r="F68" s="165"/>
      <c r="G68" s="165"/>
      <c r="H68" s="165"/>
      <c r="I68" s="97" t="s">
        <v>17</v>
      </c>
      <c r="J68" s="97"/>
      <c r="K68" s="97"/>
      <c r="L68" s="97"/>
      <c r="M68" s="97"/>
      <c r="N68" s="98" t="s">
        <v>184</v>
      </c>
      <c r="O68" s="98"/>
      <c r="P68" s="96">
        <f>CEILING(P65*0.47+5,0.5)</f>
        <v>75.5</v>
      </c>
      <c r="Q68" s="96"/>
      <c r="R68" s="96"/>
      <c r="S68" s="96"/>
      <c r="T68" s="96">
        <f>CEILING(T65*0.47+5,0.5)</f>
        <v>82.5</v>
      </c>
      <c r="U68" s="96"/>
      <c r="V68" s="96"/>
      <c r="W68" s="96"/>
      <c r="X68" s="29"/>
      <c r="Z68" s="93"/>
      <c r="AA68" s="93"/>
      <c r="AB68" s="93"/>
      <c r="AC68" s="93"/>
      <c r="AD68" s="93"/>
      <c r="AE68" s="165"/>
      <c r="AF68" s="165"/>
      <c r="AG68" s="165"/>
      <c r="AH68" s="97" t="s">
        <v>55</v>
      </c>
      <c r="AI68" s="97"/>
      <c r="AJ68" s="97"/>
      <c r="AK68" s="97"/>
      <c r="AL68" s="97"/>
      <c r="AM68" s="98" t="s">
        <v>184</v>
      </c>
      <c r="AN68" s="98"/>
      <c r="AO68" s="96">
        <f>CEILING(AO65*0.57+5,0.5)</f>
        <v>100.5</v>
      </c>
      <c r="AP68" s="96"/>
      <c r="AQ68" s="96"/>
      <c r="AR68" s="96"/>
      <c r="AS68" s="96">
        <f>CEILING(AS65*0.57+5,0.5)</f>
        <v>109</v>
      </c>
      <c r="AT68" s="96"/>
      <c r="AU68" s="96"/>
      <c r="AV68" s="96"/>
    </row>
    <row r="69" spans="1:77" ht="16.5" customHeight="1">
      <c r="A69" s="93"/>
      <c r="B69" s="93"/>
      <c r="C69" s="93"/>
      <c r="D69" s="93"/>
      <c r="E69" s="93"/>
      <c r="F69" s="165"/>
      <c r="G69" s="165"/>
      <c r="H69" s="165"/>
      <c r="I69" s="97"/>
      <c r="J69" s="97"/>
      <c r="K69" s="97"/>
      <c r="L69" s="97"/>
      <c r="M69" s="97"/>
      <c r="N69" s="98" t="s">
        <v>186</v>
      </c>
      <c r="O69" s="98"/>
      <c r="P69" s="96">
        <f>CEILING(P68*0.92,0.5)</f>
        <v>69.5</v>
      </c>
      <c r="Q69" s="96"/>
      <c r="R69" s="96"/>
      <c r="S69" s="96"/>
      <c r="T69" s="96">
        <f>CEILING(T68*0.92,0.5)</f>
        <v>76</v>
      </c>
      <c r="U69" s="96"/>
      <c r="V69" s="96"/>
      <c r="W69" s="96"/>
      <c r="X69" s="29"/>
      <c r="Z69" s="93"/>
      <c r="AA69" s="93"/>
      <c r="AB69" s="93"/>
      <c r="AC69" s="93"/>
      <c r="AD69" s="93"/>
      <c r="AE69" s="165"/>
      <c r="AF69" s="165"/>
      <c r="AG69" s="165"/>
      <c r="AH69" s="97"/>
      <c r="AI69" s="97"/>
      <c r="AJ69" s="97"/>
      <c r="AK69" s="97"/>
      <c r="AL69" s="97"/>
      <c r="AM69" s="98" t="s">
        <v>186</v>
      </c>
      <c r="AN69" s="98"/>
      <c r="AO69" s="96">
        <f>CEILING(AO68*0.92,0.5)</f>
        <v>92.5</v>
      </c>
      <c r="AP69" s="96"/>
      <c r="AQ69" s="96"/>
      <c r="AR69" s="96"/>
      <c r="AS69" s="96">
        <f>CEILING(AS68*0.92,0.5)</f>
        <v>100.5</v>
      </c>
      <c r="AT69" s="96"/>
      <c r="AU69" s="96"/>
      <c r="AV69" s="96"/>
    </row>
    <row r="70" spans="1:77" ht="16.5" customHeight="1">
      <c r="A70" s="93"/>
      <c r="B70" s="93"/>
      <c r="C70" s="93"/>
      <c r="D70" s="93"/>
      <c r="E70" s="93"/>
      <c r="F70" s="165"/>
      <c r="G70" s="165"/>
      <c r="H70" s="165"/>
      <c r="I70" s="97"/>
      <c r="J70" s="97"/>
      <c r="K70" s="97"/>
      <c r="L70" s="97"/>
      <c r="M70" s="97"/>
      <c r="N70" s="98" t="s">
        <v>96</v>
      </c>
      <c r="O70" s="98"/>
      <c r="P70" s="96">
        <f>CEILING(P67*0.47+5,0.5)</f>
        <v>66</v>
      </c>
      <c r="Q70" s="96"/>
      <c r="R70" s="96"/>
      <c r="S70" s="96"/>
      <c r="T70" s="96">
        <f>CEILING(T67*0.47+5,0.5)</f>
        <v>73</v>
      </c>
      <c r="U70" s="96"/>
      <c r="V70" s="96"/>
      <c r="W70" s="96"/>
      <c r="X70" s="29"/>
      <c r="Z70" s="93"/>
      <c r="AA70" s="93"/>
      <c r="AB70" s="93"/>
      <c r="AC70" s="93"/>
      <c r="AD70" s="93"/>
      <c r="AE70" s="165"/>
      <c r="AF70" s="165"/>
      <c r="AG70" s="165"/>
      <c r="AH70" s="97"/>
      <c r="AI70" s="97"/>
      <c r="AJ70" s="97"/>
      <c r="AK70" s="97"/>
      <c r="AL70" s="97"/>
      <c r="AM70" s="98" t="s">
        <v>96</v>
      </c>
      <c r="AN70" s="98"/>
      <c r="AO70" s="96">
        <f>CEILING(AO67*0.57+5,0.5)</f>
        <v>90.5</v>
      </c>
      <c r="AP70" s="96"/>
      <c r="AQ70" s="96"/>
      <c r="AR70" s="96"/>
      <c r="AS70" s="96">
        <f>CEILING(AS67*0.57+5,0.5)</f>
        <v>99</v>
      </c>
      <c r="AT70" s="96"/>
      <c r="AU70" s="96"/>
      <c r="AV70" s="96"/>
    </row>
    <row r="71" spans="1:77" ht="16.5" customHeight="1">
      <c r="A71" s="93"/>
      <c r="B71" s="93"/>
      <c r="C71" s="93"/>
      <c r="D71" s="93"/>
      <c r="E71" s="93"/>
      <c r="F71" s="165"/>
      <c r="G71" s="165"/>
      <c r="H71" s="165"/>
      <c r="I71" s="95" t="s">
        <v>18</v>
      </c>
      <c r="J71" s="95"/>
      <c r="K71" s="95"/>
      <c r="L71" s="95"/>
      <c r="M71" s="95"/>
      <c r="N71" s="100" t="s">
        <v>184</v>
      </c>
      <c r="O71" s="100"/>
      <c r="P71" s="99">
        <f>P59-10</f>
        <v>144.5</v>
      </c>
      <c r="Q71" s="99"/>
      <c r="R71" s="99"/>
      <c r="S71" s="99"/>
      <c r="T71" s="99">
        <f>P71+10</f>
        <v>154.5</v>
      </c>
      <c r="U71" s="99"/>
      <c r="V71" s="99"/>
      <c r="W71" s="99"/>
      <c r="X71" s="29"/>
      <c r="Z71" s="93"/>
      <c r="AA71" s="93"/>
      <c r="AB71" s="93"/>
      <c r="AC71" s="93"/>
      <c r="AD71" s="93"/>
      <c r="AE71" s="165"/>
      <c r="AF71" s="165"/>
      <c r="AG71" s="165"/>
      <c r="AH71" s="95" t="s">
        <v>18</v>
      </c>
      <c r="AI71" s="95"/>
      <c r="AJ71" s="95"/>
      <c r="AK71" s="95"/>
      <c r="AL71" s="95"/>
      <c r="AM71" s="100" t="s">
        <v>184</v>
      </c>
      <c r="AN71" s="100"/>
      <c r="AO71" s="99">
        <f>AO59-10</f>
        <v>162</v>
      </c>
      <c r="AP71" s="99"/>
      <c r="AQ71" s="99"/>
      <c r="AR71" s="99"/>
      <c r="AS71" s="99">
        <f>AO71+10</f>
        <v>172</v>
      </c>
      <c r="AT71" s="99"/>
      <c r="AU71" s="99"/>
      <c r="AV71" s="99"/>
    </row>
    <row r="72" spans="1:77" ht="16.5" customHeight="1">
      <c r="A72" s="93"/>
      <c r="B72" s="93"/>
      <c r="C72" s="93"/>
      <c r="D72" s="93"/>
      <c r="E72" s="93"/>
      <c r="F72" s="165"/>
      <c r="G72" s="165"/>
      <c r="H72" s="165"/>
      <c r="I72" s="95"/>
      <c r="J72" s="95"/>
      <c r="K72" s="95"/>
      <c r="L72" s="95"/>
      <c r="M72" s="95"/>
      <c r="N72" s="100" t="s">
        <v>186</v>
      </c>
      <c r="O72" s="100"/>
      <c r="P72" s="99">
        <f>CEILING(P71*0.92,0.5)</f>
        <v>133</v>
      </c>
      <c r="Q72" s="99"/>
      <c r="R72" s="99"/>
      <c r="S72" s="99"/>
      <c r="T72" s="99">
        <f>CEILING(T71*0.92,0.5)</f>
        <v>142.5</v>
      </c>
      <c r="U72" s="99"/>
      <c r="V72" s="99"/>
      <c r="W72" s="99"/>
      <c r="X72" s="29"/>
      <c r="Z72" s="93"/>
      <c r="AA72" s="93"/>
      <c r="AB72" s="93"/>
      <c r="AC72" s="93"/>
      <c r="AD72" s="93"/>
      <c r="AE72" s="165"/>
      <c r="AF72" s="165"/>
      <c r="AG72" s="165"/>
      <c r="AH72" s="95"/>
      <c r="AI72" s="95"/>
      <c r="AJ72" s="95"/>
      <c r="AK72" s="95"/>
      <c r="AL72" s="95"/>
      <c r="AM72" s="100" t="s">
        <v>186</v>
      </c>
      <c r="AN72" s="100"/>
      <c r="AO72" s="99">
        <f>CEILING(AO71*0.92,0.5)</f>
        <v>149.5</v>
      </c>
      <c r="AP72" s="99"/>
      <c r="AQ72" s="99"/>
      <c r="AR72" s="99"/>
      <c r="AS72" s="99">
        <f>CEILING(AS71*0.92,0.5)</f>
        <v>158.5</v>
      </c>
      <c r="AT72" s="99"/>
      <c r="AU72" s="99"/>
      <c r="AV72" s="99"/>
    </row>
    <row r="73" spans="1:77" ht="16.5" customHeight="1">
      <c r="A73" s="93"/>
      <c r="B73" s="93"/>
      <c r="C73" s="93"/>
      <c r="D73" s="93"/>
      <c r="E73" s="93"/>
      <c r="F73" s="165"/>
      <c r="G73" s="165"/>
      <c r="H73" s="165"/>
      <c r="I73" s="95"/>
      <c r="J73" s="95"/>
      <c r="K73" s="95"/>
      <c r="L73" s="95"/>
      <c r="M73" s="95"/>
      <c r="N73" s="100" t="s">
        <v>96</v>
      </c>
      <c r="O73" s="100"/>
      <c r="P73" s="99">
        <f>P61-10</f>
        <v>124</v>
      </c>
      <c r="Q73" s="99"/>
      <c r="R73" s="99"/>
      <c r="S73" s="99"/>
      <c r="T73" s="99">
        <f>P73+10</f>
        <v>134</v>
      </c>
      <c r="U73" s="99"/>
      <c r="V73" s="99"/>
      <c r="W73" s="99"/>
      <c r="X73" s="29"/>
      <c r="Z73" s="93"/>
      <c r="AA73" s="93"/>
      <c r="AB73" s="93"/>
      <c r="AC73" s="93"/>
      <c r="AD73" s="93"/>
      <c r="AE73" s="165"/>
      <c r="AF73" s="165"/>
      <c r="AG73" s="165"/>
      <c r="AH73" s="95"/>
      <c r="AI73" s="95"/>
      <c r="AJ73" s="95"/>
      <c r="AK73" s="95"/>
      <c r="AL73" s="95"/>
      <c r="AM73" s="100" t="s">
        <v>96</v>
      </c>
      <c r="AN73" s="100"/>
      <c r="AO73" s="99">
        <f>AO61-10</f>
        <v>144.5</v>
      </c>
      <c r="AP73" s="99"/>
      <c r="AQ73" s="99"/>
      <c r="AR73" s="99"/>
      <c r="AS73" s="99">
        <f>AO73+10</f>
        <v>154.5</v>
      </c>
      <c r="AT73" s="99"/>
      <c r="AU73" s="99"/>
      <c r="AV73" s="99"/>
    </row>
    <row r="74" spans="1:77" ht="16.5" customHeight="1">
      <c r="A74" s="93"/>
      <c r="B74" s="93"/>
      <c r="C74" s="93"/>
      <c r="D74" s="93"/>
      <c r="E74" s="93"/>
      <c r="F74" s="165"/>
      <c r="G74" s="165"/>
      <c r="H74" s="165"/>
      <c r="I74" s="97" t="s">
        <v>20</v>
      </c>
      <c r="J74" s="97"/>
      <c r="K74" s="97"/>
      <c r="L74" s="97"/>
      <c r="M74" s="97"/>
      <c r="N74" s="98" t="s">
        <v>184</v>
      </c>
      <c r="O74" s="98"/>
      <c r="P74" s="96">
        <f>CEILING(P71*0.47+5,0.5)</f>
        <v>73</v>
      </c>
      <c r="Q74" s="96"/>
      <c r="R74" s="96"/>
      <c r="S74" s="96"/>
      <c r="T74" s="96">
        <f>CEILING(T71*0.47+5,0.5)</f>
        <v>78</v>
      </c>
      <c r="U74" s="96"/>
      <c r="V74" s="96"/>
      <c r="W74" s="96"/>
      <c r="X74" s="29"/>
      <c r="Z74" s="93"/>
      <c r="AA74" s="93"/>
      <c r="AB74" s="93"/>
      <c r="AC74" s="93"/>
      <c r="AD74" s="93"/>
      <c r="AE74" s="165"/>
      <c r="AF74" s="165"/>
      <c r="AG74" s="165"/>
      <c r="AH74" s="97" t="s">
        <v>64</v>
      </c>
      <c r="AI74" s="97"/>
      <c r="AJ74" s="97"/>
      <c r="AK74" s="97"/>
      <c r="AL74" s="97"/>
      <c r="AM74" s="98" t="s">
        <v>184</v>
      </c>
      <c r="AN74" s="98"/>
      <c r="AO74" s="96">
        <f>CEILING(AO71*0.57+5,0.5)</f>
        <v>97.5</v>
      </c>
      <c r="AP74" s="96"/>
      <c r="AQ74" s="96"/>
      <c r="AR74" s="96"/>
      <c r="AS74" s="96">
        <f>CEILING(AS71*0.57+5,0.5)</f>
        <v>103.5</v>
      </c>
      <c r="AT74" s="96"/>
      <c r="AU74" s="96"/>
      <c r="AV74" s="96"/>
    </row>
    <row r="75" spans="1:77" ht="16.5" customHeight="1">
      <c r="A75" s="93"/>
      <c r="B75" s="93"/>
      <c r="C75" s="93"/>
      <c r="D75" s="93"/>
      <c r="E75" s="93"/>
      <c r="F75" s="165"/>
      <c r="G75" s="165"/>
      <c r="H75" s="165"/>
      <c r="I75" s="97"/>
      <c r="J75" s="97"/>
      <c r="K75" s="97"/>
      <c r="L75" s="97"/>
      <c r="M75" s="97"/>
      <c r="N75" s="98" t="s">
        <v>186</v>
      </c>
      <c r="O75" s="98"/>
      <c r="P75" s="96">
        <f>CEILING(P74*0.92,0.5)</f>
        <v>67.5</v>
      </c>
      <c r="Q75" s="96"/>
      <c r="R75" s="96"/>
      <c r="S75" s="96"/>
      <c r="T75" s="96">
        <f>CEILING(T74*0.92,0.5)</f>
        <v>72</v>
      </c>
      <c r="U75" s="96"/>
      <c r="V75" s="96"/>
      <c r="W75" s="96"/>
      <c r="X75" s="29"/>
      <c r="Z75" s="93"/>
      <c r="AA75" s="93"/>
      <c r="AB75" s="93"/>
      <c r="AC75" s="93"/>
      <c r="AD75" s="93"/>
      <c r="AE75" s="165"/>
      <c r="AF75" s="165"/>
      <c r="AG75" s="165"/>
      <c r="AH75" s="97"/>
      <c r="AI75" s="97"/>
      <c r="AJ75" s="97"/>
      <c r="AK75" s="97"/>
      <c r="AL75" s="97"/>
      <c r="AM75" s="98" t="s">
        <v>186</v>
      </c>
      <c r="AN75" s="98"/>
      <c r="AO75" s="96">
        <f>CEILING(AO74*0.92,0.5)</f>
        <v>90</v>
      </c>
      <c r="AP75" s="96"/>
      <c r="AQ75" s="96"/>
      <c r="AR75" s="96"/>
      <c r="AS75" s="96">
        <f>CEILING(AS74*0.92,0.5)</f>
        <v>95.5</v>
      </c>
      <c r="AT75" s="96"/>
      <c r="AU75" s="96"/>
      <c r="AV75" s="96"/>
    </row>
    <row r="76" spans="1:77" ht="16.5" customHeight="1">
      <c r="A76" s="93"/>
      <c r="B76" s="93"/>
      <c r="C76" s="93"/>
      <c r="D76" s="93"/>
      <c r="E76" s="93"/>
      <c r="F76" s="165"/>
      <c r="G76" s="165"/>
      <c r="H76" s="165"/>
      <c r="I76" s="97"/>
      <c r="J76" s="97"/>
      <c r="K76" s="97"/>
      <c r="L76" s="97"/>
      <c r="M76" s="97"/>
      <c r="N76" s="98" t="s">
        <v>96</v>
      </c>
      <c r="O76" s="98"/>
      <c r="P76" s="96">
        <f>CEILING(P73*0.47+5,0.5)</f>
        <v>63.5</v>
      </c>
      <c r="Q76" s="96"/>
      <c r="R76" s="96"/>
      <c r="S76" s="96"/>
      <c r="T76" s="96">
        <f>CEILING(T73*0.47+5,0.5)</f>
        <v>68</v>
      </c>
      <c r="U76" s="96"/>
      <c r="V76" s="96"/>
      <c r="W76" s="96"/>
      <c r="X76" s="29"/>
      <c r="Z76" s="93"/>
      <c r="AA76" s="93"/>
      <c r="AB76" s="93"/>
      <c r="AC76" s="93"/>
      <c r="AD76" s="93"/>
      <c r="AE76" s="165"/>
      <c r="AF76" s="165"/>
      <c r="AG76" s="165"/>
      <c r="AH76" s="97"/>
      <c r="AI76" s="97"/>
      <c r="AJ76" s="97"/>
      <c r="AK76" s="97"/>
      <c r="AL76" s="97"/>
      <c r="AM76" s="98" t="s">
        <v>96</v>
      </c>
      <c r="AN76" s="98"/>
      <c r="AO76" s="96">
        <f>CEILING(AO73*0.57+5,0.5)</f>
        <v>87.5</v>
      </c>
      <c r="AP76" s="96"/>
      <c r="AQ76" s="96"/>
      <c r="AR76" s="96"/>
      <c r="AS76" s="96">
        <f>CEILING(AS73*0.57+5,0.5)</f>
        <v>93.5</v>
      </c>
      <c r="AT76" s="96"/>
      <c r="AU76" s="96"/>
      <c r="AV76" s="96"/>
    </row>
    <row r="77" spans="1:77" ht="16.5" customHeight="1">
      <c r="A77" s="93"/>
      <c r="B77" s="93"/>
      <c r="C77" s="93"/>
      <c r="D77" s="93"/>
      <c r="E77" s="93"/>
      <c r="F77" s="165"/>
      <c r="G77" s="165"/>
      <c r="H77" s="165"/>
      <c r="I77" s="82" t="s">
        <v>21</v>
      </c>
      <c r="J77" s="82"/>
      <c r="K77" s="82"/>
      <c r="L77" s="82"/>
      <c r="M77" s="82"/>
      <c r="N77" s="84" t="s">
        <v>184</v>
      </c>
      <c r="O77" s="84"/>
      <c r="P77" s="83">
        <f>P71-2</f>
        <v>142.5</v>
      </c>
      <c r="Q77" s="83"/>
      <c r="R77" s="83"/>
      <c r="S77" s="83"/>
      <c r="T77" s="83">
        <f>P77+8</f>
        <v>150.5</v>
      </c>
      <c r="U77" s="83"/>
      <c r="V77" s="83"/>
      <c r="W77" s="83"/>
      <c r="X77" s="75"/>
      <c r="Z77" s="93"/>
      <c r="AA77" s="93"/>
      <c r="AB77" s="93"/>
      <c r="AC77" s="93"/>
      <c r="AD77" s="93"/>
      <c r="AE77" s="165"/>
      <c r="AF77" s="165"/>
      <c r="AG77" s="165"/>
      <c r="AH77" s="82" t="s">
        <v>21</v>
      </c>
      <c r="AI77" s="82"/>
      <c r="AJ77" s="82"/>
      <c r="AK77" s="82"/>
      <c r="AL77" s="82"/>
      <c r="AM77" s="84" t="s">
        <v>184</v>
      </c>
      <c r="AN77" s="84"/>
      <c r="AO77" s="83">
        <f>AO71-2</f>
        <v>160</v>
      </c>
      <c r="AP77" s="83"/>
      <c r="AQ77" s="83"/>
      <c r="AR77" s="83"/>
      <c r="AS77" s="83">
        <f>AO77+8</f>
        <v>168</v>
      </c>
      <c r="AT77" s="83"/>
      <c r="AU77" s="83"/>
      <c r="AV77" s="83"/>
    </row>
    <row r="78" spans="1:77" ht="16.5" customHeight="1">
      <c r="A78" s="93"/>
      <c r="B78" s="93"/>
      <c r="C78" s="93"/>
      <c r="D78" s="93"/>
      <c r="E78" s="93"/>
      <c r="F78" s="165"/>
      <c r="G78" s="165"/>
      <c r="H78" s="165"/>
      <c r="I78" s="82"/>
      <c r="J78" s="82"/>
      <c r="K78" s="82"/>
      <c r="L78" s="82"/>
      <c r="M78" s="82"/>
      <c r="N78" s="84" t="s">
        <v>186</v>
      </c>
      <c r="O78" s="84"/>
      <c r="P78" s="83">
        <f>CEILING(P77*0.92,0.5)</f>
        <v>131.5</v>
      </c>
      <c r="Q78" s="83"/>
      <c r="R78" s="83"/>
      <c r="S78" s="83"/>
      <c r="T78" s="83">
        <f>CEILING(T77*0.92,0.5)</f>
        <v>138.5</v>
      </c>
      <c r="U78" s="83"/>
      <c r="V78" s="83"/>
      <c r="W78" s="83"/>
      <c r="X78" s="75"/>
      <c r="Z78" s="93"/>
      <c r="AA78" s="93"/>
      <c r="AB78" s="93"/>
      <c r="AC78" s="93"/>
      <c r="AD78" s="93"/>
      <c r="AE78" s="165"/>
      <c r="AF78" s="165"/>
      <c r="AG78" s="165"/>
      <c r="AH78" s="82"/>
      <c r="AI78" s="82"/>
      <c r="AJ78" s="82"/>
      <c r="AK78" s="82"/>
      <c r="AL78" s="82"/>
      <c r="AM78" s="84" t="s">
        <v>186</v>
      </c>
      <c r="AN78" s="84"/>
      <c r="AO78" s="83">
        <f>CEILING(AO77*0.92,0.5)</f>
        <v>147.5</v>
      </c>
      <c r="AP78" s="83"/>
      <c r="AQ78" s="83"/>
      <c r="AR78" s="83"/>
      <c r="AS78" s="83">
        <f>CEILING(AS77*0.92,0.5)</f>
        <v>155</v>
      </c>
      <c r="AT78" s="83"/>
      <c r="AU78" s="83"/>
      <c r="AV78" s="83"/>
    </row>
    <row r="79" spans="1:77" ht="16.5" customHeight="1">
      <c r="A79" s="93"/>
      <c r="B79" s="93"/>
      <c r="C79" s="93"/>
      <c r="D79" s="93"/>
      <c r="E79" s="93"/>
      <c r="F79" s="165"/>
      <c r="G79" s="165"/>
      <c r="H79" s="165"/>
      <c r="I79" s="82"/>
      <c r="J79" s="82"/>
      <c r="K79" s="82"/>
      <c r="L79" s="82"/>
      <c r="M79" s="82"/>
      <c r="N79" s="84" t="s">
        <v>96</v>
      </c>
      <c r="O79" s="84"/>
      <c r="P79" s="83">
        <f>P73-2</f>
        <v>122</v>
      </c>
      <c r="Q79" s="83"/>
      <c r="R79" s="83"/>
      <c r="S79" s="83"/>
      <c r="T79" s="83">
        <f>P79+8</f>
        <v>130</v>
      </c>
      <c r="U79" s="83"/>
      <c r="V79" s="83"/>
      <c r="W79" s="83"/>
      <c r="X79" s="75"/>
      <c r="Z79" s="93"/>
      <c r="AA79" s="93"/>
      <c r="AB79" s="93"/>
      <c r="AC79" s="93"/>
      <c r="AD79" s="93"/>
      <c r="AE79" s="165"/>
      <c r="AF79" s="165"/>
      <c r="AG79" s="165"/>
      <c r="AH79" s="82"/>
      <c r="AI79" s="82"/>
      <c r="AJ79" s="82"/>
      <c r="AK79" s="82"/>
      <c r="AL79" s="82"/>
      <c r="AM79" s="84" t="s">
        <v>96</v>
      </c>
      <c r="AN79" s="84"/>
      <c r="AO79" s="83">
        <f>AO73-2</f>
        <v>142.5</v>
      </c>
      <c r="AP79" s="83"/>
      <c r="AQ79" s="83"/>
      <c r="AR79" s="83"/>
      <c r="AS79" s="83">
        <f>AO79+8</f>
        <v>150.5</v>
      </c>
      <c r="AT79" s="83"/>
      <c r="AU79" s="83"/>
      <c r="AV79" s="83"/>
    </row>
    <row r="80" spans="1:77" ht="16.5" customHeight="1">
      <c r="A80" s="93"/>
      <c r="B80" s="93"/>
      <c r="C80" s="93"/>
      <c r="D80" s="93"/>
      <c r="E80" s="93"/>
      <c r="F80" s="165"/>
      <c r="G80" s="165"/>
      <c r="H80" s="165"/>
      <c r="I80" s="80" t="s">
        <v>23</v>
      </c>
      <c r="J80" s="80"/>
      <c r="K80" s="80"/>
      <c r="L80" s="80"/>
      <c r="M80" s="80"/>
      <c r="N80" s="81" t="s">
        <v>184</v>
      </c>
      <c r="O80" s="81"/>
      <c r="P80" s="89">
        <f>CEILING(P77*0.47+5,0.5)</f>
        <v>72</v>
      </c>
      <c r="Q80" s="89"/>
      <c r="R80" s="89"/>
      <c r="S80" s="89"/>
      <c r="T80" s="89">
        <f>CEILING(T77*0.47+5,0.5)</f>
        <v>76</v>
      </c>
      <c r="U80" s="89"/>
      <c r="V80" s="89"/>
      <c r="W80" s="89"/>
      <c r="X80" s="75"/>
      <c r="Z80" s="93"/>
      <c r="AA80" s="93"/>
      <c r="AB80" s="93"/>
      <c r="AC80" s="93"/>
      <c r="AD80" s="93"/>
      <c r="AE80" s="165"/>
      <c r="AF80" s="165"/>
      <c r="AG80" s="165"/>
      <c r="AH80" s="80" t="s">
        <v>75</v>
      </c>
      <c r="AI80" s="80"/>
      <c r="AJ80" s="80"/>
      <c r="AK80" s="80"/>
      <c r="AL80" s="80"/>
      <c r="AM80" s="81" t="s">
        <v>184</v>
      </c>
      <c r="AN80" s="81"/>
      <c r="AO80" s="89">
        <f>CEILING(AO77*0.57+5,0.5)</f>
        <v>96.5</v>
      </c>
      <c r="AP80" s="89"/>
      <c r="AQ80" s="89"/>
      <c r="AR80" s="89"/>
      <c r="AS80" s="89">
        <f>CEILING(AS77*0.57+5,0.5)</f>
        <v>101</v>
      </c>
      <c r="AT80" s="89"/>
      <c r="AU80" s="89"/>
      <c r="AV80" s="89"/>
    </row>
    <row r="81" spans="1:48" ht="16.5" customHeight="1">
      <c r="A81" s="93"/>
      <c r="B81" s="93"/>
      <c r="C81" s="93"/>
      <c r="D81" s="93"/>
      <c r="E81" s="93"/>
      <c r="F81" s="165"/>
      <c r="G81" s="165"/>
      <c r="H81" s="165"/>
      <c r="I81" s="80"/>
      <c r="J81" s="80"/>
      <c r="K81" s="80"/>
      <c r="L81" s="80"/>
      <c r="M81" s="80"/>
      <c r="N81" s="81" t="s">
        <v>186</v>
      </c>
      <c r="O81" s="81"/>
      <c r="P81" s="89">
        <f>CEILING(P80*0.92,0.5)</f>
        <v>66.5</v>
      </c>
      <c r="Q81" s="89"/>
      <c r="R81" s="89"/>
      <c r="S81" s="89"/>
      <c r="T81" s="89">
        <f>CEILING(T80*0.92,0.5)</f>
        <v>70</v>
      </c>
      <c r="U81" s="89"/>
      <c r="V81" s="89"/>
      <c r="W81" s="89"/>
      <c r="X81" s="75"/>
      <c r="Z81" s="93"/>
      <c r="AA81" s="93"/>
      <c r="AB81" s="93"/>
      <c r="AC81" s="93"/>
      <c r="AD81" s="93"/>
      <c r="AE81" s="165"/>
      <c r="AF81" s="165"/>
      <c r="AG81" s="165"/>
      <c r="AH81" s="80"/>
      <c r="AI81" s="80"/>
      <c r="AJ81" s="80"/>
      <c r="AK81" s="80"/>
      <c r="AL81" s="80"/>
      <c r="AM81" s="81" t="s">
        <v>186</v>
      </c>
      <c r="AN81" s="81"/>
      <c r="AO81" s="89">
        <f>CEILING(AO80*0.92,0.5)</f>
        <v>89</v>
      </c>
      <c r="AP81" s="89"/>
      <c r="AQ81" s="89"/>
      <c r="AR81" s="89"/>
      <c r="AS81" s="89">
        <f>CEILING(AS80*0.92,0.5)</f>
        <v>93</v>
      </c>
      <c r="AT81" s="89"/>
      <c r="AU81" s="89"/>
      <c r="AV81" s="89"/>
    </row>
    <row r="82" spans="1:48" ht="16.5" customHeight="1">
      <c r="A82" s="93"/>
      <c r="B82" s="93"/>
      <c r="C82" s="93"/>
      <c r="D82" s="93"/>
      <c r="E82" s="93"/>
      <c r="F82" s="167"/>
      <c r="G82" s="167"/>
      <c r="H82" s="167"/>
      <c r="I82" s="80"/>
      <c r="J82" s="80"/>
      <c r="K82" s="80"/>
      <c r="L82" s="80"/>
      <c r="M82" s="80"/>
      <c r="N82" s="81" t="s">
        <v>96</v>
      </c>
      <c r="O82" s="81"/>
      <c r="P82" s="89">
        <f>CEILING(P79*0.47+5,0.5)</f>
        <v>62.5</v>
      </c>
      <c r="Q82" s="89"/>
      <c r="R82" s="89"/>
      <c r="S82" s="89"/>
      <c r="T82" s="89">
        <f>CEILING(T79*0.47+5,0.5)</f>
        <v>66.5</v>
      </c>
      <c r="U82" s="89"/>
      <c r="V82" s="89"/>
      <c r="W82" s="89"/>
      <c r="X82" s="75"/>
      <c r="Z82" s="93"/>
      <c r="AA82" s="93"/>
      <c r="AB82" s="93"/>
      <c r="AC82" s="93"/>
      <c r="AD82" s="93"/>
      <c r="AE82" s="167"/>
      <c r="AF82" s="167"/>
      <c r="AG82" s="167"/>
      <c r="AH82" s="80"/>
      <c r="AI82" s="80"/>
      <c r="AJ82" s="80"/>
      <c r="AK82" s="80"/>
      <c r="AL82" s="80"/>
      <c r="AM82" s="81" t="s">
        <v>96</v>
      </c>
      <c r="AN82" s="81"/>
      <c r="AO82" s="89">
        <f>CEILING(AO79*0.57+5,0.5)</f>
        <v>86.5</v>
      </c>
      <c r="AP82" s="89"/>
      <c r="AQ82" s="89"/>
      <c r="AR82" s="89"/>
      <c r="AS82" s="89">
        <f>CEILING(AS79*0.57+5,0.5)</f>
        <v>91</v>
      </c>
      <c r="AT82" s="89"/>
      <c r="AU82" s="89"/>
      <c r="AV82" s="89"/>
    </row>
    <row r="83" spans="1:48" ht="16.5" customHeight="1">
      <c r="A83" s="71" t="s">
        <v>266</v>
      </c>
      <c r="B83" s="72"/>
      <c r="C83" s="10"/>
      <c r="D83" s="10"/>
      <c r="E83" s="10"/>
      <c r="F83" s="14"/>
      <c r="G83" s="14"/>
      <c r="H83" s="14"/>
      <c r="I83" s="14"/>
      <c r="J83" s="14"/>
      <c r="K83" s="14"/>
      <c r="L83" s="14"/>
      <c r="M83" s="14"/>
      <c r="N83" s="14"/>
      <c r="O83" s="14"/>
      <c r="P83" s="14"/>
      <c r="Q83" s="14"/>
      <c r="R83" s="14"/>
      <c r="S83" s="14"/>
      <c r="T83" s="14"/>
    </row>
    <row r="84" spans="1:48" ht="16.5" customHeight="1">
      <c r="A84" s="71" t="s">
        <v>267</v>
      </c>
      <c r="B84" s="72"/>
      <c r="C84" s="10"/>
      <c r="D84" s="10"/>
      <c r="E84" s="10"/>
      <c r="F84" s="10"/>
      <c r="G84" s="10"/>
      <c r="H84" s="10"/>
      <c r="I84" s="10"/>
    </row>
    <row r="85" spans="1:48" ht="16.5" customHeight="1">
      <c r="A85" s="71" t="s">
        <v>25</v>
      </c>
      <c r="B85" s="72"/>
      <c r="C85" s="10"/>
      <c r="D85" s="10"/>
      <c r="E85" s="10"/>
      <c r="F85" s="10"/>
      <c r="G85" s="10"/>
      <c r="H85" s="10"/>
      <c r="I85" s="10"/>
    </row>
    <row r="86" spans="1:48" ht="16.5" customHeight="1">
      <c r="A86" s="71" t="s">
        <v>26</v>
      </c>
      <c r="B86" s="72"/>
      <c r="C86" s="10"/>
      <c r="D86" s="10"/>
      <c r="E86" s="10"/>
      <c r="F86" s="10"/>
      <c r="G86" s="10"/>
      <c r="H86" s="10"/>
      <c r="I86" s="10"/>
    </row>
    <row r="87" spans="1:48" ht="16.5" customHeight="1" thickBot="1"/>
    <row r="88" spans="1:48" ht="16.5" customHeight="1" thickTop="1">
      <c r="A88" s="90" t="s">
        <v>27</v>
      </c>
      <c r="B88" s="91"/>
      <c r="C88" s="91"/>
      <c r="D88" s="91"/>
      <c r="E88" s="91"/>
      <c r="F88" s="91"/>
      <c r="G88" s="91"/>
      <c r="H88" s="91"/>
      <c r="I88" s="91"/>
      <c r="J88" s="91"/>
      <c r="K88" s="91"/>
      <c r="L88" s="91"/>
      <c r="M88" s="91"/>
      <c r="N88" s="91"/>
      <c r="O88" s="91"/>
      <c r="P88" s="91"/>
      <c r="Q88" s="91"/>
      <c r="R88" s="91"/>
      <c r="S88" s="91"/>
      <c r="T88" s="92"/>
    </row>
    <row r="89" spans="1:48" ht="16.5" customHeight="1">
      <c r="A89" s="186" t="s">
        <v>30</v>
      </c>
      <c r="B89" s="187"/>
      <c r="C89" s="187"/>
      <c r="D89" s="187"/>
      <c r="E89" s="187"/>
      <c r="F89" s="187"/>
      <c r="G89" s="187"/>
      <c r="H89" s="188"/>
      <c r="I89" s="227" t="s">
        <v>31</v>
      </c>
      <c r="J89" s="187"/>
      <c r="K89" s="187"/>
      <c r="L89" s="187"/>
      <c r="M89" s="187"/>
      <c r="N89" s="187"/>
      <c r="O89" s="187"/>
      <c r="P89" s="187"/>
      <c r="Q89" s="187"/>
      <c r="R89" s="187"/>
      <c r="S89" s="187"/>
      <c r="T89" s="189"/>
    </row>
    <row r="90" spans="1:48" ht="16.5" customHeight="1" thickBot="1">
      <c r="A90" s="85" t="s">
        <v>73</v>
      </c>
      <c r="B90" s="86"/>
      <c r="C90" s="86"/>
      <c r="D90" s="86"/>
      <c r="E90" s="86"/>
      <c r="F90" s="86"/>
      <c r="G90" s="86"/>
      <c r="H90" s="87"/>
      <c r="I90" s="86" t="s">
        <v>74</v>
      </c>
      <c r="J90" s="86"/>
      <c r="K90" s="86"/>
      <c r="L90" s="86"/>
      <c r="M90" s="86"/>
      <c r="N90" s="86"/>
      <c r="O90" s="86"/>
      <c r="P90" s="86"/>
      <c r="Q90" s="86"/>
      <c r="R90" s="86"/>
      <c r="S90" s="86"/>
      <c r="T90" s="88"/>
    </row>
    <row r="91" spans="1:48" ht="16.5" customHeight="1" thickTop="1"/>
    <row r="92" spans="1:48" ht="16.5" customHeight="1"/>
    <row r="93" spans="1:48" ht="16.5" customHeight="1"/>
    <row r="94" spans="1:48" ht="16.5" customHeight="1"/>
    <row r="95" spans="1:48" ht="16.5" customHeight="1"/>
    <row r="96" spans="1:48"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sheetData>
  <mergeCells count="389">
    <mergeCell ref="AO82:AR82"/>
    <mergeCell ref="AS82:AV82"/>
    <mergeCell ref="AO80:AR80"/>
    <mergeCell ref="AS80:AV80"/>
    <mergeCell ref="N81:O81"/>
    <mergeCell ref="P81:S81"/>
    <mergeCell ref="T81:W81"/>
    <mergeCell ref="AM81:AN81"/>
    <mergeCell ref="AO81:AR81"/>
    <mergeCell ref="AS81:AV81"/>
    <mergeCell ref="N80:O80"/>
    <mergeCell ref="P80:S80"/>
    <mergeCell ref="T80:W80"/>
    <mergeCell ref="AH80:AL82"/>
    <mergeCell ref="AM80:AN80"/>
    <mergeCell ref="N82:O82"/>
    <mergeCell ref="P82:S82"/>
    <mergeCell ref="T82:W82"/>
    <mergeCell ref="AM82:AN82"/>
    <mergeCell ref="AH77:AL79"/>
    <mergeCell ref="AM77:AN77"/>
    <mergeCell ref="AO77:AR77"/>
    <mergeCell ref="AS77:AV77"/>
    <mergeCell ref="N79:O79"/>
    <mergeCell ref="P79:S79"/>
    <mergeCell ref="T79:W79"/>
    <mergeCell ref="AM79:AN79"/>
    <mergeCell ref="AO79:AR79"/>
    <mergeCell ref="AS79:AV79"/>
    <mergeCell ref="N78:O78"/>
    <mergeCell ref="P78:S78"/>
    <mergeCell ref="T78:W78"/>
    <mergeCell ref="AM78:AN78"/>
    <mergeCell ref="AO78:AR78"/>
    <mergeCell ref="AS78:AV78"/>
    <mergeCell ref="AO74:AR74"/>
    <mergeCell ref="AS74:AV74"/>
    <mergeCell ref="N75:O75"/>
    <mergeCell ref="P75:S75"/>
    <mergeCell ref="T75:W75"/>
    <mergeCell ref="AM75:AN75"/>
    <mergeCell ref="AO75:AR75"/>
    <mergeCell ref="AS75:AV75"/>
    <mergeCell ref="I74:M76"/>
    <mergeCell ref="N74:O74"/>
    <mergeCell ref="P74:S74"/>
    <mergeCell ref="T74:W74"/>
    <mergeCell ref="AH74:AL76"/>
    <mergeCell ref="AM74:AN74"/>
    <mergeCell ref="N76:O76"/>
    <mergeCell ref="P76:S76"/>
    <mergeCell ref="T76:W76"/>
    <mergeCell ref="AM76:AN76"/>
    <mergeCell ref="AO76:AR76"/>
    <mergeCell ref="AS76:AV76"/>
    <mergeCell ref="AH71:AL73"/>
    <mergeCell ref="AM71:AN71"/>
    <mergeCell ref="AO71:AR71"/>
    <mergeCell ref="AS71:AV71"/>
    <mergeCell ref="N73:O73"/>
    <mergeCell ref="P73:S73"/>
    <mergeCell ref="T73:W73"/>
    <mergeCell ref="AM73:AN73"/>
    <mergeCell ref="AO73:AR73"/>
    <mergeCell ref="AS73:AV73"/>
    <mergeCell ref="N72:O72"/>
    <mergeCell ref="P72:S72"/>
    <mergeCell ref="T72:W72"/>
    <mergeCell ref="AM72:AN72"/>
    <mergeCell ref="AO72:AR72"/>
    <mergeCell ref="AS72:AV72"/>
    <mergeCell ref="AO68:AR68"/>
    <mergeCell ref="AS68:AV68"/>
    <mergeCell ref="N69:O69"/>
    <mergeCell ref="P69:S69"/>
    <mergeCell ref="T69:W69"/>
    <mergeCell ref="AM69:AN69"/>
    <mergeCell ref="AO69:AR69"/>
    <mergeCell ref="AS69:AV69"/>
    <mergeCell ref="I68:M70"/>
    <mergeCell ref="N68:O68"/>
    <mergeCell ref="P68:S68"/>
    <mergeCell ref="T68:W68"/>
    <mergeCell ref="AH68:AL70"/>
    <mergeCell ref="AM68:AN68"/>
    <mergeCell ref="N70:O70"/>
    <mergeCell ref="P70:S70"/>
    <mergeCell ref="T70:W70"/>
    <mergeCell ref="AM70:AN70"/>
    <mergeCell ref="AO70:AR70"/>
    <mergeCell ref="AS70:AV70"/>
    <mergeCell ref="AH65:AL67"/>
    <mergeCell ref="AM65:AN65"/>
    <mergeCell ref="AO65:AR65"/>
    <mergeCell ref="AS65:AV65"/>
    <mergeCell ref="N67:O67"/>
    <mergeCell ref="P67:S67"/>
    <mergeCell ref="T67:W67"/>
    <mergeCell ref="AM67:AN67"/>
    <mergeCell ref="AO67:AR67"/>
    <mergeCell ref="AS67:AV67"/>
    <mergeCell ref="N66:O66"/>
    <mergeCell ref="P66:S66"/>
    <mergeCell ref="T66:W66"/>
    <mergeCell ref="AM66:AN66"/>
    <mergeCell ref="AO66:AR66"/>
    <mergeCell ref="AS66:AV66"/>
    <mergeCell ref="AO62:AR62"/>
    <mergeCell ref="AS62:AV62"/>
    <mergeCell ref="N63:O63"/>
    <mergeCell ref="P63:S63"/>
    <mergeCell ref="T63:W63"/>
    <mergeCell ref="AM63:AN63"/>
    <mergeCell ref="AO63:AR63"/>
    <mergeCell ref="AS63:AV63"/>
    <mergeCell ref="I62:M64"/>
    <mergeCell ref="N62:O62"/>
    <mergeCell ref="P62:S62"/>
    <mergeCell ref="T62:W62"/>
    <mergeCell ref="AH62:AL64"/>
    <mergeCell ref="AM62:AN62"/>
    <mergeCell ref="N64:O64"/>
    <mergeCell ref="P64:S64"/>
    <mergeCell ref="T64:W64"/>
    <mergeCell ref="AM64:AN64"/>
    <mergeCell ref="AO64:AR64"/>
    <mergeCell ref="AS64:AV64"/>
    <mergeCell ref="AM61:AN61"/>
    <mergeCell ref="AO61:AR61"/>
    <mergeCell ref="AS61:AV61"/>
    <mergeCell ref="AH59:AL61"/>
    <mergeCell ref="AM59:AN59"/>
    <mergeCell ref="AO59:AR59"/>
    <mergeCell ref="AS59:AV59"/>
    <mergeCell ref="N60:O60"/>
    <mergeCell ref="P60:S60"/>
    <mergeCell ref="T60:W60"/>
    <mergeCell ref="AM60:AN60"/>
    <mergeCell ref="AO60:AR60"/>
    <mergeCell ref="AS60:AV60"/>
    <mergeCell ref="I59:M61"/>
    <mergeCell ref="N59:O59"/>
    <mergeCell ref="P59:S59"/>
    <mergeCell ref="T59:W59"/>
    <mergeCell ref="Z59:AD82"/>
    <mergeCell ref="AE59:AG82"/>
    <mergeCell ref="N61:O61"/>
    <mergeCell ref="P61:S61"/>
    <mergeCell ref="T61:W61"/>
    <mergeCell ref="I65:M67"/>
    <mergeCell ref="N65:O65"/>
    <mergeCell ref="P65:S65"/>
    <mergeCell ref="T65:W65"/>
    <mergeCell ref="I71:M73"/>
    <mergeCell ref="N71:O71"/>
    <mergeCell ref="P71:S71"/>
    <mergeCell ref="T71:W71"/>
    <mergeCell ref="I77:M79"/>
    <mergeCell ref="N77:O77"/>
    <mergeCell ref="P77:S77"/>
    <mergeCell ref="T77:W77"/>
    <mergeCell ref="I80:M82"/>
    <mergeCell ref="AO31:AR31"/>
    <mergeCell ref="AS31:AV31"/>
    <mergeCell ref="N32:O32"/>
    <mergeCell ref="P32:S32"/>
    <mergeCell ref="T32:W32"/>
    <mergeCell ref="AM32:AN32"/>
    <mergeCell ref="AO32:AR32"/>
    <mergeCell ref="AS32:AV32"/>
    <mergeCell ref="I31:M33"/>
    <mergeCell ref="N31:O31"/>
    <mergeCell ref="P31:S31"/>
    <mergeCell ref="T31:W31"/>
    <mergeCell ref="AH31:AL33"/>
    <mergeCell ref="AM31:AN31"/>
    <mergeCell ref="N33:O33"/>
    <mergeCell ref="P33:S33"/>
    <mergeCell ref="T33:W33"/>
    <mergeCell ref="AM33:AN33"/>
    <mergeCell ref="AO33:AR33"/>
    <mergeCell ref="AS33:AV33"/>
    <mergeCell ref="I28:M30"/>
    <mergeCell ref="N28:O28"/>
    <mergeCell ref="P28:S28"/>
    <mergeCell ref="T28:W28"/>
    <mergeCell ref="AH28:AL30"/>
    <mergeCell ref="AM28:AN28"/>
    <mergeCell ref="AO28:AR28"/>
    <mergeCell ref="AS28:AV28"/>
    <mergeCell ref="N30:O30"/>
    <mergeCell ref="P30:S30"/>
    <mergeCell ref="T30:W30"/>
    <mergeCell ref="AM30:AN30"/>
    <mergeCell ref="AO30:AR30"/>
    <mergeCell ref="AS30:AV30"/>
    <mergeCell ref="N29:O29"/>
    <mergeCell ref="P29:S29"/>
    <mergeCell ref="T29:W29"/>
    <mergeCell ref="AM29:AN29"/>
    <mergeCell ref="AO29:AR29"/>
    <mergeCell ref="AS29:AV29"/>
    <mergeCell ref="N26:O26"/>
    <mergeCell ref="P26:S26"/>
    <mergeCell ref="T26:W26"/>
    <mergeCell ref="AM26:AN26"/>
    <mergeCell ref="AO26:AR26"/>
    <mergeCell ref="AS26:AV26"/>
    <mergeCell ref="I25:M27"/>
    <mergeCell ref="N25:O25"/>
    <mergeCell ref="P25:S25"/>
    <mergeCell ref="T25:W25"/>
    <mergeCell ref="AH25:AL27"/>
    <mergeCell ref="AM25:AN25"/>
    <mergeCell ref="N27:O27"/>
    <mergeCell ref="P27:S27"/>
    <mergeCell ref="T27:W27"/>
    <mergeCell ref="AM27:AN27"/>
    <mergeCell ref="AO27:AR27"/>
    <mergeCell ref="AS27:AV27"/>
    <mergeCell ref="AO25:AR25"/>
    <mergeCell ref="AS22:AV22"/>
    <mergeCell ref="N23:O23"/>
    <mergeCell ref="P23:S23"/>
    <mergeCell ref="T23:W23"/>
    <mergeCell ref="AM23:AN23"/>
    <mergeCell ref="AO23:AR23"/>
    <mergeCell ref="AS23:AV23"/>
    <mergeCell ref="N24:O24"/>
    <mergeCell ref="P24:S24"/>
    <mergeCell ref="T24:W24"/>
    <mergeCell ref="AM24:AN24"/>
    <mergeCell ref="AO24:AR24"/>
    <mergeCell ref="AS24:AV24"/>
    <mergeCell ref="I16:M18"/>
    <mergeCell ref="I22:M24"/>
    <mergeCell ref="N22:O22"/>
    <mergeCell ref="P22:S22"/>
    <mergeCell ref="T22:W22"/>
    <mergeCell ref="AH22:AL24"/>
    <mergeCell ref="AM22:AN22"/>
    <mergeCell ref="AO22:AR22"/>
    <mergeCell ref="I19:M21"/>
    <mergeCell ref="N19:O19"/>
    <mergeCell ref="P19:S19"/>
    <mergeCell ref="T19:W19"/>
    <mergeCell ref="AH19:AL21"/>
    <mergeCell ref="AM19:AN19"/>
    <mergeCell ref="AO19:AR19"/>
    <mergeCell ref="N16:O16"/>
    <mergeCell ref="P16:S16"/>
    <mergeCell ref="T16:W16"/>
    <mergeCell ref="AH16:AL18"/>
    <mergeCell ref="AM16:AN16"/>
    <mergeCell ref="AO16:AR16"/>
    <mergeCell ref="N20:O20"/>
    <mergeCell ref="P20:S20"/>
    <mergeCell ref="T20:W20"/>
    <mergeCell ref="AM20:AN20"/>
    <mergeCell ref="AO20:AR20"/>
    <mergeCell ref="AS20:AV20"/>
    <mergeCell ref="N21:O21"/>
    <mergeCell ref="P21:S21"/>
    <mergeCell ref="T21:W21"/>
    <mergeCell ref="AM21:AN21"/>
    <mergeCell ref="AO21:AR21"/>
    <mergeCell ref="AS21:AV21"/>
    <mergeCell ref="AS25:AV25"/>
    <mergeCell ref="A10:E33"/>
    <mergeCell ref="F10:H33"/>
    <mergeCell ref="I10:M12"/>
    <mergeCell ref="N10:O10"/>
    <mergeCell ref="P10:S10"/>
    <mergeCell ref="T10:W10"/>
    <mergeCell ref="N11:O11"/>
    <mergeCell ref="P11:S11"/>
    <mergeCell ref="T11:W11"/>
    <mergeCell ref="AM11:AN11"/>
    <mergeCell ref="AO11:AR11"/>
    <mergeCell ref="AS11:AV11"/>
    <mergeCell ref="Z10:AD33"/>
    <mergeCell ref="AE10:AG33"/>
    <mergeCell ref="AH10:AL12"/>
    <mergeCell ref="I13:M15"/>
    <mergeCell ref="P17:S17"/>
    <mergeCell ref="T17:W17"/>
    <mergeCell ref="AM17:AN17"/>
    <mergeCell ref="AO17:AR17"/>
    <mergeCell ref="AS17:AV17"/>
    <mergeCell ref="N18:O18"/>
    <mergeCell ref="AS19:AV19"/>
    <mergeCell ref="P18:S18"/>
    <mergeCell ref="AM10:AN10"/>
    <mergeCell ref="AO10:AR10"/>
    <mergeCell ref="AS10:AV10"/>
    <mergeCell ref="AS18:AV18"/>
    <mergeCell ref="AH13:AL15"/>
    <mergeCell ref="T15:W15"/>
    <mergeCell ref="P15:S15"/>
    <mergeCell ref="N15:O15"/>
    <mergeCell ref="T12:W12"/>
    <mergeCell ref="P12:S12"/>
    <mergeCell ref="N12:O12"/>
    <mergeCell ref="T13:W13"/>
    <mergeCell ref="P13:S13"/>
    <mergeCell ref="N13:O13"/>
    <mergeCell ref="N14:O14"/>
    <mergeCell ref="P14:S14"/>
    <mergeCell ref="T14:W14"/>
    <mergeCell ref="AS16:AV16"/>
    <mergeCell ref="N17:O17"/>
    <mergeCell ref="T18:W18"/>
    <mergeCell ref="AM18:AN18"/>
    <mergeCell ref="AO18:AR18"/>
    <mergeCell ref="AP7:AV7"/>
    <mergeCell ref="AW7:AX7"/>
    <mergeCell ref="AY7:BE7"/>
    <mergeCell ref="AM9:AN9"/>
    <mergeCell ref="AO9:AR9"/>
    <mergeCell ref="AS9:AV9"/>
    <mergeCell ref="AS15:AV15"/>
    <mergeCell ref="AO15:AR15"/>
    <mergeCell ref="AM15:AN15"/>
    <mergeCell ref="AS12:AV12"/>
    <mergeCell ref="AO12:AR12"/>
    <mergeCell ref="AM12:AN12"/>
    <mergeCell ref="AS13:AV13"/>
    <mergeCell ref="AO13:AR13"/>
    <mergeCell ref="AM13:AN13"/>
    <mergeCell ref="AO14:AR14"/>
    <mergeCell ref="AS14:AV14"/>
    <mergeCell ref="AM14:AN14"/>
    <mergeCell ref="A9:E9"/>
    <mergeCell ref="F9:H9"/>
    <mergeCell ref="I9:M9"/>
    <mergeCell ref="N9:O9"/>
    <mergeCell ref="P9:S9"/>
    <mergeCell ref="T9:W9"/>
    <mergeCell ref="Z9:AD9"/>
    <mergeCell ref="AE9:AG9"/>
    <mergeCell ref="AH9:AL9"/>
    <mergeCell ref="AY4:BE4"/>
    <mergeCell ref="AE5:AF5"/>
    <mergeCell ref="AG5:AM5"/>
    <mergeCell ref="AN5:AO5"/>
    <mergeCell ref="AP5:AV5"/>
    <mergeCell ref="AW5:AX5"/>
    <mergeCell ref="AY5:BE5"/>
    <mergeCell ref="A4:K5"/>
    <mergeCell ref="L4:AB7"/>
    <mergeCell ref="AE4:AF4"/>
    <mergeCell ref="AG4:AM4"/>
    <mergeCell ref="AN4:AO4"/>
    <mergeCell ref="AP4:AV4"/>
    <mergeCell ref="AW4:AX4"/>
    <mergeCell ref="A6:K7"/>
    <mergeCell ref="AE6:AF6"/>
    <mergeCell ref="AG6:AM6"/>
    <mergeCell ref="AN6:AO6"/>
    <mergeCell ref="AP6:AV6"/>
    <mergeCell ref="AW6:AX6"/>
    <mergeCell ref="AY6:BE6"/>
    <mergeCell ref="AE7:AF7"/>
    <mergeCell ref="AG7:AM7"/>
    <mergeCell ref="AN7:AO7"/>
    <mergeCell ref="A89:H89"/>
    <mergeCell ref="I89:T89"/>
    <mergeCell ref="A90:H90"/>
    <mergeCell ref="I90:T90"/>
    <mergeCell ref="AM58:AN58"/>
    <mergeCell ref="AO58:AR58"/>
    <mergeCell ref="AS58:AV58"/>
    <mergeCell ref="A39:T39"/>
    <mergeCell ref="A40:H40"/>
    <mergeCell ref="I40:T40"/>
    <mergeCell ref="A41:H41"/>
    <mergeCell ref="I41:T41"/>
    <mergeCell ref="A88:T88"/>
    <mergeCell ref="A58:E58"/>
    <mergeCell ref="F58:H58"/>
    <mergeCell ref="I58:M58"/>
    <mergeCell ref="N58:O58"/>
    <mergeCell ref="P58:S58"/>
    <mergeCell ref="T58:W58"/>
    <mergeCell ref="Z58:AD58"/>
    <mergeCell ref="AE58:AG58"/>
    <mergeCell ref="AH58:AL58"/>
    <mergeCell ref="A59:E82"/>
    <mergeCell ref="F59:H82"/>
  </mergeCells>
  <phoneticPr fontId="2"/>
  <pageMargins left="0.39370078740157483" right="0.39370078740157483" top="0.59055118110236227" bottom="0.39370078740157483" header="0.51181102362204722" footer="0.19685039370078741"/>
  <pageSetup paperSize="9" scale="90" firstPageNumber="26" orientation="portrait" useFirstPageNumber="1" r:id="rId1"/>
  <headerFooter alignWithMargins="0">
    <oddFooter>&amp;C20260511臨時改定価格_SP_SFマットポリ&amp;R&amp;P/&amp;N</oddFooter>
  </headerFooter>
  <rowBreaks count="1" manualBreakCount="1">
    <brk id="54" max="62"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5932-EEA2-4767-B96C-3AFEFF3E5997}">
  <sheetPr>
    <tabColor indexed="10"/>
  </sheetPr>
  <dimension ref="A1:BK211"/>
  <sheetViews>
    <sheetView view="pageBreakPreview" zoomScaleSheetLayoutView="100" workbookViewId="0">
      <selection activeCell="BS8" sqref="BS8"/>
    </sheetView>
  </sheetViews>
  <sheetFormatPr defaultColWidth="8.875" defaultRowHeight="13.5"/>
  <cols>
    <col min="1" max="153" width="1.625" style="1" customWidth="1"/>
    <col min="154" max="16384" width="8.875" style="1"/>
  </cols>
  <sheetData>
    <row r="1" spans="1:63"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3" ht="16.5" customHeight="1">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63" ht="16.5" customHeight="1"/>
    <row r="4" spans="1:63" ht="16.5" customHeight="1">
      <c r="A4" s="109" t="s">
        <v>0</v>
      </c>
      <c r="B4" s="110"/>
      <c r="C4" s="110"/>
      <c r="D4" s="110"/>
      <c r="E4" s="110"/>
      <c r="F4" s="110"/>
      <c r="G4" s="110"/>
      <c r="H4" s="110"/>
      <c r="I4" s="110"/>
      <c r="J4" s="110"/>
      <c r="K4" s="110"/>
      <c r="L4" s="113" t="s">
        <v>304</v>
      </c>
      <c r="M4" s="114"/>
      <c r="N4" s="114"/>
      <c r="O4" s="114"/>
      <c r="P4" s="114"/>
      <c r="Q4" s="114"/>
      <c r="R4" s="114"/>
      <c r="S4" s="114"/>
      <c r="T4" s="114"/>
      <c r="U4" s="114"/>
      <c r="V4" s="114"/>
      <c r="W4" s="114"/>
      <c r="X4" s="114"/>
      <c r="Y4" s="114"/>
      <c r="Z4" s="114"/>
      <c r="AA4" s="114"/>
      <c r="AB4" s="114"/>
      <c r="AC4" s="114"/>
      <c r="AD4" s="114"/>
      <c r="AE4" s="114"/>
      <c r="AF4" s="114"/>
      <c r="AG4" s="114"/>
      <c r="AH4" s="3"/>
      <c r="AI4" s="3"/>
      <c r="AJ4" s="3"/>
      <c r="AK4" s="100">
        <v>1003</v>
      </c>
      <c r="AL4" s="100"/>
      <c r="AM4" s="102" t="s">
        <v>305</v>
      </c>
      <c r="AN4" s="102"/>
      <c r="AO4" s="102"/>
      <c r="AP4" s="102"/>
      <c r="AQ4" s="102"/>
      <c r="AR4" s="102"/>
      <c r="AS4" s="102"/>
      <c r="AT4" s="3"/>
      <c r="AU4" s="3"/>
      <c r="AV4" s="3"/>
      <c r="AW4" s="3"/>
      <c r="AX4" s="3"/>
    </row>
    <row r="5" spans="1:63" ht="16.5" customHeight="1">
      <c r="A5" s="111"/>
      <c r="B5" s="112"/>
      <c r="C5" s="112"/>
      <c r="D5" s="112"/>
      <c r="E5" s="112"/>
      <c r="F5" s="112"/>
      <c r="G5" s="112"/>
      <c r="H5" s="112"/>
      <c r="I5" s="112"/>
      <c r="J5" s="112"/>
      <c r="K5" s="112"/>
      <c r="L5" s="115"/>
      <c r="M5" s="116"/>
      <c r="N5" s="116"/>
      <c r="O5" s="116"/>
      <c r="P5" s="116"/>
      <c r="Q5" s="116"/>
      <c r="R5" s="116"/>
      <c r="S5" s="116"/>
      <c r="T5" s="116"/>
      <c r="U5" s="116"/>
      <c r="V5" s="116"/>
      <c r="W5" s="116"/>
      <c r="X5" s="116"/>
      <c r="Y5" s="116"/>
      <c r="Z5" s="116"/>
      <c r="AA5" s="116"/>
      <c r="AB5" s="116"/>
      <c r="AC5" s="116"/>
      <c r="AD5" s="116"/>
      <c r="AE5" s="116"/>
      <c r="AF5" s="116"/>
      <c r="AG5" s="116"/>
      <c r="AH5" s="3"/>
      <c r="AI5" s="3"/>
      <c r="AJ5" s="3"/>
      <c r="AK5" s="3"/>
      <c r="AL5" s="3"/>
      <c r="AM5" s="3"/>
      <c r="AN5" s="3"/>
      <c r="AO5" s="3"/>
    </row>
    <row r="6" spans="1:63" ht="16.5" customHeight="1">
      <c r="A6" s="103" t="s">
        <v>2</v>
      </c>
      <c r="B6" s="104"/>
      <c r="C6" s="104"/>
      <c r="D6" s="104"/>
      <c r="E6" s="104"/>
      <c r="F6" s="104"/>
      <c r="G6" s="104"/>
      <c r="H6" s="104"/>
      <c r="I6" s="104"/>
      <c r="J6" s="104"/>
      <c r="K6" s="105"/>
      <c r="L6" s="115"/>
      <c r="M6" s="116"/>
      <c r="N6" s="116"/>
      <c r="O6" s="116"/>
      <c r="P6" s="116"/>
      <c r="Q6" s="116"/>
      <c r="R6" s="116"/>
      <c r="S6" s="116"/>
      <c r="T6" s="116"/>
      <c r="U6" s="116"/>
      <c r="V6" s="116"/>
      <c r="W6" s="116"/>
      <c r="X6" s="116"/>
      <c r="Y6" s="116"/>
      <c r="Z6" s="116"/>
      <c r="AA6" s="116"/>
      <c r="AB6" s="116"/>
      <c r="AC6" s="116"/>
      <c r="AD6" s="116"/>
      <c r="AE6" s="116"/>
      <c r="AF6" s="116"/>
      <c r="AG6" s="116"/>
      <c r="AH6" s="3"/>
      <c r="AI6" s="3"/>
      <c r="AJ6" s="3"/>
      <c r="AK6" s="3"/>
      <c r="AL6" s="3"/>
      <c r="AM6" s="3"/>
      <c r="AN6" s="3"/>
      <c r="AO6" s="3"/>
      <c r="AP6" s="3"/>
      <c r="AQ6" s="3"/>
      <c r="AR6" s="3"/>
      <c r="AS6" s="3"/>
      <c r="AT6" s="3"/>
      <c r="AU6" s="3"/>
      <c r="AV6" s="3"/>
      <c r="AW6" s="3"/>
      <c r="AX6" s="3"/>
    </row>
    <row r="7" spans="1:63" ht="16.5" customHeight="1">
      <c r="A7" s="106"/>
      <c r="B7" s="107"/>
      <c r="C7" s="107"/>
      <c r="D7" s="107"/>
      <c r="E7" s="107"/>
      <c r="F7" s="107"/>
      <c r="G7" s="107"/>
      <c r="H7" s="107"/>
      <c r="I7" s="107"/>
      <c r="J7" s="107"/>
      <c r="K7" s="108"/>
      <c r="L7" s="117"/>
      <c r="M7" s="118"/>
      <c r="N7" s="118"/>
      <c r="O7" s="118"/>
      <c r="P7" s="118"/>
      <c r="Q7" s="118"/>
      <c r="R7" s="118"/>
      <c r="S7" s="118"/>
      <c r="T7" s="118"/>
      <c r="U7" s="118"/>
      <c r="V7" s="118"/>
      <c r="W7" s="118"/>
      <c r="X7" s="118"/>
      <c r="Y7" s="118"/>
      <c r="Z7" s="118"/>
      <c r="AA7" s="118"/>
      <c r="AB7" s="118"/>
      <c r="AC7" s="118"/>
      <c r="AD7" s="118"/>
      <c r="AE7" s="118"/>
      <c r="AF7" s="118"/>
      <c r="AG7" s="118"/>
      <c r="AH7" s="3"/>
      <c r="AI7" s="3"/>
      <c r="AJ7" s="3"/>
      <c r="AK7" s="3"/>
      <c r="AL7" s="3"/>
      <c r="AM7" s="3"/>
      <c r="AN7" s="3"/>
      <c r="AO7" s="3"/>
      <c r="AP7" s="3"/>
      <c r="AQ7" s="3"/>
      <c r="AR7" s="3"/>
      <c r="AS7" s="3"/>
      <c r="AT7" s="3"/>
      <c r="AU7" s="3"/>
      <c r="AV7" s="3"/>
      <c r="AW7" s="3"/>
      <c r="AX7" s="3"/>
    </row>
    <row r="8" spans="1:63" ht="16.5" customHeight="1">
      <c r="A8" s="70"/>
      <c r="B8" s="70"/>
      <c r="C8" s="70"/>
      <c r="D8" s="70"/>
      <c r="E8" s="70"/>
      <c r="F8" s="70"/>
      <c r="G8" s="70"/>
      <c r="H8" s="70"/>
      <c r="I8" s="70"/>
      <c r="J8" s="70"/>
      <c r="K8" s="70"/>
      <c r="L8" s="4"/>
      <c r="M8" s="4"/>
      <c r="N8" s="4"/>
      <c r="O8" s="4"/>
      <c r="P8" s="4"/>
      <c r="Q8" s="4"/>
      <c r="R8" s="4"/>
      <c r="S8" s="4"/>
      <c r="T8" s="4"/>
      <c r="U8" s="4"/>
      <c r="V8" s="4"/>
      <c r="W8" s="4"/>
      <c r="X8" s="4"/>
      <c r="Y8" s="4"/>
      <c r="Z8" s="4"/>
      <c r="AA8" s="4"/>
      <c r="AB8" s="3"/>
      <c r="AC8" s="3"/>
      <c r="AD8" s="3"/>
      <c r="AE8" s="3"/>
      <c r="AF8" s="3"/>
      <c r="AG8" s="3"/>
      <c r="AH8" s="3"/>
      <c r="AI8" s="3"/>
      <c r="AJ8" s="3"/>
      <c r="AK8" s="3"/>
      <c r="AL8" s="3"/>
      <c r="AM8" s="3"/>
      <c r="AN8" s="3"/>
      <c r="AO8" s="3"/>
      <c r="AP8" s="3"/>
      <c r="AQ8" s="3"/>
      <c r="AR8" s="3"/>
      <c r="AS8" s="3"/>
      <c r="AT8" s="3"/>
      <c r="AU8" s="3"/>
      <c r="AV8" s="3"/>
      <c r="AW8" s="3"/>
      <c r="AX8" s="3"/>
      <c r="AY8" s="3"/>
      <c r="AZ8" s="3"/>
      <c r="BA8" s="3"/>
      <c r="BB8" s="3"/>
    </row>
    <row r="9" spans="1:63"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c r="AG9" s="98" t="s">
        <v>3</v>
      </c>
      <c r="AH9" s="98"/>
      <c r="AI9" s="98"/>
      <c r="AJ9" s="98"/>
      <c r="AK9" s="98"/>
      <c r="AL9" s="98" t="s">
        <v>4</v>
      </c>
      <c r="AM9" s="98"/>
      <c r="AN9" s="98"/>
      <c r="AO9" s="98" t="s">
        <v>5</v>
      </c>
      <c r="AP9" s="98"/>
      <c r="AQ9" s="98"/>
      <c r="AR9" s="98"/>
      <c r="AS9" s="98"/>
      <c r="AT9" s="98"/>
      <c r="AU9" s="98"/>
      <c r="AV9" s="98" t="s">
        <v>6</v>
      </c>
      <c r="AW9" s="98"/>
      <c r="AX9" s="98"/>
      <c r="AY9" s="98"/>
      <c r="AZ9" s="98" t="s">
        <v>7</v>
      </c>
      <c r="BA9" s="98"/>
      <c r="BB9" s="98"/>
      <c r="BC9" s="98"/>
      <c r="BD9" s="98" t="s">
        <v>8</v>
      </c>
      <c r="BE9" s="98"/>
      <c r="BF9" s="98"/>
      <c r="BG9" s="98"/>
      <c r="BH9" s="98" t="s">
        <v>52</v>
      </c>
      <c r="BI9" s="98"/>
      <c r="BJ9" s="98"/>
      <c r="BK9" s="98"/>
    </row>
    <row r="10" spans="1:63" ht="16.5" customHeight="1">
      <c r="A10" s="93">
        <v>1003</v>
      </c>
      <c r="B10" s="93"/>
      <c r="C10" s="93"/>
      <c r="D10" s="93"/>
      <c r="E10" s="93"/>
      <c r="F10" s="94">
        <v>5</v>
      </c>
      <c r="G10" s="94"/>
      <c r="H10" s="94"/>
      <c r="I10" s="95" t="s">
        <v>255</v>
      </c>
      <c r="J10" s="95"/>
      <c r="K10" s="95"/>
      <c r="L10" s="95"/>
      <c r="M10" s="95"/>
      <c r="N10" s="100" t="s">
        <v>184</v>
      </c>
      <c r="O10" s="100"/>
      <c r="P10" s="99">
        <f>P16+5</f>
        <v>129.5</v>
      </c>
      <c r="Q10" s="99"/>
      <c r="R10" s="99"/>
      <c r="S10" s="99"/>
      <c r="T10" s="99">
        <f>P10+15</f>
        <v>144.5</v>
      </c>
      <c r="U10" s="99"/>
      <c r="V10" s="99"/>
      <c r="W10" s="99"/>
      <c r="X10" s="99">
        <f>T10+15</f>
        <v>159.5</v>
      </c>
      <c r="Y10" s="99"/>
      <c r="Z10" s="99"/>
      <c r="AA10" s="99"/>
      <c r="AB10" s="99">
        <f>X10+15</f>
        <v>174.5</v>
      </c>
      <c r="AC10" s="99"/>
      <c r="AD10" s="99"/>
      <c r="AE10" s="99"/>
      <c r="AG10" s="93">
        <v>1003</v>
      </c>
      <c r="AH10" s="93"/>
      <c r="AI10" s="93"/>
      <c r="AJ10" s="93"/>
      <c r="AK10" s="93"/>
      <c r="AL10" s="94">
        <v>10</v>
      </c>
      <c r="AM10" s="94"/>
      <c r="AN10" s="94"/>
      <c r="AO10" s="95" t="s">
        <v>255</v>
      </c>
      <c r="AP10" s="95"/>
      <c r="AQ10" s="95"/>
      <c r="AR10" s="95"/>
      <c r="AS10" s="95"/>
      <c r="AT10" s="100" t="s">
        <v>184</v>
      </c>
      <c r="AU10" s="100"/>
      <c r="AV10" s="99">
        <f>AV16+5</f>
        <v>145.5</v>
      </c>
      <c r="AW10" s="99"/>
      <c r="AX10" s="99"/>
      <c r="AY10" s="99"/>
      <c r="AZ10" s="99">
        <f>AV10+15</f>
        <v>160.5</v>
      </c>
      <c r="BA10" s="99"/>
      <c r="BB10" s="99"/>
      <c r="BC10" s="99"/>
      <c r="BD10" s="99">
        <f>AZ10+15</f>
        <v>175.5</v>
      </c>
      <c r="BE10" s="99"/>
      <c r="BF10" s="99"/>
      <c r="BG10" s="99"/>
      <c r="BH10" s="99">
        <f>BD10+15</f>
        <v>190.5</v>
      </c>
      <c r="BI10" s="99"/>
      <c r="BJ10" s="99"/>
      <c r="BK10" s="99"/>
    </row>
    <row r="11" spans="1:63" ht="16.5" customHeight="1">
      <c r="A11" s="93"/>
      <c r="B11" s="93"/>
      <c r="C11" s="93"/>
      <c r="D11" s="93"/>
      <c r="E11" s="93"/>
      <c r="F11" s="94"/>
      <c r="G11" s="94"/>
      <c r="H11" s="94"/>
      <c r="I11" s="95"/>
      <c r="J11" s="95"/>
      <c r="K11" s="95"/>
      <c r="L11" s="95"/>
      <c r="M11" s="95"/>
      <c r="N11" s="100" t="s">
        <v>186</v>
      </c>
      <c r="O11" s="100"/>
      <c r="P11" s="99">
        <f>CEILING(P10*0.95,0.5)</f>
        <v>123.5</v>
      </c>
      <c r="Q11" s="99"/>
      <c r="R11" s="99"/>
      <c r="S11" s="99"/>
      <c r="T11" s="99">
        <f>CEILING(T10*0.95,0.5)</f>
        <v>137.5</v>
      </c>
      <c r="U11" s="99"/>
      <c r="V11" s="99"/>
      <c r="W11" s="99"/>
      <c r="X11" s="99">
        <f>CEILING(X10*0.95,0.5)</f>
        <v>152</v>
      </c>
      <c r="Y11" s="99"/>
      <c r="Z11" s="99"/>
      <c r="AA11" s="99"/>
      <c r="AB11" s="99">
        <f>CEILING(AB10*0.95,0.5)</f>
        <v>166</v>
      </c>
      <c r="AC11" s="99"/>
      <c r="AD11" s="99"/>
      <c r="AE11" s="99"/>
      <c r="AG11" s="93"/>
      <c r="AH11" s="93"/>
      <c r="AI11" s="93"/>
      <c r="AJ11" s="93"/>
      <c r="AK11" s="93"/>
      <c r="AL11" s="94"/>
      <c r="AM11" s="94"/>
      <c r="AN11" s="94"/>
      <c r="AO11" s="95"/>
      <c r="AP11" s="95"/>
      <c r="AQ11" s="95"/>
      <c r="AR11" s="95"/>
      <c r="AS11" s="95"/>
      <c r="AT11" s="100" t="s">
        <v>186</v>
      </c>
      <c r="AU11" s="100"/>
      <c r="AV11" s="99">
        <f>CEILING(AV10*0.95,0.5)</f>
        <v>138.5</v>
      </c>
      <c r="AW11" s="99"/>
      <c r="AX11" s="99"/>
      <c r="AY11" s="99"/>
      <c r="AZ11" s="99">
        <f>CEILING(AZ10*0.95,0.5)</f>
        <v>152.5</v>
      </c>
      <c r="BA11" s="99"/>
      <c r="BB11" s="99"/>
      <c r="BC11" s="99"/>
      <c r="BD11" s="99">
        <f>CEILING(BD10*0.95,0.5)</f>
        <v>167</v>
      </c>
      <c r="BE11" s="99"/>
      <c r="BF11" s="99"/>
      <c r="BG11" s="99"/>
      <c r="BH11" s="99">
        <f>CEILING(BH10*0.95,0.5)</f>
        <v>181</v>
      </c>
      <c r="BI11" s="99"/>
      <c r="BJ11" s="99"/>
      <c r="BK11" s="99"/>
    </row>
    <row r="12" spans="1:63" ht="16.5" customHeight="1">
      <c r="A12" s="93"/>
      <c r="B12" s="93"/>
      <c r="C12" s="93"/>
      <c r="D12" s="93"/>
      <c r="E12" s="93"/>
      <c r="F12" s="94"/>
      <c r="G12" s="94"/>
      <c r="H12" s="94"/>
      <c r="I12" s="95"/>
      <c r="J12" s="95"/>
      <c r="K12" s="95"/>
      <c r="L12" s="95"/>
      <c r="M12" s="95"/>
      <c r="N12" s="100" t="s">
        <v>96</v>
      </c>
      <c r="O12" s="100"/>
      <c r="P12" s="99">
        <f>P18+5</f>
        <v>113</v>
      </c>
      <c r="Q12" s="99"/>
      <c r="R12" s="99"/>
      <c r="S12" s="99"/>
      <c r="T12" s="99">
        <f>P12+15</f>
        <v>128</v>
      </c>
      <c r="U12" s="99"/>
      <c r="V12" s="99"/>
      <c r="W12" s="99"/>
      <c r="X12" s="99">
        <f>T12+15</f>
        <v>143</v>
      </c>
      <c r="Y12" s="99"/>
      <c r="Z12" s="99"/>
      <c r="AA12" s="99"/>
      <c r="AB12" s="99">
        <f>X12+15</f>
        <v>158</v>
      </c>
      <c r="AC12" s="99"/>
      <c r="AD12" s="99"/>
      <c r="AE12" s="99"/>
      <c r="AG12" s="93"/>
      <c r="AH12" s="93"/>
      <c r="AI12" s="93"/>
      <c r="AJ12" s="93"/>
      <c r="AK12" s="93"/>
      <c r="AL12" s="94"/>
      <c r="AM12" s="94"/>
      <c r="AN12" s="94"/>
      <c r="AO12" s="95"/>
      <c r="AP12" s="95"/>
      <c r="AQ12" s="95"/>
      <c r="AR12" s="95"/>
      <c r="AS12" s="95"/>
      <c r="AT12" s="100" t="s">
        <v>96</v>
      </c>
      <c r="AU12" s="100"/>
      <c r="AV12" s="99">
        <f>AV18+5</f>
        <v>126.5</v>
      </c>
      <c r="AW12" s="99"/>
      <c r="AX12" s="99"/>
      <c r="AY12" s="99"/>
      <c r="AZ12" s="99">
        <f>AV12+15</f>
        <v>141.5</v>
      </c>
      <c r="BA12" s="99"/>
      <c r="BB12" s="99"/>
      <c r="BC12" s="99"/>
      <c r="BD12" s="99">
        <f>AZ12+15</f>
        <v>156.5</v>
      </c>
      <c r="BE12" s="99"/>
      <c r="BF12" s="99"/>
      <c r="BG12" s="99"/>
      <c r="BH12" s="99">
        <f>BD12+15</f>
        <v>171.5</v>
      </c>
      <c r="BI12" s="99"/>
      <c r="BJ12" s="99"/>
      <c r="BK12" s="99"/>
    </row>
    <row r="13" spans="1:63" ht="16.5" customHeight="1">
      <c r="A13" s="93"/>
      <c r="B13" s="93"/>
      <c r="C13" s="93"/>
      <c r="D13" s="93"/>
      <c r="E13" s="93"/>
      <c r="F13" s="94"/>
      <c r="G13" s="94"/>
      <c r="H13" s="94"/>
      <c r="I13" s="97" t="s">
        <v>13</v>
      </c>
      <c r="J13" s="97"/>
      <c r="K13" s="97"/>
      <c r="L13" s="97"/>
      <c r="M13" s="97"/>
      <c r="N13" s="98" t="s">
        <v>184</v>
      </c>
      <c r="O13" s="98"/>
      <c r="P13" s="96">
        <f>CEILING(P10*0.47+5,0.5)</f>
        <v>66</v>
      </c>
      <c r="Q13" s="96"/>
      <c r="R13" s="96"/>
      <c r="S13" s="96"/>
      <c r="T13" s="96">
        <f>CEILING(T10*0.47+5,0.5)</f>
        <v>73</v>
      </c>
      <c r="U13" s="96"/>
      <c r="V13" s="96"/>
      <c r="W13" s="96"/>
      <c r="X13" s="96">
        <f>CEILING(X10*0.47+5,0.5)</f>
        <v>80</v>
      </c>
      <c r="Y13" s="96"/>
      <c r="Z13" s="96"/>
      <c r="AA13" s="96"/>
      <c r="AB13" s="96">
        <f>CEILING(AB10*0.47+5,0.5)</f>
        <v>87.5</v>
      </c>
      <c r="AC13" s="96"/>
      <c r="AD13" s="96"/>
      <c r="AE13" s="96"/>
      <c r="AG13" s="93"/>
      <c r="AH13" s="93"/>
      <c r="AI13" s="93"/>
      <c r="AJ13" s="93"/>
      <c r="AK13" s="93"/>
      <c r="AL13" s="94"/>
      <c r="AM13" s="94"/>
      <c r="AN13" s="94"/>
      <c r="AO13" s="97" t="s">
        <v>193</v>
      </c>
      <c r="AP13" s="97"/>
      <c r="AQ13" s="97"/>
      <c r="AR13" s="97"/>
      <c r="AS13" s="97"/>
      <c r="AT13" s="98" t="s">
        <v>184</v>
      </c>
      <c r="AU13" s="98"/>
      <c r="AV13" s="96">
        <f>CEILING(AV10*0.57+5,0.5)</f>
        <v>88</v>
      </c>
      <c r="AW13" s="96"/>
      <c r="AX13" s="96"/>
      <c r="AY13" s="96"/>
      <c r="AZ13" s="96">
        <f>CEILING(AZ10*0.57+5,0.5)</f>
        <v>96.5</v>
      </c>
      <c r="BA13" s="96"/>
      <c r="BB13" s="96"/>
      <c r="BC13" s="96"/>
      <c r="BD13" s="96">
        <f>CEILING(BD10*0.57+5,0.5)</f>
        <v>105.5</v>
      </c>
      <c r="BE13" s="96"/>
      <c r="BF13" s="96"/>
      <c r="BG13" s="96"/>
      <c r="BH13" s="96">
        <f>CEILING(BH10*0.57+5,0.5)</f>
        <v>114</v>
      </c>
      <c r="BI13" s="96"/>
      <c r="BJ13" s="96"/>
      <c r="BK13" s="96"/>
    </row>
    <row r="14" spans="1:63" ht="16.5" customHeight="1">
      <c r="A14" s="93"/>
      <c r="B14" s="93"/>
      <c r="C14" s="93"/>
      <c r="D14" s="93"/>
      <c r="E14" s="93"/>
      <c r="F14" s="94"/>
      <c r="G14" s="94"/>
      <c r="H14" s="94"/>
      <c r="I14" s="97"/>
      <c r="J14" s="97"/>
      <c r="K14" s="97"/>
      <c r="L14" s="97"/>
      <c r="M14" s="97"/>
      <c r="N14" s="98" t="s">
        <v>186</v>
      </c>
      <c r="O14" s="98"/>
      <c r="P14" s="96">
        <f>CEILING(P13*0.95,0.5)</f>
        <v>63</v>
      </c>
      <c r="Q14" s="96"/>
      <c r="R14" s="96"/>
      <c r="S14" s="96"/>
      <c r="T14" s="96">
        <f>CEILING(T13*0.95,0.5)</f>
        <v>69.5</v>
      </c>
      <c r="U14" s="96"/>
      <c r="V14" s="96"/>
      <c r="W14" s="96"/>
      <c r="X14" s="96">
        <f>CEILING(X13*0.95,0.5)</f>
        <v>76</v>
      </c>
      <c r="Y14" s="96"/>
      <c r="Z14" s="96"/>
      <c r="AA14" s="96"/>
      <c r="AB14" s="96">
        <f>CEILING(AB13*0.95,0.5)</f>
        <v>83.5</v>
      </c>
      <c r="AC14" s="96"/>
      <c r="AD14" s="96"/>
      <c r="AE14" s="96"/>
      <c r="AG14" s="93"/>
      <c r="AH14" s="93"/>
      <c r="AI14" s="93"/>
      <c r="AJ14" s="93"/>
      <c r="AK14" s="93"/>
      <c r="AL14" s="94"/>
      <c r="AM14" s="94"/>
      <c r="AN14" s="94"/>
      <c r="AO14" s="97"/>
      <c r="AP14" s="97"/>
      <c r="AQ14" s="97"/>
      <c r="AR14" s="97"/>
      <c r="AS14" s="97"/>
      <c r="AT14" s="98" t="s">
        <v>186</v>
      </c>
      <c r="AU14" s="98"/>
      <c r="AV14" s="96">
        <f>CEILING(AV13*0.95,0.5)</f>
        <v>84</v>
      </c>
      <c r="AW14" s="96"/>
      <c r="AX14" s="96"/>
      <c r="AY14" s="96"/>
      <c r="AZ14" s="96">
        <f>CEILING(AZ13*0.95,0.5)</f>
        <v>92</v>
      </c>
      <c r="BA14" s="96"/>
      <c r="BB14" s="96"/>
      <c r="BC14" s="96"/>
      <c r="BD14" s="96">
        <f>CEILING(BD13*0.95,0.5)</f>
        <v>100.5</v>
      </c>
      <c r="BE14" s="96"/>
      <c r="BF14" s="96"/>
      <c r="BG14" s="96"/>
      <c r="BH14" s="96">
        <f>CEILING(BH13*0.95,0.5)</f>
        <v>108.5</v>
      </c>
      <c r="BI14" s="96"/>
      <c r="BJ14" s="96"/>
      <c r="BK14" s="96"/>
    </row>
    <row r="15" spans="1:63" ht="16.5" customHeight="1">
      <c r="A15" s="93"/>
      <c r="B15" s="93"/>
      <c r="C15" s="93"/>
      <c r="D15" s="93"/>
      <c r="E15" s="93"/>
      <c r="F15" s="94"/>
      <c r="G15" s="94"/>
      <c r="H15" s="94"/>
      <c r="I15" s="97"/>
      <c r="J15" s="97"/>
      <c r="K15" s="97"/>
      <c r="L15" s="97"/>
      <c r="M15" s="97"/>
      <c r="N15" s="98" t="s">
        <v>96</v>
      </c>
      <c r="O15" s="98"/>
      <c r="P15" s="96">
        <f>CEILING(P12*0.47+5,0.5)</f>
        <v>58.5</v>
      </c>
      <c r="Q15" s="96"/>
      <c r="R15" s="96"/>
      <c r="S15" s="96"/>
      <c r="T15" s="96">
        <f>CEILING(T12*0.47+5,0.5)</f>
        <v>65.5</v>
      </c>
      <c r="U15" s="96"/>
      <c r="V15" s="96"/>
      <c r="W15" s="96"/>
      <c r="X15" s="96">
        <f>CEILING(X12*0.47+5,0.5)</f>
        <v>72.5</v>
      </c>
      <c r="Y15" s="96"/>
      <c r="Z15" s="96"/>
      <c r="AA15" s="96"/>
      <c r="AB15" s="96">
        <f>CEILING(AB12*0.47+5,0.5)</f>
        <v>79.5</v>
      </c>
      <c r="AC15" s="96"/>
      <c r="AD15" s="96"/>
      <c r="AE15" s="96"/>
      <c r="AG15" s="93"/>
      <c r="AH15" s="93"/>
      <c r="AI15" s="93"/>
      <c r="AJ15" s="93"/>
      <c r="AK15" s="93"/>
      <c r="AL15" s="94"/>
      <c r="AM15" s="94"/>
      <c r="AN15" s="94"/>
      <c r="AO15" s="97"/>
      <c r="AP15" s="97"/>
      <c r="AQ15" s="97"/>
      <c r="AR15" s="97"/>
      <c r="AS15" s="97"/>
      <c r="AT15" s="98" t="s">
        <v>96</v>
      </c>
      <c r="AU15" s="98"/>
      <c r="AV15" s="96">
        <f>CEILING(AV12*0.57+5,0.5)</f>
        <v>77.5</v>
      </c>
      <c r="AW15" s="96"/>
      <c r="AX15" s="96"/>
      <c r="AY15" s="96"/>
      <c r="AZ15" s="96">
        <f>CEILING(AZ12*0.57+5,0.5)</f>
        <v>86</v>
      </c>
      <c r="BA15" s="96"/>
      <c r="BB15" s="96"/>
      <c r="BC15" s="96"/>
      <c r="BD15" s="96">
        <f>CEILING(BD12*0.57+5,0.5)</f>
        <v>94.5</v>
      </c>
      <c r="BE15" s="96"/>
      <c r="BF15" s="96"/>
      <c r="BG15" s="96"/>
      <c r="BH15" s="96">
        <f>CEILING(BH12*0.57+5,0.5)</f>
        <v>103</v>
      </c>
      <c r="BI15" s="96"/>
      <c r="BJ15" s="96"/>
      <c r="BK15" s="96"/>
    </row>
    <row r="16" spans="1:63" ht="16.5" customHeight="1">
      <c r="A16" s="93"/>
      <c r="B16" s="93"/>
      <c r="C16" s="93"/>
      <c r="D16" s="93"/>
      <c r="E16" s="93"/>
      <c r="F16" s="94"/>
      <c r="G16" s="94"/>
      <c r="H16" s="94"/>
      <c r="I16" s="95" t="s">
        <v>258</v>
      </c>
      <c r="J16" s="95"/>
      <c r="K16" s="95"/>
      <c r="L16" s="95"/>
      <c r="M16" s="95"/>
      <c r="N16" s="100" t="s">
        <v>184</v>
      </c>
      <c r="O16" s="100"/>
      <c r="P16" s="101">
        <f>CEILING(92*1.35,0.5)</f>
        <v>124.5</v>
      </c>
      <c r="Q16" s="101"/>
      <c r="R16" s="101"/>
      <c r="S16" s="101"/>
      <c r="T16" s="99">
        <f>P16+10</f>
        <v>134.5</v>
      </c>
      <c r="U16" s="99"/>
      <c r="V16" s="99"/>
      <c r="W16" s="99"/>
      <c r="X16" s="99">
        <f>T16+10</f>
        <v>144.5</v>
      </c>
      <c r="Y16" s="99"/>
      <c r="Z16" s="99"/>
      <c r="AA16" s="99"/>
      <c r="AB16" s="99">
        <f>X16+10</f>
        <v>154.5</v>
      </c>
      <c r="AC16" s="99"/>
      <c r="AD16" s="99"/>
      <c r="AE16" s="99"/>
      <c r="AG16" s="93"/>
      <c r="AH16" s="93"/>
      <c r="AI16" s="93"/>
      <c r="AJ16" s="93"/>
      <c r="AK16" s="93"/>
      <c r="AL16" s="94"/>
      <c r="AM16" s="94"/>
      <c r="AN16" s="94"/>
      <c r="AO16" s="95" t="s">
        <v>258</v>
      </c>
      <c r="AP16" s="95"/>
      <c r="AQ16" s="95"/>
      <c r="AR16" s="95"/>
      <c r="AS16" s="95"/>
      <c r="AT16" s="100" t="s">
        <v>184</v>
      </c>
      <c r="AU16" s="100"/>
      <c r="AV16" s="101">
        <f>CEILING(104*1.35,0.5)</f>
        <v>140.5</v>
      </c>
      <c r="AW16" s="101"/>
      <c r="AX16" s="101"/>
      <c r="AY16" s="101"/>
      <c r="AZ16" s="99">
        <f>AV16+10</f>
        <v>150.5</v>
      </c>
      <c r="BA16" s="99"/>
      <c r="BB16" s="99"/>
      <c r="BC16" s="99"/>
      <c r="BD16" s="99">
        <f>AZ16+10</f>
        <v>160.5</v>
      </c>
      <c r="BE16" s="99"/>
      <c r="BF16" s="99"/>
      <c r="BG16" s="99"/>
      <c r="BH16" s="99">
        <f>BD16+10</f>
        <v>170.5</v>
      </c>
      <c r="BI16" s="99"/>
      <c r="BJ16" s="99"/>
      <c r="BK16" s="99"/>
    </row>
    <row r="17" spans="1:63" ht="16.5" customHeight="1">
      <c r="A17" s="93"/>
      <c r="B17" s="93"/>
      <c r="C17" s="93"/>
      <c r="D17" s="93"/>
      <c r="E17" s="93"/>
      <c r="F17" s="94"/>
      <c r="G17" s="94"/>
      <c r="H17" s="94"/>
      <c r="I17" s="95"/>
      <c r="J17" s="95"/>
      <c r="K17" s="95"/>
      <c r="L17" s="95"/>
      <c r="M17" s="95"/>
      <c r="N17" s="100" t="s">
        <v>186</v>
      </c>
      <c r="O17" s="100"/>
      <c r="P17" s="99">
        <f>CEILING(P16*0.95,0.5)</f>
        <v>118.5</v>
      </c>
      <c r="Q17" s="99"/>
      <c r="R17" s="99"/>
      <c r="S17" s="99"/>
      <c r="T17" s="99">
        <f>CEILING(T16*0.95,0.5)</f>
        <v>128</v>
      </c>
      <c r="U17" s="99"/>
      <c r="V17" s="99"/>
      <c r="W17" s="99"/>
      <c r="X17" s="99">
        <f>CEILING(X16*0.95,0.5)</f>
        <v>137.5</v>
      </c>
      <c r="Y17" s="99"/>
      <c r="Z17" s="99"/>
      <c r="AA17" s="99"/>
      <c r="AB17" s="99">
        <f>CEILING(AB16*0.95,0.5)</f>
        <v>147</v>
      </c>
      <c r="AC17" s="99"/>
      <c r="AD17" s="99"/>
      <c r="AE17" s="99"/>
      <c r="AG17" s="93"/>
      <c r="AH17" s="93"/>
      <c r="AI17" s="93"/>
      <c r="AJ17" s="93"/>
      <c r="AK17" s="93"/>
      <c r="AL17" s="94"/>
      <c r="AM17" s="94"/>
      <c r="AN17" s="94"/>
      <c r="AO17" s="95"/>
      <c r="AP17" s="95"/>
      <c r="AQ17" s="95"/>
      <c r="AR17" s="95"/>
      <c r="AS17" s="95"/>
      <c r="AT17" s="100" t="s">
        <v>186</v>
      </c>
      <c r="AU17" s="100"/>
      <c r="AV17" s="99">
        <f>CEILING(AV16*0.95,0.5)</f>
        <v>133.5</v>
      </c>
      <c r="AW17" s="99"/>
      <c r="AX17" s="99"/>
      <c r="AY17" s="99"/>
      <c r="AZ17" s="99">
        <f>CEILING(AZ16*0.95,0.5)</f>
        <v>143</v>
      </c>
      <c r="BA17" s="99"/>
      <c r="BB17" s="99"/>
      <c r="BC17" s="99"/>
      <c r="BD17" s="99">
        <f>CEILING(BD16*0.95,0.5)</f>
        <v>152.5</v>
      </c>
      <c r="BE17" s="99"/>
      <c r="BF17" s="99"/>
      <c r="BG17" s="99"/>
      <c r="BH17" s="99">
        <f>CEILING(BH16*0.95,0.5)</f>
        <v>162</v>
      </c>
      <c r="BI17" s="99"/>
      <c r="BJ17" s="99"/>
      <c r="BK17" s="99"/>
    </row>
    <row r="18" spans="1:63" ht="16.5" customHeight="1">
      <c r="A18" s="93"/>
      <c r="B18" s="93"/>
      <c r="C18" s="93"/>
      <c r="D18" s="93"/>
      <c r="E18" s="93"/>
      <c r="F18" s="94"/>
      <c r="G18" s="94"/>
      <c r="H18" s="94"/>
      <c r="I18" s="95"/>
      <c r="J18" s="95"/>
      <c r="K18" s="95"/>
      <c r="L18" s="95"/>
      <c r="M18" s="95"/>
      <c r="N18" s="100" t="s">
        <v>96</v>
      </c>
      <c r="O18" s="100"/>
      <c r="P18" s="101">
        <f>CEILING(80*1.35,0.5)</f>
        <v>108</v>
      </c>
      <c r="Q18" s="101"/>
      <c r="R18" s="101"/>
      <c r="S18" s="101"/>
      <c r="T18" s="99">
        <f>P18+10</f>
        <v>118</v>
      </c>
      <c r="U18" s="99"/>
      <c r="V18" s="99"/>
      <c r="W18" s="99"/>
      <c r="X18" s="99">
        <f>T18+10</f>
        <v>128</v>
      </c>
      <c r="Y18" s="99"/>
      <c r="Z18" s="99"/>
      <c r="AA18" s="99"/>
      <c r="AB18" s="99">
        <f>X18+10</f>
        <v>138</v>
      </c>
      <c r="AC18" s="99"/>
      <c r="AD18" s="99"/>
      <c r="AE18" s="99"/>
      <c r="AG18" s="93"/>
      <c r="AH18" s="93"/>
      <c r="AI18" s="93"/>
      <c r="AJ18" s="93"/>
      <c r="AK18" s="93"/>
      <c r="AL18" s="94"/>
      <c r="AM18" s="94"/>
      <c r="AN18" s="94"/>
      <c r="AO18" s="95"/>
      <c r="AP18" s="95"/>
      <c r="AQ18" s="95"/>
      <c r="AR18" s="95"/>
      <c r="AS18" s="95"/>
      <c r="AT18" s="100" t="s">
        <v>96</v>
      </c>
      <c r="AU18" s="100"/>
      <c r="AV18" s="101">
        <f>CEILING(90*1.35,0.5)</f>
        <v>121.5</v>
      </c>
      <c r="AW18" s="101"/>
      <c r="AX18" s="101"/>
      <c r="AY18" s="101"/>
      <c r="AZ18" s="99">
        <f>AV18+10</f>
        <v>131.5</v>
      </c>
      <c r="BA18" s="99"/>
      <c r="BB18" s="99"/>
      <c r="BC18" s="99"/>
      <c r="BD18" s="99">
        <f>AZ18+10</f>
        <v>141.5</v>
      </c>
      <c r="BE18" s="99"/>
      <c r="BF18" s="99"/>
      <c r="BG18" s="99"/>
      <c r="BH18" s="99">
        <f>BD18+10</f>
        <v>151.5</v>
      </c>
      <c r="BI18" s="99"/>
      <c r="BJ18" s="99"/>
      <c r="BK18" s="99"/>
    </row>
    <row r="19" spans="1:63" ht="16.5" customHeight="1">
      <c r="A19" s="93"/>
      <c r="B19" s="93"/>
      <c r="C19" s="93"/>
      <c r="D19" s="93"/>
      <c r="E19" s="93"/>
      <c r="F19" s="94"/>
      <c r="G19" s="94"/>
      <c r="H19" s="94"/>
      <c r="I19" s="97" t="s">
        <v>16</v>
      </c>
      <c r="J19" s="97"/>
      <c r="K19" s="97"/>
      <c r="L19" s="97"/>
      <c r="M19" s="97"/>
      <c r="N19" s="98" t="s">
        <v>184</v>
      </c>
      <c r="O19" s="98"/>
      <c r="P19" s="96">
        <f>CEILING(P16*0.47+5,0.5)</f>
        <v>64</v>
      </c>
      <c r="Q19" s="96"/>
      <c r="R19" s="96"/>
      <c r="S19" s="96"/>
      <c r="T19" s="96">
        <f>CEILING(T16*0.47+5,0.5)</f>
        <v>68.5</v>
      </c>
      <c r="U19" s="96"/>
      <c r="V19" s="96"/>
      <c r="W19" s="96"/>
      <c r="X19" s="96">
        <f>CEILING(X16*0.47+5,0.5)</f>
        <v>73</v>
      </c>
      <c r="Y19" s="96"/>
      <c r="Z19" s="96"/>
      <c r="AA19" s="96"/>
      <c r="AB19" s="96">
        <f>CEILING(AB16*0.47+5,0.5)</f>
        <v>78</v>
      </c>
      <c r="AC19" s="96"/>
      <c r="AD19" s="96"/>
      <c r="AE19" s="96"/>
      <c r="AG19" s="93"/>
      <c r="AH19" s="93"/>
      <c r="AI19" s="93"/>
      <c r="AJ19" s="93"/>
      <c r="AK19" s="93"/>
      <c r="AL19" s="94"/>
      <c r="AM19" s="94"/>
      <c r="AN19" s="94"/>
      <c r="AO19" s="97" t="s">
        <v>195</v>
      </c>
      <c r="AP19" s="97"/>
      <c r="AQ19" s="97"/>
      <c r="AR19" s="97"/>
      <c r="AS19" s="97"/>
      <c r="AT19" s="98" t="s">
        <v>184</v>
      </c>
      <c r="AU19" s="98"/>
      <c r="AV19" s="96">
        <f>CEILING(AV16*0.57+5,0.5)</f>
        <v>85.5</v>
      </c>
      <c r="AW19" s="96"/>
      <c r="AX19" s="96"/>
      <c r="AY19" s="96"/>
      <c r="AZ19" s="96">
        <f>CEILING(AZ16*0.57+5,0.5)</f>
        <v>91</v>
      </c>
      <c r="BA19" s="96"/>
      <c r="BB19" s="96"/>
      <c r="BC19" s="96"/>
      <c r="BD19" s="96">
        <f>CEILING(BD16*0.57+5,0.5)</f>
        <v>96.5</v>
      </c>
      <c r="BE19" s="96"/>
      <c r="BF19" s="96"/>
      <c r="BG19" s="96"/>
      <c r="BH19" s="96">
        <f>CEILING(BH16*0.57+5,0.5)</f>
        <v>102.5</v>
      </c>
      <c r="BI19" s="96"/>
      <c r="BJ19" s="96"/>
      <c r="BK19" s="96"/>
    </row>
    <row r="20" spans="1:63" ht="16.5" customHeight="1">
      <c r="A20" s="93"/>
      <c r="B20" s="93"/>
      <c r="C20" s="93"/>
      <c r="D20" s="93"/>
      <c r="E20" s="93"/>
      <c r="F20" s="94"/>
      <c r="G20" s="94"/>
      <c r="H20" s="94"/>
      <c r="I20" s="97"/>
      <c r="J20" s="97"/>
      <c r="K20" s="97"/>
      <c r="L20" s="97"/>
      <c r="M20" s="97"/>
      <c r="N20" s="98" t="s">
        <v>186</v>
      </c>
      <c r="O20" s="98"/>
      <c r="P20" s="96">
        <f>CEILING(P19*0.95,0.5)</f>
        <v>61</v>
      </c>
      <c r="Q20" s="96"/>
      <c r="R20" s="96"/>
      <c r="S20" s="96"/>
      <c r="T20" s="96">
        <f>CEILING(T19*0.95,0.5)</f>
        <v>65.5</v>
      </c>
      <c r="U20" s="96"/>
      <c r="V20" s="96"/>
      <c r="W20" s="96"/>
      <c r="X20" s="96">
        <f>CEILING(X19*0.95,0.5)</f>
        <v>69.5</v>
      </c>
      <c r="Y20" s="96"/>
      <c r="Z20" s="96"/>
      <c r="AA20" s="96"/>
      <c r="AB20" s="96">
        <f>CEILING(AB19*0.95,0.5)</f>
        <v>74.5</v>
      </c>
      <c r="AC20" s="96"/>
      <c r="AD20" s="96"/>
      <c r="AE20" s="96"/>
      <c r="AG20" s="93"/>
      <c r="AH20" s="93"/>
      <c r="AI20" s="93"/>
      <c r="AJ20" s="93"/>
      <c r="AK20" s="93"/>
      <c r="AL20" s="94"/>
      <c r="AM20" s="94"/>
      <c r="AN20" s="94"/>
      <c r="AO20" s="97"/>
      <c r="AP20" s="97"/>
      <c r="AQ20" s="97"/>
      <c r="AR20" s="97"/>
      <c r="AS20" s="97"/>
      <c r="AT20" s="98" t="s">
        <v>186</v>
      </c>
      <c r="AU20" s="98"/>
      <c r="AV20" s="96">
        <f>CEILING(AV19*0.95,0.5)</f>
        <v>81.5</v>
      </c>
      <c r="AW20" s="96"/>
      <c r="AX20" s="96"/>
      <c r="AY20" s="96"/>
      <c r="AZ20" s="96">
        <f>CEILING(AZ19*0.95,0.5)</f>
        <v>86.5</v>
      </c>
      <c r="BA20" s="96"/>
      <c r="BB20" s="96"/>
      <c r="BC20" s="96"/>
      <c r="BD20" s="96">
        <f>CEILING(BD19*0.95,0.5)</f>
        <v>92</v>
      </c>
      <c r="BE20" s="96"/>
      <c r="BF20" s="96"/>
      <c r="BG20" s="96"/>
      <c r="BH20" s="96">
        <f>CEILING(BH19*0.95,0.5)</f>
        <v>97.5</v>
      </c>
      <c r="BI20" s="96"/>
      <c r="BJ20" s="96"/>
      <c r="BK20" s="96"/>
    </row>
    <row r="21" spans="1:63" ht="16.5" customHeight="1">
      <c r="A21" s="93"/>
      <c r="B21" s="93"/>
      <c r="C21" s="93"/>
      <c r="D21" s="93"/>
      <c r="E21" s="93"/>
      <c r="F21" s="94"/>
      <c r="G21" s="94"/>
      <c r="H21" s="94"/>
      <c r="I21" s="97"/>
      <c r="J21" s="97"/>
      <c r="K21" s="97"/>
      <c r="L21" s="97"/>
      <c r="M21" s="97"/>
      <c r="N21" s="98" t="s">
        <v>96</v>
      </c>
      <c r="O21" s="98"/>
      <c r="P21" s="96">
        <f>CEILING(P18*0.47+5,0.5)</f>
        <v>56</v>
      </c>
      <c r="Q21" s="96"/>
      <c r="R21" s="96"/>
      <c r="S21" s="96"/>
      <c r="T21" s="96">
        <f>CEILING(T18*0.47+5,0.5)</f>
        <v>60.5</v>
      </c>
      <c r="U21" s="96"/>
      <c r="V21" s="96"/>
      <c r="W21" s="96"/>
      <c r="X21" s="96">
        <f>CEILING(X18*0.47+5,0.5)</f>
        <v>65.5</v>
      </c>
      <c r="Y21" s="96"/>
      <c r="Z21" s="96"/>
      <c r="AA21" s="96"/>
      <c r="AB21" s="96">
        <f>CEILING(AB18*0.47+5,0.5)</f>
        <v>70</v>
      </c>
      <c r="AC21" s="96"/>
      <c r="AD21" s="96"/>
      <c r="AE21" s="96"/>
      <c r="AG21" s="93"/>
      <c r="AH21" s="93"/>
      <c r="AI21" s="93"/>
      <c r="AJ21" s="93"/>
      <c r="AK21" s="93"/>
      <c r="AL21" s="94"/>
      <c r="AM21" s="94"/>
      <c r="AN21" s="94"/>
      <c r="AO21" s="97"/>
      <c r="AP21" s="97"/>
      <c r="AQ21" s="97"/>
      <c r="AR21" s="97"/>
      <c r="AS21" s="97"/>
      <c r="AT21" s="98" t="s">
        <v>96</v>
      </c>
      <c r="AU21" s="98"/>
      <c r="AV21" s="96">
        <f>CEILING(AV18*0.57+5,0.5)</f>
        <v>74.5</v>
      </c>
      <c r="AW21" s="96"/>
      <c r="AX21" s="96"/>
      <c r="AY21" s="96"/>
      <c r="AZ21" s="96">
        <f>CEILING(AZ18*0.57+5,0.5)</f>
        <v>80</v>
      </c>
      <c r="BA21" s="96"/>
      <c r="BB21" s="96"/>
      <c r="BC21" s="96"/>
      <c r="BD21" s="96">
        <f>CEILING(BD18*0.57+5,0.5)</f>
        <v>86</v>
      </c>
      <c r="BE21" s="96"/>
      <c r="BF21" s="96"/>
      <c r="BG21" s="96"/>
      <c r="BH21" s="96">
        <f>CEILING(BH18*0.57+5,0.5)</f>
        <v>91.5</v>
      </c>
      <c r="BI21" s="96"/>
      <c r="BJ21" s="96"/>
      <c r="BK21" s="96"/>
    </row>
    <row r="22" spans="1:63" ht="16.5" customHeight="1">
      <c r="A22" s="93"/>
      <c r="B22" s="93"/>
      <c r="C22" s="93"/>
      <c r="D22" s="93"/>
      <c r="E22" s="93"/>
      <c r="F22" s="94"/>
      <c r="G22" s="94"/>
      <c r="H22" s="94"/>
      <c r="I22" s="82" t="s">
        <v>260</v>
      </c>
      <c r="J22" s="82"/>
      <c r="K22" s="82"/>
      <c r="L22" s="82"/>
      <c r="M22" s="82"/>
      <c r="N22" s="84" t="s">
        <v>184</v>
      </c>
      <c r="O22" s="84"/>
      <c r="P22" s="83">
        <f>P16-2</f>
        <v>122.5</v>
      </c>
      <c r="Q22" s="83"/>
      <c r="R22" s="83"/>
      <c r="S22" s="83"/>
      <c r="T22" s="83">
        <f>P22+8</f>
        <v>130.5</v>
      </c>
      <c r="U22" s="83"/>
      <c r="V22" s="83"/>
      <c r="W22" s="83"/>
      <c r="X22" s="83">
        <f>T22+8</f>
        <v>138.5</v>
      </c>
      <c r="Y22" s="83"/>
      <c r="Z22" s="83"/>
      <c r="AA22" s="83"/>
      <c r="AB22" s="83">
        <f>X22+8</f>
        <v>146.5</v>
      </c>
      <c r="AC22" s="83"/>
      <c r="AD22" s="83"/>
      <c r="AE22" s="83"/>
      <c r="AG22" s="93"/>
      <c r="AH22" s="93"/>
      <c r="AI22" s="93"/>
      <c r="AJ22" s="93"/>
      <c r="AK22" s="93"/>
      <c r="AL22" s="94"/>
      <c r="AM22" s="94"/>
      <c r="AN22" s="94"/>
      <c r="AO22" s="82" t="s">
        <v>260</v>
      </c>
      <c r="AP22" s="82"/>
      <c r="AQ22" s="82"/>
      <c r="AR22" s="82"/>
      <c r="AS22" s="82"/>
      <c r="AT22" s="84" t="s">
        <v>184</v>
      </c>
      <c r="AU22" s="84"/>
      <c r="AV22" s="83">
        <f>AV16-2</f>
        <v>138.5</v>
      </c>
      <c r="AW22" s="83"/>
      <c r="AX22" s="83"/>
      <c r="AY22" s="83"/>
      <c r="AZ22" s="83">
        <f>AV22+8</f>
        <v>146.5</v>
      </c>
      <c r="BA22" s="83"/>
      <c r="BB22" s="83"/>
      <c r="BC22" s="83"/>
      <c r="BD22" s="83">
        <f>AZ22+8</f>
        <v>154.5</v>
      </c>
      <c r="BE22" s="83"/>
      <c r="BF22" s="83"/>
      <c r="BG22" s="83"/>
      <c r="BH22" s="83">
        <f>BD22+8</f>
        <v>162.5</v>
      </c>
      <c r="BI22" s="83"/>
      <c r="BJ22" s="83"/>
      <c r="BK22" s="83"/>
    </row>
    <row r="23" spans="1:63" ht="16.5" customHeight="1">
      <c r="A23" s="93"/>
      <c r="B23" s="93"/>
      <c r="C23" s="93"/>
      <c r="D23" s="93"/>
      <c r="E23" s="93"/>
      <c r="F23" s="94"/>
      <c r="G23" s="94"/>
      <c r="H23" s="94"/>
      <c r="I23" s="82"/>
      <c r="J23" s="82"/>
      <c r="K23" s="82"/>
      <c r="L23" s="82"/>
      <c r="M23" s="82"/>
      <c r="N23" s="84" t="s">
        <v>186</v>
      </c>
      <c r="O23" s="84"/>
      <c r="P23" s="83">
        <f>CEILING(P22*0.95,0.5)</f>
        <v>116.5</v>
      </c>
      <c r="Q23" s="83"/>
      <c r="R23" s="83"/>
      <c r="S23" s="83"/>
      <c r="T23" s="83">
        <f>CEILING(T22*0.95,0.5)</f>
        <v>124</v>
      </c>
      <c r="U23" s="83"/>
      <c r="V23" s="83"/>
      <c r="W23" s="83"/>
      <c r="X23" s="83">
        <f>CEILING(X22*0.95,0.5)</f>
        <v>132</v>
      </c>
      <c r="Y23" s="83"/>
      <c r="Z23" s="83"/>
      <c r="AA23" s="83"/>
      <c r="AB23" s="83">
        <f>CEILING(AB22*0.95,0.5)</f>
        <v>139.5</v>
      </c>
      <c r="AC23" s="83"/>
      <c r="AD23" s="83"/>
      <c r="AE23" s="83"/>
      <c r="AG23" s="93"/>
      <c r="AH23" s="93"/>
      <c r="AI23" s="93"/>
      <c r="AJ23" s="93"/>
      <c r="AK23" s="93"/>
      <c r="AL23" s="94"/>
      <c r="AM23" s="94"/>
      <c r="AN23" s="94"/>
      <c r="AO23" s="82"/>
      <c r="AP23" s="82"/>
      <c r="AQ23" s="82"/>
      <c r="AR23" s="82"/>
      <c r="AS23" s="82"/>
      <c r="AT23" s="84" t="s">
        <v>186</v>
      </c>
      <c r="AU23" s="84"/>
      <c r="AV23" s="83">
        <f>CEILING(AV22*0.95,0.5)</f>
        <v>132</v>
      </c>
      <c r="AW23" s="83"/>
      <c r="AX23" s="83"/>
      <c r="AY23" s="83"/>
      <c r="AZ23" s="83">
        <f>CEILING(AZ22*0.95,0.5)</f>
        <v>139.5</v>
      </c>
      <c r="BA23" s="83"/>
      <c r="BB23" s="83"/>
      <c r="BC23" s="83"/>
      <c r="BD23" s="83">
        <f>CEILING(BD22*0.95,0.5)</f>
        <v>147</v>
      </c>
      <c r="BE23" s="83"/>
      <c r="BF23" s="83"/>
      <c r="BG23" s="83"/>
      <c r="BH23" s="83">
        <f>CEILING(BH22*0.95,0.5)</f>
        <v>154.5</v>
      </c>
      <c r="BI23" s="83"/>
      <c r="BJ23" s="83"/>
      <c r="BK23" s="83"/>
    </row>
    <row r="24" spans="1:63" ht="16.5" customHeight="1">
      <c r="A24" s="93"/>
      <c r="B24" s="93"/>
      <c r="C24" s="93"/>
      <c r="D24" s="93"/>
      <c r="E24" s="93"/>
      <c r="F24" s="94"/>
      <c r="G24" s="94"/>
      <c r="H24" s="94"/>
      <c r="I24" s="82"/>
      <c r="J24" s="82"/>
      <c r="K24" s="82"/>
      <c r="L24" s="82"/>
      <c r="M24" s="82"/>
      <c r="N24" s="84" t="s">
        <v>96</v>
      </c>
      <c r="O24" s="84"/>
      <c r="P24" s="83">
        <f>P18-2</f>
        <v>106</v>
      </c>
      <c r="Q24" s="83"/>
      <c r="R24" s="83"/>
      <c r="S24" s="83"/>
      <c r="T24" s="83">
        <f>P24+8</f>
        <v>114</v>
      </c>
      <c r="U24" s="83"/>
      <c r="V24" s="83"/>
      <c r="W24" s="83"/>
      <c r="X24" s="83">
        <f>T24+8</f>
        <v>122</v>
      </c>
      <c r="Y24" s="83"/>
      <c r="Z24" s="83"/>
      <c r="AA24" s="83"/>
      <c r="AB24" s="83">
        <f>X24+8</f>
        <v>130</v>
      </c>
      <c r="AC24" s="83"/>
      <c r="AD24" s="83"/>
      <c r="AE24" s="83"/>
      <c r="AG24" s="93"/>
      <c r="AH24" s="93"/>
      <c r="AI24" s="93"/>
      <c r="AJ24" s="93"/>
      <c r="AK24" s="93"/>
      <c r="AL24" s="94"/>
      <c r="AM24" s="94"/>
      <c r="AN24" s="94"/>
      <c r="AO24" s="82"/>
      <c r="AP24" s="82"/>
      <c r="AQ24" s="82"/>
      <c r="AR24" s="82"/>
      <c r="AS24" s="82"/>
      <c r="AT24" s="84" t="s">
        <v>96</v>
      </c>
      <c r="AU24" s="84"/>
      <c r="AV24" s="83">
        <f>AV18-2</f>
        <v>119.5</v>
      </c>
      <c r="AW24" s="83"/>
      <c r="AX24" s="83"/>
      <c r="AY24" s="83"/>
      <c r="AZ24" s="83">
        <f>AV24+8</f>
        <v>127.5</v>
      </c>
      <c r="BA24" s="83"/>
      <c r="BB24" s="83"/>
      <c r="BC24" s="83"/>
      <c r="BD24" s="83">
        <f>AZ24+8</f>
        <v>135.5</v>
      </c>
      <c r="BE24" s="83"/>
      <c r="BF24" s="83"/>
      <c r="BG24" s="83"/>
      <c r="BH24" s="83">
        <f>BD24+8</f>
        <v>143.5</v>
      </c>
      <c r="BI24" s="83"/>
      <c r="BJ24" s="83"/>
      <c r="BK24" s="83"/>
    </row>
    <row r="25" spans="1:63" ht="16.5" customHeight="1">
      <c r="A25" s="93"/>
      <c r="B25" s="93"/>
      <c r="C25" s="93"/>
      <c r="D25" s="93"/>
      <c r="E25" s="93"/>
      <c r="F25" s="94"/>
      <c r="G25" s="94"/>
      <c r="H25" s="94"/>
      <c r="I25" s="80" t="s">
        <v>196</v>
      </c>
      <c r="J25" s="80"/>
      <c r="K25" s="80"/>
      <c r="L25" s="80"/>
      <c r="M25" s="80"/>
      <c r="N25" s="81" t="s">
        <v>184</v>
      </c>
      <c r="O25" s="81"/>
      <c r="P25" s="89">
        <f>CEILING(P22*0.47+5,0.5)</f>
        <v>63</v>
      </c>
      <c r="Q25" s="89"/>
      <c r="R25" s="89"/>
      <c r="S25" s="89"/>
      <c r="T25" s="89">
        <f>CEILING(T22*0.47+5,0.5)</f>
        <v>66.5</v>
      </c>
      <c r="U25" s="89"/>
      <c r="V25" s="89"/>
      <c r="W25" s="89"/>
      <c r="X25" s="89">
        <f>CEILING(X22*0.47+5,0.5)</f>
        <v>70.5</v>
      </c>
      <c r="Y25" s="89"/>
      <c r="Z25" s="89"/>
      <c r="AA25" s="89"/>
      <c r="AB25" s="89">
        <f>CEILING(AB22*0.47+5,0.5)</f>
        <v>74</v>
      </c>
      <c r="AC25" s="89"/>
      <c r="AD25" s="89"/>
      <c r="AE25" s="89"/>
      <c r="AG25" s="93"/>
      <c r="AH25" s="93"/>
      <c r="AI25" s="93"/>
      <c r="AJ25" s="93"/>
      <c r="AK25" s="93"/>
      <c r="AL25" s="94"/>
      <c r="AM25" s="94"/>
      <c r="AN25" s="94"/>
      <c r="AO25" s="80" t="s">
        <v>265</v>
      </c>
      <c r="AP25" s="80"/>
      <c r="AQ25" s="80"/>
      <c r="AR25" s="80"/>
      <c r="AS25" s="80"/>
      <c r="AT25" s="81" t="s">
        <v>184</v>
      </c>
      <c r="AU25" s="81"/>
      <c r="AV25" s="89">
        <f>CEILING(AV22*0.57+5,0.5)</f>
        <v>84</v>
      </c>
      <c r="AW25" s="89"/>
      <c r="AX25" s="89"/>
      <c r="AY25" s="89"/>
      <c r="AZ25" s="89">
        <f>CEILING(AZ22*0.57+5,0.5)</f>
        <v>89</v>
      </c>
      <c r="BA25" s="89"/>
      <c r="BB25" s="89"/>
      <c r="BC25" s="89"/>
      <c r="BD25" s="89">
        <f>CEILING(BD22*0.57+5,0.5)</f>
        <v>93.5</v>
      </c>
      <c r="BE25" s="89"/>
      <c r="BF25" s="89"/>
      <c r="BG25" s="89"/>
      <c r="BH25" s="89">
        <f>CEILING(BH22*0.57+5,0.5)</f>
        <v>98</v>
      </c>
      <c r="BI25" s="89"/>
      <c r="BJ25" s="89"/>
      <c r="BK25" s="89"/>
    </row>
    <row r="26" spans="1:63" ht="16.5" customHeight="1">
      <c r="A26" s="93"/>
      <c r="B26" s="93"/>
      <c r="C26" s="93"/>
      <c r="D26" s="93"/>
      <c r="E26" s="93"/>
      <c r="F26" s="94"/>
      <c r="G26" s="94"/>
      <c r="H26" s="94"/>
      <c r="I26" s="80"/>
      <c r="J26" s="80"/>
      <c r="K26" s="80"/>
      <c r="L26" s="80"/>
      <c r="M26" s="80"/>
      <c r="N26" s="81" t="s">
        <v>186</v>
      </c>
      <c r="O26" s="81"/>
      <c r="P26" s="89">
        <f>CEILING(P25*0.95,0.5)</f>
        <v>60</v>
      </c>
      <c r="Q26" s="89"/>
      <c r="R26" s="89"/>
      <c r="S26" s="89"/>
      <c r="T26" s="89">
        <f>CEILING(T25*0.95,0.5)</f>
        <v>63.5</v>
      </c>
      <c r="U26" s="89"/>
      <c r="V26" s="89"/>
      <c r="W26" s="89"/>
      <c r="X26" s="89">
        <f>CEILING(X25*0.95,0.5)</f>
        <v>67</v>
      </c>
      <c r="Y26" s="89"/>
      <c r="Z26" s="89"/>
      <c r="AA26" s="89"/>
      <c r="AB26" s="89">
        <f>CEILING(AB25*0.95,0.5)</f>
        <v>70.5</v>
      </c>
      <c r="AC26" s="89"/>
      <c r="AD26" s="89"/>
      <c r="AE26" s="89"/>
      <c r="AG26" s="93"/>
      <c r="AH26" s="93"/>
      <c r="AI26" s="93"/>
      <c r="AJ26" s="93"/>
      <c r="AK26" s="93"/>
      <c r="AL26" s="94"/>
      <c r="AM26" s="94"/>
      <c r="AN26" s="94"/>
      <c r="AO26" s="80"/>
      <c r="AP26" s="80"/>
      <c r="AQ26" s="80"/>
      <c r="AR26" s="80"/>
      <c r="AS26" s="80"/>
      <c r="AT26" s="81" t="s">
        <v>186</v>
      </c>
      <c r="AU26" s="81"/>
      <c r="AV26" s="89">
        <f>CEILING(AV25*0.95,0.5)</f>
        <v>80</v>
      </c>
      <c r="AW26" s="89"/>
      <c r="AX26" s="89"/>
      <c r="AY26" s="89"/>
      <c r="AZ26" s="89">
        <f>CEILING(AZ25*0.95,0.5)</f>
        <v>85</v>
      </c>
      <c r="BA26" s="89"/>
      <c r="BB26" s="89"/>
      <c r="BC26" s="89"/>
      <c r="BD26" s="89">
        <f>CEILING(BD25*0.95,0.5)</f>
        <v>89</v>
      </c>
      <c r="BE26" s="89"/>
      <c r="BF26" s="89"/>
      <c r="BG26" s="89"/>
      <c r="BH26" s="89">
        <f>CEILING(BH25*0.95,0.5)</f>
        <v>93.5</v>
      </c>
      <c r="BI26" s="89"/>
      <c r="BJ26" s="89"/>
      <c r="BK26" s="89"/>
    </row>
    <row r="27" spans="1:63" ht="16.5" customHeight="1">
      <c r="A27" s="93"/>
      <c r="B27" s="93"/>
      <c r="C27" s="93"/>
      <c r="D27" s="93"/>
      <c r="E27" s="93"/>
      <c r="F27" s="94"/>
      <c r="G27" s="94"/>
      <c r="H27" s="94"/>
      <c r="I27" s="80"/>
      <c r="J27" s="80"/>
      <c r="K27" s="80"/>
      <c r="L27" s="80"/>
      <c r="M27" s="80"/>
      <c r="N27" s="81" t="s">
        <v>96</v>
      </c>
      <c r="O27" s="81"/>
      <c r="P27" s="89">
        <f>CEILING(P24*0.47+5,0.5)</f>
        <v>55</v>
      </c>
      <c r="Q27" s="89"/>
      <c r="R27" s="89"/>
      <c r="S27" s="89"/>
      <c r="T27" s="89">
        <f>CEILING(T24*0.47+5,0.5)</f>
        <v>59</v>
      </c>
      <c r="U27" s="89"/>
      <c r="V27" s="89"/>
      <c r="W27" s="89"/>
      <c r="X27" s="89">
        <f>CEILING(X24*0.47+5,0.5)</f>
        <v>62.5</v>
      </c>
      <c r="Y27" s="89"/>
      <c r="Z27" s="89"/>
      <c r="AA27" s="89"/>
      <c r="AB27" s="89">
        <f>CEILING(AB24*0.47+5,0.5)</f>
        <v>66.5</v>
      </c>
      <c r="AC27" s="89"/>
      <c r="AD27" s="89"/>
      <c r="AE27" s="89"/>
      <c r="AG27" s="93"/>
      <c r="AH27" s="93"/>
      <c r="AI27" s="93"/>
      <c r="AJ27" s="93"/>
      <c r="AK27" s="93"/>
      <c r="AL27" s="94"/>
      <c r="AM27" s="94"/>
      <c r="AN27" s="94"/>
      <c r="AO27" s="80"/>
      <c r="AP27" s="80"/>
      <c r="AQ27" s="80"/>
      <c r="AR27" s="80"/>
      <c r="AS27" s="80"/>
      <c r="AT27" s="81" t="s">
        <v>96</v>
      </c>
      <c r="AU27" s="81"/>
      <c r="AV27" s="89">
        <f>CEILING(AV24*0.57+5,0.5)</f>
        <v>73.5</v>
      </c>
      <c r="AW27" s="89"/>
      <c r="AX27" s="89"/>
      <c r="AY27" s="89"/>
      <c r="AZ27" s="89">
        <f>CEILING(AZ24*0.57+5,0.5)</f>
        <v>78</v>
      </c>
      <c r="BA27" s="89"/>
      <c r="BB27" s="89"/>
      <c r="BC27" s="89"/>
      <c r="BD27" s="89">
        <f>CEILING(BD24*0.57+5,0.5)</f>
        <v>82.5</v>
      </c>
      <c r="BE27" s="89"/>
      <c r="BF27" s="89"/>
      <c r="BG27" s="89"/>
      <c r="BH27" s="89">
        <f>CEILING(BH24*0.57+5,0.5)</f>
        <v>87</v>
      </c>
      <c r="BI27" s="89"/>
      <c r="BJ27" s="89"/>
      <c r="BK27" s="89"/>
    </row>
    <row r="28" spans="1:63" ht="16.5" customHeight="1">
      <c r="A28" s="9" t="s">
        <v>274</v>
      </c>
      <c r="X28" s="10"/>
      <c r="Y28" s="10"/>
      <c r="Z28" s="10"/>
      <c r="AA28" s="10"/>
      <c r="AB28" s="14"/>
      <c r="AC28" s="14"/>
      <c r="AD28" s="14"/>
      <c r="AE28" s="14"/>
      <c r="AF28" s="14"/>
      <c r="AG28" s="14"/>
      <c r="AH28" s="14"/>
      <c r="AI28" s="14"/>
      <c r="AJ28" s="14"/>
      <c r="AK28" s="14"/>
      <c r="AL28" s="14"/>
      <c r="AM28" s="14"/>
      <c r="AN28" s="14"/>
      <c r="AO28" s="14"/>
      <c r="AP28" s="14"/>
      <c r="AQ28" s="14"/>
      <c r="AR28" s="14"/>
      <c r="AS28" s="14"/>
      <c r="AT28" s="14"/>
      <c r="AU28" s="14"/>
    </row>
    <row r="29" spans="1:63" ht="16.5" customHeight="1">
      <c r="A29" s="9" t="s">
        <v>25</v>
      </c>
      <c r="X29" s="10"/>
      <c r="Y29" s="10"/>
      <c r="Z29" s="10"/>
      <c r="AA29" s="10"/>
      <c r="AB29" s="14"/>
      <c r="AC29" s="14"/>
      <c r="AD29" s="14"/>
      <c r="AE29" s="14"/>
      <c r="AF29" s="14"/>
      <c r="AG29" s="14"/>
      <c r="AH29" s="14"/>
      <c r="AI29" s="14"/>
      <c r="AJ29" s="14"/>
      <c r="AK29" s="14"/>
      <c r="AL29" s="14"/>
      <c r="AM29" s="14"/>
      <c r="AN29" s="14"/>
      <c r="AO29" s="14"/>
      <c r="AP29" s="14"/>
    </row>
    <row r="30" spans="1:63" ht="16.5" customHeight="1">
      <c r="A30" s="9" t="s">
        <v>26</v>
      </c>
      <c r="X30" s="10"/>
      <c r="Y30" s="10"/>
      <c r="Z30" s="10"/>
      <c r="AA30" s="10"/>
      <c r="AB30" s="10"/>
      <c r="AC30" s="10"/>
      <c r="AD30" s="10"/>
      <c r="AE30" s="10"/>
    </row>
    <row r="31" spans="1:63" ht="16.5" customHeight="1" thickBot="1">
      <c r="A31" s="9"/>
      <c r="X31" s="10"/>
      <c r="Y31" s="10"/>
      <c r="Z31" s="10"/>
      <c r="AA31" s="10"/>
      <c r="AB31" s="10"/>
      <c r="AC31" s="10"/>
      <c r="AD31" s="10"/>
      <c r="AE31" s="10"/>
    </row>
    <row r="32" spans="1:63" ht="16.5" customHeight="1" thickTop="1">
      <c r="A32" s="90" t="s">
        <v>27</v>
      </c>
      <c r="B32" s="91"/>
      <c r="C32" s="91"/>
      <c r="D32" s="91"/>
      <c r="E32" s="91"/>
      <c r="F32" s="91"/>
      <c r="G32" s="91"/>
      <c r="H32" s="91"/>
      <c r="I32" s="91"/>
      <c r="J32" s="91"/>
      <c r="K32" s="91"/>
      <c r="L32" s="91"/>
      <c r="M32" s="91"/>
      <c r="N32" s="91"/>
      <c r="O32" s="91"/>
      <c r="P32" s="91"/>
      <c r="Q32" s="91"/>
      <c r="R32" s="91"/>
      <c r="S32" s="91"/>
      <c r="T32" s="92"/>
      <c r="X32" s="10"/>
      <c r="Y32" s="10"/>
      <c r="Z32" s="10"/>
      <c r="AA32" s="10"/>
      <c r="AB32" s="10"/>
      <c r="AC32" s="10"/>
      <c r="AD32" s="10"/>
      <c r="AE32" s="10"/>
      <c r="AQ32" s="12"/>
      <c r="AR32" s="12"/>
      <c r="AS32" s="12"/>
      <c r="AT32" s="12"/>
      <c r="AU32" s="12"/>
      <c r="AV32" s="12"/>
      <c r="AW32" s="12"/>
      <c r="AX32" s="12"/>
      <c r="AY32" s="12"/>
      <c r="AZ32" s="12"/>
      <c r="BA32" s="12"/>
      <c r="BB32" s="12"/>
      <c r="BC32" s="12"/>
      <c r="BD32" s="12"/>
      <c r="BE32" s="12"/>
      <c r="BF32" s="12"/>
      <c r="BG32" s="12"/>
      <c r="BH32" s="12"/>
      <c r="BI32" s="12"/>
      <c r="BJ32" s="12"/>
    </row>
    <row r="33" spans="1:62" ht="16.5" customHeight="1">
      <c r="A33" s="168" t="s">
        <v>30</v>
      </c>
      <c r="B33" s="169"/>
      <c r="C33" s="169"/>
      <c r="D33" s="169"/>
      <c r="E33" s="169"/>
      <c r="F33" s="169"/>
      <c r="G33" s="169"/>
      <c r="H33" s="170"/>
      <c r="I33" s="169" t="s">
        <v>31</v>
      </c>
      <c r="J33" s="169"/>
      <c r="K33" s="169"/>
      <c r="L33" s="169"/>
      <c r="M33" s="169"/>
      <c r="N33" s="169"/>
      <c r="O33" s="169"/>
      <c r="P33" s="169"/>
      <c r="Q33" s="169"/>
      <c r="R33" s="169"/>
      <c r="S33" s="169"/>
      <c r="T33" s="171"/>
      <c r="X33" s="10"/>
      <c r="Y33" s="10"/>
      <c r="Z33" s="10"/>
      <c r="AA33" s="10"/>
      <c r="AB33" s="10"/>
      <c r="AC33" s="10"/>
      <c r="AD33" s="10"/>
      <c r="AE33" s="10"/>
      <c r="AQ33" s="12"/>
      <c r="AR33" s="12"/>
      <c r="AS33" s="12"/>
      <c r="AT33" s="12"/>
      <c r="AU33" s="12"/>
      <c r="AV33" s="12"/>
      <c r="AW33" s="12"/>
      <c r="AX33" s="12"/>
      <c r="AY33" s="12"/>
      <c r="AZ33" s="12"/>
      <c r="BA33" s="12"/>
      <c r="BB33" s="12"/>
      <c r="BC33" s="12"/>
      <c r="BD33" s="12"/>
      <c r="BE33" s="12"/>
      <c r="BF33" s="12"/>
      <c r="BG33" s="12"/>
      <c r="BH33" s="12"/>
      <c r="BI33" s="12"/>
      <c r="BJ33" s="12"/>
    </row>
    <row r="34" spans="1:62" ht="16.5" customHeight="1" thickBot="1">
      <c r="A34" s="85" t="s">
        <v>73</v>
      </c>
      <c r="B34" s="86"/>
      <c r="C34" s="86"/>
      <c r="D34" s="86"/>
      <c r="E34" s="86"/>
      <c r="F34" s="86"/>
      <c r="G34" s="86"/>
      <c r="H34" s="87"/>
      <c r="I34" s="86" t="s">
        <v>74</v>
      </c>
      <c r="J34" s="86"/>
      <c r="K34" s="86"/>
      <c r="L34" s="86"/>
      <c r="M34" s="86"/>
      <c r="N34" s="86"/>
      <c r="O34" s="86"/>
      <c r="P34" s="86"/>
      <c r="Q34" s="86"/>
      <c r="R34" s="86"/>
      <c r="S34" s="86"/>
      <c r="T34" s="88"/>
    </row>
    <row r="35" spans="1:62" ht="16.5" customHeight="1" thickTop="1"/>
    <row r="36" spans="1:62" ht="16.5" customHeight="1"/>
    <row r="37" spans="1:62" ht="16.5" customHeight="1"/>
    <row r="38" spans="1:62" ht="16.5" customHeight="1"/>
    <row r="39" spans="1:62" ht="16.5" customHeight="1"/>
    <row r="40" spans="1:62" ht="16.5" customHeight="1"/>
    <row r="41" spans="1:62" ht="16.5" customHeight="1"/>
    <row r="42" spans="1:62" ht="16.5" customHeight="1"/>
    <row r="43" spans="1:62" ht="16.5" customHeight="1"/>
    <row r="44" spans="1:62" ht="16.5" customHeight="1"/>
    <row r="45" spans="1:62" ht="16.5" customHeight="1"/>
    <row r="46" spans="1:62" ht="16.5" customHeight="1"/>
    <row r="47" spans="1:62" ht="16.5" customHeight="1"/>
    <row r="48" spans="1:62" ht="16.5" customHeight="1"/>
    <row r="49" ht="16.5" customHeight="1"/>
    <row r="50" ht="16.5" customHeight="1"/>
    <row r="51" ht="16.5" customHeight="1"/>
    <row r="52" ht="16.5" customHeight="1"/>
    <row r="53" ht="16.5" customHeight="1"/>
    <row r="54" ht="16.5"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sheetData>
  <mergeCells count="222">
    <mergeCell ref="A34:H34"/>
    <mergeCell ref="I34:T34"/>
    <mergeCell ref="AV27:AY27"/>
    <mergeCell ref="AZ27:BC27"/>
    <mergeCell ref="BD27:BG27"/>
    <mergeCell ref="BH27:BK27"/>
    <mergeCell ref="A32:T32"/>
    <mergeCell ref="A33:H33"/>
    <mergeCell ref="I33:T33"/>
    <mergeCell ref="N27:O27"/>
    <mergeCell ref="P27:S27"/>
    <mergeCell ref="T27:W27"/>
    <mergeCell ref="X27:AA27"/>
    <mergeCell ref="AB27:AE27"/>
    <mergeCell ref="AT27:AU27"/>
    <mergeCell ref="I25:M27"/>
    <mergeCell ref="N25:O25"/>
    <mergeCell ref="P25:S25"/>
    <mergeCell ref="T25:W25"/>
    <mergeCell ref="X25:AA25"/>
    <mergeCell ref="AB25:AE25"/>
    <mergeCell ref="A10:E27"/>
    <mergeCell ref="F10:H27"/>
    <mergeCell ref="I10:M12"/>
    <mergeCell ref="AZ25:BC25"/>
    <mergeCell ref="BD25:BG25"/>
    <mergeCell ref="BH25:BK25"/>
    <mergeCell ref="AV26:AY26"/>
    <mergeCell ref="AZ26:BC26"/>
    <mergeCell ref="BD26:BG26"/>
    <mergeCell ref="BH26:BK26"/>
    <mergeCell ref="AV24:AY24"/>
    <mergeCell ref="AZ24:BC24"/>
    <mergeCell ref="BD24:BG24"/>
    <mergeCell ref="BH24:BK24"/>
    <mergeCell ref="AV25:AY25"/>
    <mergeCell ref="I22:M24"/>
    <mergeCell ref="N26:O26"/>
    <mergeCell ref="P26:S26"/>
    <mergeCell ref="T26:W26"/>
    <mergeCell ref="X26:AA26"/>
    <mergeCell ref="AB26:AE26"/>
    <mergeCell ref="N23:O23"/>
    <mergeCell ref="P23:S23"/>
    <mergeCell ref="T23:W23"/>
    <mergeCell ref="X23:AA23"/>
    <mergeCell ref="AB23:AE23"/>
    <mergeCell ref="AT23:AU23"/>
    <mergeCell ref="AO22:AS24"/>
    <mergeCell ref="AT22:AU22"/>
    <mergeCell ref="N22:O22"/>
    <mergeCell ref="P22:S22"/>
    <mergeCell ref="T22:W22"/>
    <mergeCell ref="X22:AA22"/>
    <mergeCell ref="AB22:AE22"/>
    <mergeCell ref="AV22:AY22"/>
    <mergeCell ref="N24:O24"/>
    <mergeCell ref="P24:S24"/>
    <mergeCell ref="T24:W24"/>
    <mergeCell ref="X24:AA24"/>
    <mergeCell ref="AB24:AE24"/>
    <mergeCell ref="AZ22:BC22"/>
    <mergeCell ref="BD22:BG22"/>
    <mergeCell ref="BH22:BK22"/>
    <mergeCell ref="AV23:AY23"/>
    <mergeCell ref="AZ23:BC23"/>
    <mergeCell ref="BD23:BG23"/>
    <mergeCell ref="BH23:BK23"/>
    <mergeCell ref="AV21:AY21"/>
    <mergeCell ref="AZ21:BC21"/>
    <mergeCell ref="BD21:BG21"/>
    <mergeCell ref="BH21:BK21"/>
    <mergeCell ref="BH19:BK19"/>
    <mergeCell ref="AV20:AY20"/>
    <mergeCell ref="AZ20:BC20"/>
    <mergeCell ref="BD20:BG20"/>
    <mergeCell ref="BH20:BK20"/>
    <mergeCell ref="AV18:AY18"/>
    <mergeCell ref="AZ18:BC18"/>
    <mergeCell ref="BD18:BG18"/>
    <mergeCell ref="BH18:BK18"/>
    <mergeCell ref="AV19:AY19"/>
    <mergeCell ref="AZ19:BC19"/>
    <mergeCell ref="BD19:BG19"/>
    <mergeCell ref="P21:S21"/>
    <mergeCell ref="T21:W21"/>
    <mergeCell ref="X21:AA21"/>
    <mergeCell ref="AB21:AE21"/>
    <mergeCell ref="AT21:AU21"/>
    <mergeCell ref="N20:O20"/>
    <mergeCell ref="P20:S20"/>
    <mergeCell ref="T20:W20"/>
    <mergeCell ref="X20:AA20"/>
    <mergeCell ref="AB20:AE20"/>
    <mergeCell ref="AT20:AU20"/>
    <mergeCell ref="BH17:BK17"/>
    <mergeCell ref="N18:O18"/>
    <mergeCell ref="P18:S18"/>
    <mergeCell ref="T18:W18"/>
    <mergeCell ref="X18:AA18"/>
    <mergeCell ref="AB18:AE18"/>
    <mergeCell ref="AT18:AU18"/>
    <mergeCell ref="AV16:AY16"/>
    <mergeCell ref="AZ16:BC16"/>
    <mergeCell ref="BD16:BG16"/>
    <mergeCell ref="BH16:BK16"/>
    <mergeCell ref="N17:O17"/>
    <mergeCell ref="P17:S17"/>
    <mergeCell ref="T17:W17"/>
    <mergeCell ref="X17:AA17"/>
    <mergeCell ref="AB17:AE17"/>
    <mergeCell ref="AT17:AU17"/>
    <mergeCell ref="AV17:AY17"/>
    <mergeCell ref="AZ17:BC17"/>
    <mergeCell ref="BD17:BG17"/>
    <mergeCell ref="AT15:AU15"/>
    <mergeCell ref="AV15:AY15"/>
    <mergeCell ref="AZ15:BC15"/>
    <mergeCell ref="BD15:BG15"/>
    <mergeCell ref="BH13:BK13"/>
    <mergeCell ref="N14:O14"/>
    <mergeCell ref="P14:S14"/>
    <mergeCell ref="T14:W14"/>
    <mergeCell ref="X14:AA14"/>
    <mergeCell ref="AB14:AE14"/>
    <mergeCell ref="AT14:AU14"/>
    <mergeCell ref="AV14:AY14"/>
    <mergeCell ref="AZ14:BC14"/>
    <mergeCell ref="BD14:BG14"/>
    <mergeCell ref="BH14:BK14"/>
    <mergeCell ref="AV13:AY13"/>
    <mergeCell ref="AZ13:BC13"/>
    <mergeCell ref="BD13:BG13"/>
    <mergeCell ref="BH15:BK15"/>
    <mergeCell ref="BH11:BK11"/>
    <mergeCell ref="N12:O12"/>
    <mergeCell ref="P12:S12"/>
    <mergeCell ref="T12:W12"/>
    <mergeCell ref="X12:AA12"/>
    <mergeCell ref="AB12:AE12"/>
    <mergeCell ref="AT12:AU12"/>
    <mergeCell ref="AV12:AY12"/>
    <mergeCell ref="AZ12:BC12"/>
    <mergeCell ref="BD12:BG12"/>
    <mergeCell ref="BH12:BK12"/>
    <mergeCell ref="P11:S11"/>
    <mergeCell ref="T11:W11"/>
    <mergeCell ref="X11:AA11"/>
    <mergeCell ref="AB11:AE11"/>
    <mergeCell ref="AT11:AU11"/>
    <mergeCell ref="AV10:AY10"/>
    <mergeCell ref="AZ10:BC10"/>
    <mergeCell ref="BD10:BG10"/>
    <mergeCell ref="BH10:BK10"/>
    <mergeCell ref="N11:O11"/>
    <mergeCell ref="X10:AA10"/>
    <mergeCell ref="AB10:AE10"/>
    <mergeCell ref="AG10:AK27"/>
    <mergeCell ref="AL10:AN27"/>
    <mergeCell ref="AO10:AS12"/>
    <mergeCell ref="AT10:AU10"/>
    <mergeCell ref="AO13:AS15"/>
    <mergeCell ref="AT13:AU13"/>
    <mergeCell ref="AO16:AS18"/>
    <mergeCell ref="AT16:AU16"/>
    <mergeCell ref="AO19:AS21"/>
    <mergeCell ref="AT19:AU19"/>
    <mergeCell ref="AT24:AU24"/>
    <mergeCell ref="AT26:AU26"/>
    <mergeCell ref="AO25:AS27"/>
    <mergeCell ref="AT25:AU25"/>
    <mergeCell ref="AV11:AY11"/>
    <mergeCell ref="AZ11:BC11"/>
    <mergeCell ref="BD11:BG11"/>
    <mergeCell ref="N10:O10"/>
    <mergeCell ref="P10:S10"/>
    <mergeCell ref="T10:W10"/>
    <mergeCell ref="X9:AA9"/>
    <mergeCell ref="AB9:AE9"/>
    <mergeCell ref="AG9:AK9"/>
    <mergeCell ref="A9:E9"/>
    <mergeCell ref="F9:H9"/>
    <mergeCell ref="I9:M9"/>
    <mergeCell ref="N9:O9"/>
    <mergeCell ref="P9:S9"/>
    <mergeCell ref="T9:W9"/>
    <mergeCell ref="I13:M15"/>
    <mergeCell ref="N13:O13"/>
    <mergeCell ref="P13:S13"/>
    <mergeCell ref="T13:W13"/>
    <mergeCell ref="X13:AA13"/>
    <mergeCell ref="AB13:AE13"/>
    <mergeCell ref="I19:M21"/>
    <mergeCell ref="N19:O19"/>
    <mergeCell ref="P19:S19"/>
    <mergeCell ref="N15:O15"/>
    <mergeCell ref="P15:S15"/>
    <mergeCell ref="T15:W15"/>
    <mergeCell ref="X15:AA15"/>
    <mergeCell ref="AB15:AE15"/>
    <mergeCell ref="I16:M18"/>
    <mergeCell ref="N16:O16"/>
    <mergeCell ref="P16:S16"/>
    <mergeCell ref="T16:W16"/>
    <mergeCell ref="X16:AA16"/>
    <mergeCell ref="AB16:AE16"/>
    <mergeCell ref="T19:W19"/>
    <mergeCell ref="X19:AA19"/>
    <mergeCell ref="AB19:AE19"/>
    <mergeCell ref="N21:O21"/>
    <mergeCell ref="A4:K5"/>
    <mergeCell ref="L4:AG7"/>
    <mergeCell ref="AK4:AL4"/>
    <mergeCell ref="AM4:AS4"/>
    <mergeCell ref="A6:K7"/>
    <mergeCell ref="AV9:AY9"/>
    <mergeCell ref="AZ9:BC9"/>
    <mergeCell ref="BD9:BG9"/>
    <mergeCell ref="BH9:BK9"/>
    <mergeCell ref="AL9:AN9"/>
    <mergeCell ref="AO9:AS9"/>
    <mergeCell ref="AT9:AU9"/>
  </mergeCells>
  <phoneticPr fontId="2"/>
  <pageMargins left="0.39370078740157483" right="0.39370078740157483" top="0.59055118110236227" bottom="0.39370078740157483" header="0.51181102362204722" footer="0.19685039370078741"/>
  <pageSetup paperSize="9" scale="90" firstPageNumber="28" orientation="portrait" useFirstPageNumber="1" r:id="rId1"/>
  <headerFooter alignWithMargins="0">
    <oddFooter>&amp;C20260511臨時改定価格_SP_マットコンビポリ&amp;R&amp;P/&amp;N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40EE-85AB-4631-9E67-F0285E22D1DE}">
  <sheetPr>
    <tabColor indexed="10"/>
  </sheetPr>
  <dimension ref="A1:BJ212"/>
  <sheetViews>
    <sheetView view="pageBreakPreview" zoomScaleSheetLayoutView="100" workbookViewId="0">
      <selection activeCell="BS8" sqref="BS8"/>
    </sheetView>
  </sheetViews>
  <sheetFormatPr defaultColWidth="8.875" defaultRowHeight="13.5"/>
  <cols>
    <col min="1" max="153" width="1.625" style="1" customWidth="1"/>
    <col min="154" max="16384" width="8.875" style="1"/>
  </cols>
  <sheetData>
    <row r="1" spans="1:62" ht="21">
      <c r="A1" s="76" t="s">
        <v>331</v>
      </c>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62" ht="16.5" customHeight="1">
      <c r="A2" s="9"/>
      <c r="X2" s="10"/>
      <c r="Y2" s="10"/>
      <c r="Z2" s="10"/>
      <c r="AA2" s="10"/>
      <c r="AB2" s="10"/>
      <c r="AC2" s="10"/>
      <c r="AD2" s="10"/>
      <c r="AE2" s="10"/>
      <c r="AQ2" s="12"/>
      <c r="AR2" s="12"/>
      <c r="AS2" s="12"/>
      <c r="AT2" s="12"/>
      <c r="AU2" s="12"/>
      <c r="AV2" s="12"/>
      <c r="AW2" s="12"/>
      <c r="AX2" s="12"/>
      <c r="AY2" s="12"/>
      <c r="AZ2" s="12"/>
      <c r="BA2" s="12"/>
      <c r="BB2" s="12"/>
      <c r="BC2" s="12"/>
      <c r="BD2" s="12"/>
      <c r="BE2" s="12"/>
      <c r="BF2" s="12"/>
      <c r="BG2" s="12"/>
      <c r="BH2" s="12"/>
      <c r="BI2" s="12"/>
      <c r="BJ2" s="12"/>
    </row>
    <row r="3" spans="1:62" ht="16.5" customHeight="1">
      <c r="A3" s="9"/>
      <c r="X3" s="10"/>
      <c r="Y3" s="10"/>
      <c r="Z3" s="10"/>
      <c r="AA3" s="10"/>
      <c r="AB3" s="10"/>
      <c r="AC3" s="10"/>
      <c r="AD3" s="10"/>
      <c r="AE3" s="10"/>
      <c r="AQ3" s="12"/>
      <c r="AR3" s="12"/>
      <c r="AS3" s="12"/>
      <c r="AT3" s="12"/>
      <c r="AU3" s="12"/>
      <c r="AV3" s="12"/>
      <c r="AW3" s="12"/>
      <c r="AX3" s="12"/>
      <c r="AY3" s="12"/>
      <c r="AZ3" s="12"/>
      <c r="BA3" s="12"/>
      <c r="BB3" s="12"/>
      <c r="BC3" s="12"/>
      <c r="BD3" s="12"/>
      <c r="BE3" s="12"/>
      <c r="BF3" s="12"/>
      <c r="BG3" s="12"/>
      <c r="BH3" s="12"/>
      <c r="BI3" s="12"/>
      <c r="BJ3" s="12"/>
    </row>
    <row r="4" spans="1:62" ht="16.5" customHeight="1">
      <c r="A4" s="109" t="s">
        <v>0</v>
      </c>
      <c r="B4" s="110"/>
      <c r="C4" s="110"/>
      <c r="D4" s="110"/>
      <c r="E4" s="110"/>
      <c r="F4" s="110"/>
      <c r="G4" s="110"/>
      <c r="H4" s="110"/>
      <c r="I4" s="110"/>
      <c r="J4" s="110"/>
      <c r="K4" s="110"/>
      <c r="L4" s="113" t="s">
        <v>306</v>
      </c>
      <c r="M4" s="114"/>
      <c r="N4" s="114"/>
      <c r="O4" s="114"/>
      <c r="P4" s="114"/>
      <c r="Q4" s="114"/>
      <c r="R4" s="114"/>
      <c r="S4" s="114"/>
      <c r="T4" s="114"/>
      <c r="U4" s="114"/>
      <c r="V4" s="114"/>
      <c r="W4" s="114"/>
      <c r="X4" s="114"/>
      <c r="Y4" s="114"/>
      <c r="Z4" s="114"/>
      <c r="AA4" s="114"/>
      <c r="AB4" s="114"/>
      <c r="AC4" s="114"/>
      <c r="AD4" s="114"/>
      <c r="AE4" s="114"/>
      <c r="AF4" s="114"/>
      <c r="AG4" s="114"/>
      <c r="AH4" s="3"/>
      <c r="AI4" s="3"/>
      <c r="AJ4" s="3"/>
      <c r="AK4" s="100">
        <v>1004</v>
      </c>
      <c r="AL4" s="100"/>
      <c r="AM4" s="102" t="s">
        <v>307</v>
      </c>
      <c r="AN4" s="102"/>
      <c r="AO4" s="102"/>
      <c r="AP4" s="102"/>
      <c r="AQ4" s="102"/>
      <c r="AR4" s="102"/>
      <c r="AS4" s="102"/>
      <c r="AT4" s="3"/>
      <c r="AU4" s="3"/>
      <c r="AV4" s="3"/>
      <c r="AW4" s="3"/>
      <c r="AX4" s="3"/>
    </row>
    <row r="5" spans="1:62" ht="16.5" customHeight="1">
      <c r="A5" s="111"/>
      <c r="B5" s="112"/>
      <c r="C5" s="112"/>
      <c r="D5" s="112"/>
      <c r="E5" s="112"/>
      <c r="F5" s="112"/>
      <c r="G5" s="112"/>
      <c r="H5" s="112"/>
      <c r="I5" s="112"/>
      <c r="J5" s="112"/>
      <c r="K5" s="112"/>
      <c r="L5" s="115"/>
      <c r="M5" s="116"/>
      <c r="N5" s="116"/>
      <c r="O5" s="116"/>
      <c r="P5" s="116"/>
      <c r="Q5" s="116"/>
      <c r="R5" s="116"/>
      <c r="S5" s="116"/>
      <c r="T5" s="116"/>
      <c r="U5" s="116"/>
      <c r="V5" s="116"/>
      <c r="W5" s="116"/>
      <c r="X5" s="116"/>
      <c r="Y5" s="116"/>
      <c r="Z5" s="116"/>
      <c r="AA5" s="116"/>
      <c r="AB5" s="116"/>
      <c r="AC5" s="116"/>
      <c r="AD5" s="116"/>
      <c r="AE5" s="116"/>
      <c r="AF5" s="116"/>
      <c r="AG5" s="116"/>
      <c r="AH5" s="3"/>
      <c r="AI5" s="3"/>
      <c r="AJ5" s="3"/>
      <c r="AK5" s="100">
        <v>1005</v>
      </c>
      <c r="AL5" s="100"/>
      <c r="AM5" s="102" t="s">
        <v>308</v>
      </c>
      <c r="AN5" s="102"/>
      <c r="AO5" s="102"/>
      <c r="AP5" s="102"/>
      <c r="AQ5" s="102"/>
      <c r="AR5" s="102"/>
      <c r="AS5" s="102"/>
    </row>
    <row r="6" spans="1:62" ht="16.5" customHeight="1">
      <c r="A6" s="103" t="s">
        <v>2</v>
      </c>
      <c r="B6" s="104"/>
      <c r="C6" s="104"/>
      <c r="D6" s="104"/>
      <c r="E6" s="104"/>
      <c r="F6" s="104"/>
      <c r="G6" s="104"/>
      <c r="H6" s="104"/>
      <c r="I6" s="104"/>
      <c r="J6" s="104"/>
      <c r="K6" s="105"/>
      <c r="L6" s="115"/>
      <c r="M6" s="116"/>
      <c r="N6" s="116"/>
      <c r="O6" s="116"/>
      <c r="P6" s="116"/>
      <c r="Q6" s="116"/>
      <c r="R6" s="116"/>
      <c r="S6" s="116"/>
      <c r="T6" s="116"/>
      <c r="U6" s="116"/>
      <c r="V6" s="116"/>
      <c r="W6" s="116"/>
      <c r="X6" s="116"/>
      <c r="Y6" s="116"/>
      <c r="Z6" s="116"/>
      <c r="AA6" s="116"/>
      <c r="AB6" s="116"/>
      <c r="AC6" s="116"/>
      <c r="AD6" s="116"/>
      <c r="AE6" s="116"/>
      <c r="AF6" s="116"/>
      <c r="AG6" s="116"/>
      <c r="AH6" s="3"/>
      <c r="AI6" s="3"/>
      <c r="AJ6" s="3"/>
      <c r="AK6" s="3"/>
      <c r="AL6" s="3"/>
      <c r="AM6" s="3"/>
      <c r="AN6" s="3"/>
      <c r="AO6" s="3"/>
      <c r="AP6" s="3"/>
      <c r="AQ6" s="3"/>
      <c r="AR6" s="3"/>
      <c r="AS6" s="3"/>
      <c r="AT6" s="3"/>
      <c r="AU6" s="3"/>
      <c r="AV6" s="3"/>
      <c r="AW6" s="3"/>
      <c r="AX6" s="3"/>
    </row>
    <row r="7" spans="1:62" ht="16.5" customHeight="1">
      <c r="A7" s="106"/>
      <c r="B7" s="107"/>
      <c r="C7" s="107"/>
      <c r="D7" s="107"/>
      <c r="E7" s="107"/>
      <c r="F7" s="107"/>
      <c r="G7" s="107"/>
      <c r="H7" s="107"/>
      <c r="I7" s="107"/>
      <c r="J7" s="107"/>
      <c r="K7" s="108"/>
      <c r="L7" s="117"/>
      <c r="M7" s="118"/>
      <c r="N7" s="118"/>
      <c r="O7" s="118"/>
      <c r="P7" s="118"/>
      <c r="Q7" s="118"/>
      <c r="R7" s="118"/>
      <c r="S7" s="118"/>
      <c r="T7" s="118"/>
      <c r="U7" s="118"/>
      <c r="V7" s="118"/>
      <c r="W7" s="118"/>
      <c r="X7" s="118"/>
      <c r="Y7" s="118"/>
      <c r="Z7" s="118"/>
      <c r="AA7" s="118"/>
      <c r="AB7" s="118"/>
      <c r="AC7" s="118"/>
      <c r="AD7" s="118"/>
      <c r="AE7" s="118"/>
      <c r="AF7" s="118"/>
      <c r="AG7" s="118"/>
      <c r="AH7" s="3"/>
      <c r="AI7" s="3"/>
      <c r="AJ7" s="3"/>
      <c r="AK7" s="3"/>
      <c r="AL7" s="3"/>
      <c r="AM7" s="3"/>
      <c r="AN7" s="3"/>
      <c r="AO7" s="3"/>
      <c r="AP7" s="3"/>
      <c r="AQ7" s="3"/>
      <c r="AR7" s="3"/>
      <c r="AS7" s="3"/>
      <c r="AT7" s="3"/>
      <c r="AU7" s="3"/>
      <c r="AV7" s="3"/>
      <c r="AW7" s="3"/>
      <c r="AX7" s="3"/>
    </row>
    <row r="8" spans="1:62" ht="16.5" customHeight="1">
      <c r="A8" s="70"/>
      <c r="B8" s="70"/>
      <c r="C8" s="70"/>
      <c r="D8" s="70"/>
      <c r="E8" s="70"/>
      <c r="F8" s="70"/>
      <c r="G8" s="70"/>
      <c r="H8" s="70"/>
      <c r="I8" s="70"/>
      <c r="J8" s="70"/>
      <c r="K8" s="70"/>
      <c r="L8" s="4"/>
      <c r="M8" s="4"/>
      <c r="N8" s="4"/>
      <c r="O8" s="4"/>
      <c r="P8" s="4"/>
      <c r="Q8" s="4"/>
      <c r="R8" s="4"/>
      <c r="S8" s="4"/>
      <c r="T8" s="4"/>
      <c r="U8" s="4"/>
      <c r="V8" s="4"/>
      <c r="W8" s="4"/>
      <c r="X8" s="4"/>
      <c r="Y8" s="4"/>
      <c r="Z8" s="4"/>
      <c r="AA8" s="4"/>
      <c r="AB8" s="3"/>
      <c r="AC8" s="3"/>
      <c r="AD8" s="3"/>
      <c r="AE8" s="3"/>
      <c r="AF8" s="3"/>
      <c r="AG8" s="3"/>
      <c r="AH8" s="3"/>
      <c r="AI8" s="3"/>
      <c r="AJ8" s="3"/>
      <c r="AK8" s="3"/>
      <c r="AL8" s="3"/>
      <c r="AM8" s="3"/>
      <c r="AN8" s="3"/>
      <c r="AO8" s="3"/>
      <c r="AP8" s="3"/>
      <c r="AQ8" s="3"/>
      <c r="AR8" s="3"/>
      <c r="AS8" s="3"/>
      <c r="AT8" s="3"/>
      <c r="AU8" s="3"/>
      <c r="AV8" s="3"/>
      <c r="AW8" s="3"/>
      <c r="AX8" s="3"/>
      <c r="AY8" s="3"/>
      <c r="AZ8" s="3"/>
      <c r="BA8" s="3"/>
      <c r="BB8" s="3"/>
    </row>
    <row r="9" spans="1:62" ht="16.5" customHeight="1">
      <c r="A9" s="98" t="s">
        <v>3</v>
      </c>
      <c r="B9" s="98"/>
      <c r="C9" s="98"/>
      <c r="D9" s="98"/>
      <c r="E9" s="98"/>
      <c r="F9" s="98" t="s">
        <v>4</v>
      </c>
      <c r="G9" s="98"/>
      <c r="H9" s="98"/>
      <c r="I9" s="98" t="s">
        <v>5</v>
      </c>
      <c r="J9" s="98"/>
      <c r="K9" s="98"/>
      <c r="L9" s="98"/>
      <c r="M9" s="98"/>
      <c r="N9" s="98"/>
      <c r="O9" s="98"/>
      <c r="P9" s="98" t="s">
        <v>6</v>
      </c>
      <c r="Q9" s="98"/>
      <c r="R9" s="98"/>
      <c r="S9" s="98"/>
      <c r="T9" s="98" t="s">
        <v>7</v>
      </c>
      <c r="U9" s="98"/>
      <c r="V9" s="98"/>
      <c r="W9" s="98"/>
      <c r="X9" s="98" t="s">
        <v>8</v>
      </c>
      <c r="Y9" s="98"/>
      <c r="Z9" s="98"/>
      <c r="AA9" s="98"/>
      <c r="AB9" s="98" t="s">
        <v>52</v>
      </c>
      <c r="AC9" s="98"/>
      <c r="AD9" s="98"/>
      <c r="AE9" s="98"/>
    </row>
    <row r="10" spans="1:62" ht="16.5" customHeight="1">
      <c r="A10" s="93" t="s">
        <v>309</v>
      </c>
      <c r="B10" s="93"/>
      <c r="C10" s="93"/>
      <c r="D10" s="93"/>
      <c r="E10" s="93"/>
      <c r="F10" s="94">
        <v>5</v>
      </c>
      <c r="G10" s="94"/>
      <c r="H10" s="94"/>
      <c r="I10" s="95" t="s">
        <v>255</v>
      </c>
      <c r="J10" s="95"/>
      <c r="K10" s="95"/>
      <c r="L10" s="95"/>
      <c r="M10" s="95"/>
      <c r="N10" s="100" t="s">
        <v>184</v>
      </c>
      <c r="O10" s="100"/>
      <c r="P10" s="99">
        <f>P16+5</f>
        <v>132</v>
      </c>
      <c r="Q10" s="99"/>
      <c r="R10" s="99"/>
      <c r="S10" s="99"/>
      <c r="T10" s="99">
        <f>P10+15</f>
        <v>147</v>
      </c>
      <c r="U10" s="99"/>
      <c r="V10" s="99"/>
      <c r="W10" s="99"/>
      <c r="X10" s="99">
        <f>T10+15</f>
        <v>162</v>
      </c>
      <c r="Y10" s="99"/>
      <c r="Z10" s="99"/>
      <c r="AA10" s="99"/>
      <c r="AB10" s="99">
        <f>X10+15</f>
        <v>177</v>
      </c>
      <c r="AC10" s="99"/>
      <c r="AD10" s="99"/>
      <c r="AE10" s="99"/>
    </row>
    <row r="11" spans="1:62" ht="16.5" customHeight="1">
      <c r="A11" s="93"/>
      <c r="B11" s="93"/>
      <c r="C11" s="93"/>
      <c r="D11" s="93"/>
      <c r="E11" s="93"/>
      <c r="F11" s="94"/>
      <c r="G11" s="94"/>
      <c r="H11" s="94"/>
      <c r="I11" s="95"/>
      <c r="J11" s="95"/>
      <c r="K11" s="95"/>
      <c r="L11" s="95"/>
      <c r="M11" s="95"/>
      <c r="N11" s="100" t="s">
        <v>186</v>
      </c>
      <c r="O11" s="100"/>
      <c r="P11" s="99">
        <f>CEILING(P10*0.95,0.5)</f>
        <v>125.5</v>
      </c>
      <c r="Q11" s="99"/>
      <c r="R11" s="99"/>
      <c r="S11" s="99"/>
      <c r="T11" s="99">
        <f>CEILING(T10*0.95,0.5)</f>
        <v>140</v>
      </c>
      <c r="U11" s="99"/>
      <c r="V11" s="99"/>
      <c r="W11" s="99"/>
      <c r="X11" s="99">
        <f>CEILING(X10*0.95,0.5)</f>
        <v>154</v>
      </c>
      <c r="Y11" s="99"/>
      <c r="Z11" s="99"/>
      <c r="AA11" s="99"/>
      <c r="AB11" s="99">
        <f>CEILING(AB10*0.95,0.5)</f>
        <v>168.5</v>
      </c>
      <c r="AC11" s="99"/>
      <c r="AD11" s="99"/>
      <c r="AE11" s="99"/>
    </row>
    <row r="12" spans="1:62" ht="16.5" customHeight="1">
      <c r="A12" s="93"/>
      <c r="B12" s="93"/>
      <c r="C12" s="93"/>
      <c r="D12" s="93"/>
      <c r="E12" s="93"/>
      <c r="F12" s="94"/>
      <c r="G12" s="94"/>
      <c r="H12" s="94"/>
      <c r="I12" s="95"/>
      <c r="J12" s="95"/>
      <c r="K12" s="95"/>
      <c r="L12" s="95"/>
      <c r="M12" s="95"/>
      <c r="N12" s="100" t="s">
        <v>96</v>
      </c>
      <c r="O12" s="100"/>
      <c r="P12" s="99">
        <f>P18+5</f>
        <v>114.5</v>
      </c>
      <c r="Q12" s="99"/>
      <c r="R12" s="99"/>
      <c r="S12" s="99"/>
      <c r="T12" s="99">
        <f>P12+15</f>
        <v>129.5</v>
      </c>
      <c r="U12" s="99"/>
      <c r="V12" s="99"/>
      <c r="W12" s="99"/>
      <c r="X12" s="99">
        <f>T12+15</f>
        <v>144.5</v>
      </c>
      <c r="Y12" s="99"/>
      <c r="Z12" s="99"/>
      <c r="AA12" s="99"/>
      <c r="AB12" s="99">
        <f>X12+15</f>
        <v>159.5</v>
      </c>
      <c r="AC12" s="99"/>
      <c r="AD12" s="99"/>
      <c r="AE12" s="99"/>
    </row>
    <row r="13" spans="1:62" ht="16.5" customHeight="1">
      <c r="A13" s="93"/>
      <c r="B13" s="93"/>
      <c r="C13" s="93"/>
      <c r="D13" s="93"/>
      <c r="E13" s="93"/>
      <c r="F13" s="94"/>
      <c r="G13" s="94"/>
      <c r="H13" s="94"/>
      <c r="I13" s="97" t="s">
        <v>13</v>
      </c>
      <c r="J13" s="97"/>
      <c r="K13" s="97"/>
      <c r="L13" s="97"/>
      <c r="M13" s="97"/>
      <c r="N13" s="98" t="s">
        <v>184</v>
      </c>
      <c r="O13" s="98"/>
      <c r="P13" s="96">
        <f>CEILING(P10*0.47+5,0.5)</f>
        <v>67.5</v>
      </c>
      <c r="Q13" s="96"/>
      <c r="R13" s="96"/>
      <c r="S13" s="96"/>
      <c r="T13" s="96">
        <f>CEILING(T10*0.47+5,0.5)</f>
        <v>74.5</v>
      </c>
      <c r="U13" s="96"/>
      <c r="V13" s="96"/>
      <c r="W13" s="96"/>
      <c r="X13" s="96">
        <f>CEILING(X10*0.47+5,0.5)</f>
        <v>81.5</v>
      </c>
      <c r="Y13" s="96"/>
      <c r="Z13" s="96"/>
      <c r="AA13" s="96"/>
      <c r="AB13" s="96">
        <f>CEILING(AB10*0.47+5,0.5)</f>
        <v>88.5</v>
      </c>
      <c r="AC13" s="96"/>
      <c r="AD13" s="96"/>
      <c r="AE13" s="96"/>
    </row>
    <row r="14" spans="1:62" ht="16.5" customHeight="1">
      <c r="A14" s="93"/>
      <c r="B14" s="93"/>
      <c r="C14" s="93"/>
      <c r="D14" s="93"/>
      <c r="E14" s="93"/>
      <c r="F14" s="94"/>
      <c r="G14" s="94"/>
      <c r="H14" s="94"/>
      <c r="I14" s="97"/>
      <c r="J14" s="97"/>
      <c r="K14" s="97"/>
      <c r="L14" s="97"/>
      <c r="M14" s="97"/>
      <c r="N14" s="98" t="s">
        <v>186</v>
      </c>
      <c r="O14" s="98"/>
      <c r="P14" s="96">
        <f>CEILING(P13*0.95,0.5)</f>
        <v>64.5</v>
      </c>
      <c r="Q14" s="96"/>
      <c r="R14" s="96"/>
      <c r="S14" s="96"/>
      <c r="T14" s="96">
        <f>CEILING(T13*0.95,0.5)</f>
        <v>71</v>
      </c>
      <c r="U14" s="96"/>
      <c r="V14" s="96"/>
      <c r="W14" s="96"/>
      <c r="X14" s="96">
        <f>CEILING(X13*0.95,0.5)</f>
        <v>77.5</v>
      </c>
      <c r="Y14" s="96"/>
      <c r="Z14" s="96"/>
      <c r="AA14" s="96"/>
      <c r="AB14" s="96">
        <f>CEILING(AB13*0.95,0.5)</f>
        <v>84.5</v>
      </c>
      <c r="AC14" s="96"/>
      <c r="AD14" s="96"/>
      <c r="AE14" s="96"/>
    </row>
    <row r="15" spans="1:62" ht="16.5" customHeight="1">
      <c r="A15" s="93"/>
      <c r="B15" s="93"/>
      <c r="C15" s="93"/>
      <c r="D15" s="93"/>
      <c r="E15" s="93"/>
      <c r="F15" s="94"/>
      <c r="G15" s="94"/>
      <c r="H15" s="94"/>
      <c r="I15" s="97"/>
      <c r="J15" s="97"/>
      <c r="K15" s="97"/>
      <c r="L15" s="97"/>
      <c r="M15" s="97"/>
      <c r="N15" s="98" t="s">
        <v>96</v>
      </c>
      <c r="O15" s="98"/>
      <c r="P15" s="96">
        <f>CEILING(P12*0.47+5,0.5)</f>
        <v>59</v>
      </c>
      <c r="Q15" s="96"/>
      <c r="R15" s="96"/>
      <c r="S15" s="96"/>
      <c r="T15" s="96">
        <f>CEILING(T12*0.47+5,0.5)</f>
        <v>66</v>
      </c>
      <c r="U15" s="96"/>
      <c r="V15" s="96"/>
      <c r="W15" s="96"/>
      <c r="X15" s="96">
        <f>CEILING(X12*0.47+5,0.5)</f>
        <v>73</v>
      </c>
      <c r="Y15" s="96"/>
      <c r="Z15" s="96"/>
      <c r="AA15" s="96"/>
      <c r="AB15" s="96">
        <f>CEILING(AB12*0.47+5,0.5)</f>
        <v>80</v>
      </c>
      <c r="AC15" s="96"/>
      <c r="AD15" s="96"/>
      <c r="AE15" s="96"/>
    </row>
    <row r="16" spans="1:62" ht="16.5" customHeight="1">
      <c r="A16" s="93"/>
      <c r="B16" s="93"/>
      <c r="C16" s="93"/>
      <c r="D16" s="93"/>
      <c r="E16" s="93"/>
      <c r="F16" s="94"/>
      <c r="G16" s="94"/>
      <c r="H16" s="94"/>
      <c r="I16" s="95" t="s">
        <v>258</v>
      </c>
      <c r="J16" s="95"/>
      <c r="K16" s="95"/>
      <c r="L16" s="95"/>
      <c r="M16" s="95"/>
      <c r="N16" s="100" t="s">
        <v>184</v>
      </c>
      <c r="O16" s="100"/>
      <c r="P16" s="101">
        <f>CEILING(94*1.35,0.5)</f>
        <v>127</v>
      </c>
      <c r="Q16" s="101"/>
      <c r="R16" s="101"/>
      <c r="S16" s="101"/>
      <c r="T16" s="99">
        <f>P16+10</f>
        <v>137</v>
      </c>
      <c r="U16" s="99"/>
      <c r="V16" s="99"/>
      <c r="W16" s="99"/>
      <c r="X16" s="99">
        <f>T16+10</f>
        <v>147</v>
      </c>
      <c r="Y16" s="99"/>
      <c r="Z16" s="99"/>
      <c r="AA16" s="99"/>
      <c r="AB16" s="99">
        <f>X16+10</f>
        <v>157</v>
      </c>
      <c r="AC16" s="99"/>
      <c r="AD16" s="99"/>
      <c r="AE16" s="99"/>
    </row>
    <row r="17" spans="1:62" ht="16.5" customHeight="1">
      <c r="A17" s="93"/>
      <c r="B17" s="93"/>
      <c r="C17" s="93"/>
      <c r="D17" s="93"/>
      <c r="E17" s="93"/>
      <c r="F17" s="94"/>
      <c r="G17" s="94"/>
      <c r="H17" s="94"/>
      <c r="I17" s="95"/>
      <c r="J17" s="95"/>
      <c r="K17" s="95"/>
      <c r="L17" s="95"/>
      <c r="M17" s="95"/>
      <c r="N17" s="100" t="s">
        <v>186</v>
      </c>
      <c r="O17" s="100"/>
      <c r="P17" s="99">
        <f>CEILING(P16*0.95,0.5)</f>
        <v>121</v>
      </c>
      <c r="Q17" s="99"/>
      <c r="R17" s="99"/>
      <c r="S17" s="99"/>
      <c r="T17" s="99">
        <f>CEILING(T16*0.95,0.5)</f>
        <v>130.5</v>
      </c>
      <c r="U17" s="99"/>
      <c r="V17" s="99"/>
      <c r="W17" s="99"/>
      <c r="X17" s="99">
        <f>CEILING(X16*0.95,0.5)</f>
        <v>140</v>
      </c>
      <c r="Y17" s="99"/>
      <c r="Z17" s="99"/>
      <c r="AA17" s="99"/>
      <c r="AB17" s="99">
        <f>CEILING(AB16*0.95,0.5)</f>
        <v>149.5</v>
      </c>
      <c r="AC17" s="99"/>
      <c r="AD17" s="99"/>
      <c r="AE17" s="99"/>
    </row>
    <row r="18" spans="1:62" ht="16.5" customHeight="1">
      <c r="A18" s="93"/>
      <c r="B18" s="93"/>
      <c r="C18" s="93"/>
      <c r="D18" s="93"/>
      <c r="E18" s="93"/>
      <c r="F18" s="94"/>
      <c r="G18" s="94"/>
      <c r="H18" s="94"/>
      <c r="I18" s="95"/>
      <c r="J18" s="95"/>
      <c r="K18" s="95"/>
      <c r="L18" s="95"/>
      <c r="M18" s="95"/>
      <c r="N18" s="100" t="s">
        <v>96</v>
      </c>
      <c r="O18" s="100"/>
      <c r="P18" s="101">
        <f>CEILING(81*1.35,0.5)</f>
        <v>109.5</v>
      </c>
      <c r="Q18" s="101"/>
      <c r="R18" s="101"/>
      <c r="S18" s="101"/>
      <c r="T18" s="99">
        <f>P18+10</f>
        <v>119.5</v>
      </c>
      <c r="U18" s="99"/>
      <c r="V18" s="99"/>
      <c r="W18" s="99"/>
      <c r="X18" s="99">
        <f>T18+10</f>
        <v>129.5</v>
      </c>
      <c r="Y18" s="99"/>
      <c r="Z18" s="99"/>
      <c r="AA18" s="99"/>
      <c r="AB18" s="99">
        <f>X18+10</f>
        <v>139.5</v>
      </c>
      <c r="AC18" s="99"/>
      <c r="AD18" s="99"/>
      <c r="AE18" s="99"/>
    </row>
    <row r="19" spans="1:62" ht="16.5" customHeight="1">
      <c r="A19" s="93"/>
      <c r="B19" s="93"/>
      <c r="C19" s="93"/>
      <c r="D19" s="93"/>
      <c r="E19" s="93"/>
      <c r="F19" s="94"/>
      <c r="G19" s="94"/>
      <c r="H19" s="94"/>
      <c r="I19" s="97" t="s">
        <v>16</v>
      </c>
      <c r="J19" s="97"/>
      <c r="K19" s="97"/>
      <c r="L19" s="97"/>
      <c r="M19" s="97"/>
      <c r="N19" s="98" t="s">
        <v>184</v>
      </c>
      <c r="O19" s="98"/>
      <c r="P19" s="96">
        <f>CEILING(P16*0.47+5,0.5)</f>
        <v>65</v>
      </c>
      <c r="Q19" s="96"/>
      <c r="R19" s="96"/>
      <c r="S19" s="96"/>
      <c r="T19" s="96">
        <f>CEILING(T16*0.47+5,0.5)</f>
        <v>69.5</v>
      </c>
      <c r="U19" s="96"/>
      <c r="V19" s="96"/>
      <c r="W19" s="96"/>
      <c r="X19" s="96">
        <f>CEILING(X16*0.47+5,0.5)</f>
        <v>74.5</v>
      </c>
      <c r="Y19" s="96"/>
      <c r="Z19" s="96"/>
      <c r="AA19" s="96"/>
      <c r="AB19" s="96">
        <f>CEILING(AB16*0.47+5,0.5)</f>
        <v>79</v>
      </c>
      <c r="AC19" s="96"/>
      <c r="AD19" s="96"/>
      <c r="AE19" s="96"/>
    </row>
    <row r="20" spans="1:62" ht="16.5" customHeight="1">
      <c r="A20" s="93"/>
      <c r="B20" s="93"/>
      <c r="C20" s="93"/>
      <c r="D20" s="93"/>
      <c r="E20" s="93"/>
      <c r="F20" s="94"/>
      <c r="G20" s="94"/>
      <c r="H20" s="94"/>
      <c r="I20" s="97"/>
      <c r="J20" s="97"/>
      <c r="K20" s="97"/>
      <c r="L20" s="97"/>
      <c r="M20" s="97"/>
      <c r="N20" s="98" t="s">
        <v>186</v>
      </c>
      <c r="O20" s="98"/>
      <c r="P20" s="96">
        <f>CEILING(P19*0.95,0.5)</f>
        <v>62</v>
      </c>
      <c r="Q20" s="96"/>
      <c r="R20" s="96"/>
      <c r="S20" s="96"/>
      <c r="T20" s="96">
        <f>CEILING(T19*0.95,0.5)</f>
        <v>66.5</v>
      </c>
      <c r="U20" s="96"/>
      <c r="V20" s="96"/>
      <c r="W20" s="96"/>
      <c r="X20" s="96">
        <f>CEILING(X19*0.95,0.5)</f>
        <v>71</v>
      </c>
      <c r="Y20" s="96"/>
      <c r="Z20" s="96"/>
      <c r="AA20" s="96"/>
      <c r="AB20" s="96">
        <f>CEILING(AB19*0.95,0.5)</f>
        <v>75.5</v>
      </c>
      <c r="AC20" s="96"/>
      <c r="AD20" s="96"/>
      <c r="AE20" s="96"/>
    </row>
    <row r="21" spans="1:62" ht="16.5" customHeight="1">
      <c r="A21" s="93"/>
      <c r="B21" s="93"/>
      <c r="C21" s="93"/>
      <c r="D21" s="93"/>
      <c r="E21" s="93"/>
      <c r="F21" s="94"/>
      <c r="G21" s="94"/>
      <c r="H21" s="94"/>
      <c r="I21" s="97"/>
      <c r="J21" s="97"/>
      <c r="K21" s="97"/>
      <c r="L21" s="97"/>
      <c r="M21" s="97"/>
      <c r="N21" s="98" t="s">
        <v>96</v>
      </c>
      <c r="O21" s="98"/>
      <c r="P21" s="96">
        <f>CEILING(P18*0.47+5,0.5)</f>
        <v>56.5</v>
      </c>
      <c r="Q21" s="96"/>
      <c r="R21" s="96"/>
      <c r="S21" s="96"/>
      <c r="T21" s="96">
        <f>CEILING(T18*0.47+5,0.5)</f>
        <v>61.5</v>
      </c>
      <c r="U21" s="96"/>
      <c r="V21" s="96"/>
      <c r="W21" s="96"/>
      <c r="X21" s="96">
        <f>CEILING(X18*0.47+5,0.5)</f>
        <v>66</v>
      </c>
      <c r="Y21" s="96"/>
      <c r="Z21" s="96"/>
      <c r="AA21" s="96"/>
      <c r="AB21" s="96">
        <f>CEILING(AB18*0.47+5,0.5)</f>
        <v>71</v>
      </c>
      <c r="AC21" s="96"/>
      <c r="AD21" s="96"/>
      <c r="AE21" s="96"/>
    </row>
    <row r="22" spans="1:62" ht="16.5" customHeight="1">
      <c r="A22" s="93"/>
      <c r="B22" s="93"/>
      <c r="C22" s="93"/>
      <c r="D22" s="93"/>
      <c r="E22" s="93"/>
      <c r="F22" s="94"/>
      <c r="G22" s="94"/>
      <c r="H22" s="94"/>
      <c r="I22" s="82" t="s">
        <v>260</v>
      </c>
      <c r="J22" s="82"/>
      <c r="K22" s="82"/>
      <c r="L22" s="82"/>
      <c r="M22" s="82"/>
      <c r="N22" s="84" t="s">
        <v>184</v>
      </c>
      <c r="O22" s="84"/>
      <c r="P22" s="83">
        <f>P16-2</f>
        <v>125</v>
      </c>
      <c r="Q22" s="83"/>
      <c r="R22" s="83"/>
      <c r="S22" s="83"/>
      <c r="T22" s="83">
        <f>P22+8</f>
        <v>133</v>
      </c>
      <c r="U22" s="83"/>
      <c r="V22" s="83"/>
      <c r="W22" s="83"/>
      <c r="X22" s="83">
        <f>T22+8</f>
        <v>141</v>
      </c>
      <c r="Y22" s="83"/>
      <c r="Z22" s="83"/>
      <c r="AA22" s="83"/>
      <c r="AB22" s="83">
        <f>X22+8</f>
        <v>149</v>
      </c>
      <c r="AC22" s="83"/>
      <c r="AD22" s="83"/>
      <c r="AE22" s="83"/>
    </row>
    <row r="23" spans="1:62" ht="16.5" customHeight="1">
      <c r="A23" s="93"/>
      <c r="B23" s="93"/>
      <c r="C23" s="93"/>
      <c r="D23" s="93"/>
      <c r="E23" s="93"/>
      <c r="F23" s="94"/>
      <c r="G23" s="94"/>
      <c r="H23" s="94"/>
      <c r="I23" s="82"/>
      <c r="J23" s="82"/>
      <c r="K23" s="82"/>
      <c r="L23" s="82"/>
      <c r="M23" s="82"/>
      <c r="N23" s="84" t="s">
        <v>186</v>
      </c>
      <c r="O23" s="84"/>
      <c r="P23" s="83">
        <f>CEILING(P22*0.95,0.5)</f>
        <v>119</v>
      </c>
      <c r="Q23" s="83"/>
      <c r="R23" s="83"/>
      <c r="S23" s="83"/>
      <c r="T23" s="83">
        <f>CEILING(T22*0.95,0.5)</f>
        <v>126.5</v>
      </c>
      <c r="U23" s="83"/>
      <c r="V23" s="83"/>
      <c r="W23" s="83"/>
      <c r="X23" s="83">
        <f>CEILING(X22*0.95,0.5)</f>
        <v>134</v>
      </c>
      <c r="Y23" s="83"/>
      <c r="Z23" s="83"/>
      <c r="AA23" s="83"/>
      <c r="AB23" s="83">
        <f>CEILING(AB22*0.95,0.5)</f>
        <v>142</v>
      </c>
      <c r="AC23" s="83"/>
      <c r="AD23" s="83"/>
      <c r="AE23" s="83"/>
    </row>
    <row r="24" spans="1:62" ht="16.5" customHeight="1">
      <c r="A24" s="93"/>
      <c r="B24" s="93"/>
      <c r="C24" s="93"/>
      <c r="D24" s="93"/>
      <c r="E24" s="93"/>
      <c r="F24" s="94"/>
      <c r="G24" s="94"/>
      <c r="H24" s="94"/>
      <c r="I24" s="82"/>
      <c r="J24" s="82"/>
      <c r="K24" s="82"/>
      <c r="L24" s="82"/>
      <c r="M24" s="82"/>
      <c r="N24" s="84" t="s">
        <v>96</v>
      </c>
      <c r="O24" s="84"/>
      <c r="P24" s="83">
        <f>P18-2</f>
        <v>107.5</v>
      </c>
      <c r="Q24" s="83"/>
      <c r="R24" s="83"/>
      <c r="S24" s="83"/>
      <c r="T24" s="83">
        <f>P24+8</f>
        <v>115.5</v>
      </c>
      <c r="U24" s="83"/>
      <c r="V24" s="83"/>
      <c r="W24" s="83"/>
      <c r="X24" s="83">
        <f>T24+8</f>
        <v>123.5</v>
      </c>
      <c r="Y24" s="83"/>
      <c r="Z24" s="83"/>
      <c r="AA24" s="83"/>
      <c r="AB24" s="83">
        <f>X24+8</f>
        <v>131.5</v>
      </c>
      <c r="AC24" s="83"/>
      <c r="AD24" s="83"/>
      <c r="AE24" s="83"/>
    </row>
    <row r="25" spans="1:62" ht="16.5" customHeight="1">
      <c r="A25" s="93"/>
      <c r="B25" s="93"/>
      <c r="C25" s="93"/>
      <c r="D25" s="93"/>
      <c r="E25" s="93"/>
      <c r="F25" s="94"/>
      <c r="G25" s="94"/>
      <c r="H25" s="94"/>
      <c r="I25" s="80" t="s">
        <v>196</v>
      </c>
      <c r="J25" s="80"/>
      <c r="K25" s="80"/>
      <c r="L25" s="80"/>
      <c r="M25" s="80"/>
      <c r="N25" s="81" t="s">
        <v>184</v>
      </c>
      <c r="O25" s="81"/>
      <c r="P25" s="89">
        <f>CEILING(P22*0.47+5,0.5)</f>
        <v>64</v>
      </c>
      <c r="Q25" s="89"/>
      <c r="R25" s="89"/>
      <c r="S25" s="89"/>
      <c r="T25" s="89">
        <f>CEILING(T22*0.47+5,0.5)</f>
        <v>68</v>
      </c>
      <c r="U25" s="89"/>
      <c r="V25" s="89"/>
      <c r="W25" s="89"/>
      <c r="X25" s="89">
        <f>CEILING(X22*0.47+5,0.5)</f>
        <v>71.5</v>
      </c>
      <c r="Y25" s="89"/>
      <c r="Z25" s="89"/>
      <c r="AA25" s="89"/>
      <c r="AB25" s="89">
        <f>CEILING(AB22*0.47+5,0.5)</f>
        <v>75.5</v>
      </c>
      <c r="AC25" s="89"/>
      <c r="AD25" s="89"/>
      <c r="AE25" s="89"/>
    </row>
    <row r="26" spans="1:62" ht="16.5" customHeight="1">
      <c r="A26" s="93"/>
      <c r="B26" s="93"/>
      <c r="C26" s="93"/>
      <c r="D26" s="93"/>
      <c r="E26" s="93"/>
      <c r="F26" s="94"/>
      <c r="G26" s="94"/>
      <c r="H26" s="94"/>
      <c r="I26" s="80"/>
      <c r="J26" s="80"/>
      <c r="K26" s="80"/>
      <c r="L26" s="80"/>
      <c r="M26" s="80"/>
      <c r="N26" s="81" t="s">
        <v>186</v>
      </c>
      <c r="O26" s="81"/>
      <c r="P26" s="89">
        <f>CEILING(P25*0.95,0.5)</f>
        <v>61</v>
      </c>
      <c r="Q26" s="89"/>
      <c r="R26" s="89"/>
      <c r="S26" s="89"/>
      <c r="T26" s="89">
        <f>CEILING(T25*0.95,0.5)</f>
        <v>65</v>
      </c>
      <c r="U26" s="89"/>
      <c r="V26" s="89"/>
      <c r="W26" s="89"/>
      <c r="X26" s="89">
        <f>CEILING(X25*0.95,0.5)</f>
        <v>68</v>
      </c>
      <c r="Y26" s="89"/>
      <c r="Z26" s="89"/>
      <c r="AA26" s="89"/>
      <c r="AB26" s="89">
        <f>CEILING(AB25*0.95,0.5)</f>
        <v>72</v>
      </c>
      <c r="AC26" s="89"/>
      <c r="AD26" s="89"/>
      <c r="AE26" s="89"/>
    </row>
    <row r="27" spans="1:62" ht="16.5" customHeight="1">
      <c r="A27" s="93"/>
      <c r="B27" s="93"/>
      <c r="C27" s="93"/>
      <c r="D27" s="93"/>
      <c r="E27" s="93"/>
      <c r="F27" s="94"/>
      <c r="G27" s="94"/>
      <c r="H27" s="94"/>
      <c r="I27" s="80"/>
      <c r="J27" s="80"/>
      <c r="K27" s="80"/>
      <c r="L27" s="80"/>
      <c r="M27" s="80"/>
      <c r="N27" s="81" t="s">
        <v>96</v>
      </c>
      <c r="O27" s="81"/>
      <c r="P27" s="89">
        <f>CEILING(P24*0.47+5,0.5)</f>
        <v>56</v>
      </c>
      <c r="Q27" s="89"/>
      <c r="R27" s="89"/>
      <c r="S27" s="89"/>
      <c r="T27" s="89">
        <f>CEILING(T24*0.47+5,0.5)</f>
        <v>59.5</v>
      </c>
      <c r="U27" s="89"/>
      <c r="V27" s="89"/>
      <c r="W27" s="89"/>
      <c r="X27" s="89">
        <f>CEILING(X24*0.47+5,0.5)</f>
        <v>63.5</v>
      </c>
      <c r="Y27" s="89"/>
      <c r="Z27" s="89"/>
      <c r="AA27" s="89"/>
      <c r="AB27" s="89">
        <f>CEILING(AB24*0.47+5,0.5)</f>
        <v>67</v>
      </c>
      <c r="AC27" s="89"/>
      <c r="AD27" s="89"/>
      <c r="AE27" s="89"/>
    </row>
    <row r="28" spans="1:62" ht="16.5" customHeight="1">
      <c r="A28" s="9" t="s">
        <v>274</v>
      </c>
      <c r="X28" s="10"/>
      <c r="Y28" s="10"/>
      <c r="Z28" s="10"/>
      <c r="AA28" s="10"/>
      <c r="AB28" s="14"/>
      <c r="AC28" s="14"/>
      <c r="AD28" s="14"/>
      <c r="AE28" s="14"/>
      <c r="AF28" s="14"/>
      <c r="AG28" s="14"/>
      <c r="AH28" s="14"/>
      <c r="AI28" s="14"/>
      <c r="AJ28" s="14"/>
      <c r="AK28" s="14"/>
      <c r="AL28" s="14"/>
      <c r="AM28" s="14"/>
      <c r="AN28" s="14"/>
      <c r="AO28" s="14"/>
      <c r="AP28" s="14"/>
      <c r="AQ28" s="14"/>
      <c r="AR28" s="14"/>
      <c r="AS28" s="14"/>
      <c r="AT28" s="14"/>
      <c r="AU28" s="14"/>
    </row>
    <row r="29" spans="1:62" ht="16.5" customHeight="1">
      <c r="A29" s="9" t="s">
        <v>25</v>
      </c>
      <c r="X29" s="10"/>
      <c r="Y29" s="10"/>
      <c r="Z29" s="10"/>
      <c r="AA29" s="10"/>
      <c r="AB29" s="14"/>
      <c r="AC29" s="14"/>
      <c r="AD29" s="14"/>
      <c r="AE29" s="14"/>
      <c r="AF29" s="14"/>
      <c r="AG29" s="14"/>
      <c r="AH29" s="14"/>
      <c r="AI29" s="14"/>
      <c r="AJ29" s="14"/>
      <c r="AK29" s="14"/>
      <c r="AL29" s="14"/>
      <c r="AM29" s="14"/>
      <c r="AN29" s="14"/>
      <c r="AO29" s="14"/>
      <c r="AP29" s="14"/>
    </row>
    <row r="30" spans="1:62" ht="16.5" customHeight="1">
      <c r="A30" s="9" t="s">
        <v>26</v>
      </c>
      <c r="X30" s="10"/>
      <c r="Y30" s="10"/>
      <c r="Z30" s="10"/>
      <c r="AA30" s="10"/>
      <c r="AB30" s="10"/>
      <c r="AC30" s="10"/>
      <c r="AD30" s="10"/>
      <c r="AE30" s="10"/>
    </row>
    <row r="31" spans="1:62" ht="16.5" customHeight="1" thickBot="1">
      <c r="A31" s="9"/>
      <c r="X31" s="10"/>
      <c r="Y31" s="10"/>
      <c r="Z31" s="10"/>
      <c r="AA31" s="10"/>
      <c r="AB31" s="10"/>
      <c r="AC31" s="10"/>
      <c r="AD31" s="10"/>
      <c r="AE31" s="10"/>
      <c r="AQ31" s="14"/>
      <c r="AR31" s="14"/>
      <c r="AS31" s="14"/>
      <c r="AT31" s="14"/>
      <c r="AU31" s="14"/>
      <c r="AV31" s="14"/>
      <c r="AW31" s="14"/>
      <c r="AX31" s="14"/>
      <c r="AY31" s="14"/>
      <c r="AZ31" s="14"/>
      <c r="BA31" s="14"/>
      <c r="BB31" s="14"/>
      <c r="BC31" s="14"/>
      <c r="BD31" s="14"/>
      <c r="BE31" s="14"/>
      <c r="BF31" s="14"/>
      <c r="BG31" s="14"/>
      <c r="BH31" s="14"/>
      <c r="BI31" s="14"/>
      <c r="BJ31" s="14"/>
    </row>
    <row r="32" spans="1:62" ht="16.5" customHeight="1" thickTop="1">
      <c r="A32" s="90" t="s">
        <v>27</v>
      </c>
      <c r="B32" s="91"/>
      <c r="C32" s="91"/>
      <c r="D32" s="91"/>
      <c r="E32" s="91"/>
      <c r="F32" s="91"/>
      <c r="G32" s="91"/>
      <c r="H32" s="91"/>
      <c r="I32" s="91"/>
      <c r="J32" s="91"/>
      <c r="K32" s="91"/>
      <c r="L32" s="91"/>
      <c r="M32" s="91"/>
      <c r="N32" s="91"/>
      <c r="O32" s="91"/>
      <c r="P32" s="91"/>
      <c r="Q32" s="91"/>
      <c r="R32" s="91"/>
      <c r="S32" s="91"/>
      <c r="T32" s="92"/>
      <c r="X32" s="10"/>
      <c r="Y32" s="10"/>
      <c r="Z32" s="10"/>
      <c r="AA32" s="10"/>
      <c r="AB32" s="10"/>
      <c r="AC32" s="10"/>
      <c r="AD32" s="10"/>
      <c r="AE32" s="10"/>
      <c r="AQ32" s="12"/>
      <c r="AR32" s="12"/>
      <c r="AS32" s="12"/>
      <c r="AT32" s="12"/>
      <c r="AU32" s="12"/>
      <c r="AV32" s="12"/>
      <c r="AW32" s="12"/>
      <c r="AX32" s="12"/>
      <c r="AY32" s="12"/>
      <c r="AZ32" s="12"/>
      <c r="BA32" s="12"/>
      <c r="BB32" s="12"/>
      <c r="BC32" s="12"/>
      <c r="BD32" s="12"/>
      <c r="BE32" s="12"/>
      <c r="BF32" s="12"/>
      <c r="BG32" s="12"/>
      <c r="BH32" s="12"/>
      <c r="BI32" s="12"/>
      <c r="BJ32" s="12"/>
    </row>
    <row r="33" spans="1:20" ht="16.5" customHeight="1" thickBot="1">
      <c r="A33" s="85" t="s">
        <v>30</v>
      </c>
      <c r="B33" s="86"/>
      <c r="C33" s="86"/>
      <c r="D33" s="86"/>
      <c r="E33" s="86"/>
      <c r="F33" s="86"/>
      <c r="G33" s="86"/>
      <c r="H33" s="87"/>
      <c r="I33" s="86" t="s">
        <v>31</v>
      </c>
      <c r="J33" s="86"/>
      <c r="K33" s="86"/>
      <c r="L33" s="86"/>
      <c r="M33" s="86"/>
      <c r="N33" s="86"/>
      <c r="O33" s="86"/>
      <c r="P33" s="86"/>
      <c r="Q33" s="86"/>
      <c r="R33" s="86"/>
      <c r="S33" s="86"/>
      <c r="T33" s="88"/>
    </row>
    <row r="34" spans="1:20" ht="16.5" customHeight="1" thickTop="1"/>
    <row r="35" spans="1:20" ht="16.5" customHeight="1"/>
    <row r="36" spans="1:20" ht="16.5" customHeight="1"/>
    <row r="37" spans="1:20" ht="16.5" customHeight="1"/>
    <row r="38" spans="1:20" ht="16.5" customHeight="1"/>
    <row r="39" spans="1:20" ht="16.5" customHeight="1"/>
    <row r="40" spans="1:20" ht="16.5" customHeight="1"/>
    <row r="41" spans="1:20" ht="16.5" customHeight="1"/>
    <row r="42" spans="1:20" ht="16.5" customHeight="1"/>
    <row r="43" spans="1:20" ht="16.5" customHeight="1"/>
    <row r="44" spans="1:20" ht="16.5" customHeight="1"/>
    <row r="45" spans="1:20" ht="16.5" customHeight="1"/>
    <row r="46" spans="1:20" ht="16.5" customHeight="1"/>
    <row r="47" spans="1:20" ht="16.5" customHeight="1"/>
    <row r="48" spans="1:20" ht="16.5" customHeight="1"/>
    <row r="49" ht="16.5" customHeight="1"/>
    <row r="50" ht="16.5" customHeight="1"/>
    <row r="51" ht="16.5" customHeight="1"/>
    <row r="52" ht="16.5"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row r="87" ht="15.6" customHeight="1"/>
    <row r="88" ht="15.6" customHeight="1"/>
    <row r="89" ht="15.6" customHeight="1"/>
    <row r="90" ht="15.6" customHeight="1"/>
    <row r="91" ht="15.6" customHeight="1"/>
    <row r="92" ht="15.6" customHeight="1"/>
    <row r="93" ht="15.6" customHeight="1"/>
    <row r="94" ht="15.6" customHeight="1"/>
    <row r="95" ht="15.6" customHeight="1"/>
    <row r="96" ht="15.6" customHeight="1"/>
    <row r="97" ht="15.6" customHeight="1"/>
    <row r="98" ht="15.6" customHeight="1"/>
    <row r="99" ht="15.6" customHeight="1"/>
    <row r="100" ht="15.6" customHeight="1"/>
    <row r="101" ht="15.6" customHeight="1"/>
    <row r="102" ht="15.6" customHeight="1"/>
    <row r="103" ht="15.6" customHeight="1"/>
    <row r="104" ht="15.6" customHeight="1"/>
    <row r="105" ht="15.6" customHeight="1"/>
    <row r="106" ht="15.6" customHeight="1"/>
    <row r="107" ht="15.6" customHeight="1"/>
    <row r="108" ht="15.6" customHeight="1"/>
    <row r="109" ht="15.6" customHeight="1"/>
    <row r="110" ht="15.6" customHeight="1"/>
    <row r="111" ht="15.6" customHeight="1"/>
    <row r="112" ht="15.6" customHeight="1"/>
    <row r="113" ht="15.6" customHeight="1"/>
    <row r="114" ht="15.6" customHeight="1"/>
    <row r="115" ht="15.6" customHeight="1"/>
    <row r="116" ht="15.6" customHeight="1"/>
    <row r="117" ht="15.6" customHeight="1"/>
    <row r="118" ht="15.6" customHeight="1"/>
    <row r="119" ht="15.6" customHeight="1"/>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sheetData>
  <mergeCells count="116">
    <mergeCell ref="AM4:AS4"/>
    <mergeCell ref="AK5:AL5"/>
    <mergeCell ref="AM5:AS5"/>
    <mergeCell ref="A6:K7"/>
    <mergeCell ref="A9:E9"/>
    <mergeCell ref="F9:H9"/>
    <mergeCell ref="I9:M9"/>
    <mergeCell ref="N9:O9"/>
    <mergeCell ref="P9:S9"/>
    <mergeCell ref="A4:K5"/>
    <mergeCell ref="L4:AG7"/>
    <mergeCell ref="AK4:AL4"/>
    <mergeCell ref="AB10:AE10"/>
    <mergeCell ref="N11:O11"/>
    <mergeCell ref="P11:S11"/>
    <mergeCell ref="T11:W11"/>
    <mergeCell ref="X11:AA11"/>
    <mergeCell ref="AB11:AE11"/>
    <mergeCell ref="T9:W9"/>
    <mergeCell ref="X9:AA9"/>
    <mergeCell ref="AB9:AE9"/>
    <mergeCell ref="N10:O10"/>
    <mergeCell ref="P10:S10"/>
    <mergeCell ref="T10:W10"/>
    <mergeCell ref="X10:AA10"/>
    <mergeCell ref="N12:O12"/>
    <mergeCell ref="P12:S12"/>
    <mergeCell ref="T12:W12"/>
    <mergeCell ref="X12:AA12"/>
    <mergeCell ref="AB12:AE12"/>
    <mergeCell ref="N13:O13"/>
    <mergeCell ref="P13:S13"/>
    <mergeCell ref="T13:W13"/>
    <mergeCell ref="X13:AA13"/>
    <mergeCell ref="N15:O15"/>
    <mergeCell ref="P15:S15"/>
    <mergeCell ref="T15:W15"/>
    <mergeCell ref="X15:AA15"/>
    <mergeCell ref="AB15:AE15"/>
    <mergeCell ref="I16:M18"/>
    <mergeCell ref="N16:O16"/>
    <mergeCell ref="P16:S16"/>
    <mergeCell ref="T16:W16"/>
    <mergeCell ref="X16:AA16"/>
    <mergeCell ref="I13:M15"/>
    <mergeCell ref="AB13:AE13"/>
    <mergeCell ref="N14:O14"/>
    <mergeCell ref="P14:S14"/>
    <mergeCell ref="T14:W14"/>
    <mergeCell ref="X14:AA14"/>
    <mergeCell ref="AB14:AE14"/>
    <mergeCell ref="I19:M21"/>
    <mergeCell ref="N19:O19"/>
    <mergeCell ref="P19:S19"/>
    <mergeCell ref="T19:W19"/>
    <mergeCell ref="X19:AA19"/>
    <mergeCell ref="AB16:AE16"/>
    <mergeCell ref="N17:O17"/>
    <mergeCell ref="P17:S17"/>
    <mergeCell ref="T17:W17"/>
    <mergeCell ref="X17:AA17"/>
    <mergeCell ref="AB17:AE17"/>
    <mergeCell ref="AB19:AE19"/>
    <mergeCell ref="N20:O20"/>
    <mergeCell ref="P20:S20"/>
    <mergeCell ref="T20:W20"/>
    <mergeCell ref="X20:AA20"/>
    <mergeCell ref="AB20:AE20"/>
    <mergeCell ref="N18:O18"/>
    <mergeCell ref="P18:S18"/>
    <mergeCell ref="T18:W18"/>
    <mergeCell ref="X18:AA18"/>
    <mergeCell ref="AB18:AE18"/>
    <mergeCell ref="N21:O21"/>
    <mergeCell ref="P21:S21"/>
    <mergeCell ref="A33:H33"/>
    <mergeCell ref="I33:T33"/>
    <mergeCell ref="N27:O27"/>
    <mergeCell ref="P27:S27"/>
    <mergeCell ref="T27:W27"/>
    <mergeCell ref="X27:AA27"/>
    <mergeCell ref="AB27:AE27"/>
    <mergeCell ref="A32:T32"/>
    <mergeCell ref="AB25:AE25"/>
    <mergeCell ref="N26:O26"/>
    <mergeCell ref="P26:S26"/>
    <mergeCell ref="T26:W26"/>
    <mergeCell ref="X26:AA26"/>
    <mergeCell ref="AB26:AE26"/>
    <mergeCell ref="A10:E27"/>
    <mergeCell ref="F10:H27"/>
    <mergeCell ref="I10:M12"/>
    <mergeCell ref="T21:W21"/>
    <mergeCell ref="X21:AA21"/>
    <mergeCell ref="AB21:AE21"/>
    <mergeCell ref="N22:O22"/>
    <mergeCell ref="P22:S22"/>
    <mergeCell ref="T22:W22"/>
    <mergeCell ref="X22:AA22"/>
    <mergeCell ref="I25:M27"/>
    <mergeCell ref="N25:O25"/>
    <mergeCell ref="I22:M24"/>
    <mergeCell ref="AB22:AE22"/>
    <mergeCell ref="N23:O23"/>
    <mergeCell ref="P23:S23"/>
    <mergeCell ref="T23:W23"/>
    <mergeCell ref="X23:AA23"/>
    <mergeCell ref="AB23:AE23"/>
    <mergeCell ref="P25:S25"/>
    <mergeCell ref="T25:W25"/>
    <mergeCell ref="X25:AA25"/>
    <mergeCell ref="N24:O24"/>
    <mergeCell ref="P24:S24"/>
    <mergeCell ref="T24:W24"/>
    <mergeCell ref="X24:AA24"/>
    <mergeCell ref="AB24:AE24"/>
  </mergeCells>
  <phoneticPr fontId="2"/>
  <pageMargins left="0.39370078740157483" right="0.39370078740157483" top="0.59055118110236227" bottom="0.39370078740157483" header="0.51181102362204722" footer="0.19685039370078741"/>
  <pageSetup paperSize="9" scale="90" firstPageNumber="29" orientation="portrait" useFirstPageNumber="1" r:id="rId1"/>
  <headerFooter alignWithMargins="0">
    <oddFooter xml:space="preserve">&amp;C20260511臨時改定価格_SP_バイオマスポリ&amp;R&amp;P/&amp;N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21</vt:i4>
      </vt:variant>
    </vt:vector>
  </HeadingPairs>
  <TitlesOfParts>
    <vt:vector size="39" baseType="lpstr">
      <vt:lpstr>01_SPZIP</vt:lpstr>
      <vt:lpstr>02_SPラミ</vt:lpstr>
      <vt:lpstr>03_SP和紙雲竜</vt:lpstr>
      <vt:lpstr>04_SP和紙・ソフトクラフト（ロール）</vt:lpstr>
      <vt:lpstr>05_SP和紙・ソフトクラフト (単袋)</vt:lpstr>
      <vt:lpstr>06_SP真空ラミ</vt:lpstr>
      <vt:lpstr>07_SP真空和紙包</vt:lpstr>
      <vt:lpstr>08_SP和紙包 (ロール)</vt:lpstr>
      <vt:lpstr>09_SP和紙包（単袋）</vt:lpstr>
      <vt:lpstr>10_SP金銀和紙・和紙雲竜（単）・クラフト（単）</vt:lpstr>
      <vt:lpstr>11_SPポリポリ</vt:lpstr>
      <vt:lpstr>12_SPマットポリポリ</vt:lpstr>
      <vt:lpstr>13_SPポリ</vt:lpstr>
      <vt:lpstr>14_SPNEWマットポリ・マットポリ・コンビポリ</vt:lpstr>
      <vt:lpstr>15_SPSFポリ</vt:lpstr>
      <vt:lpstr>16_SPSFマットポリ</vt:lpstr>
      <vt:lpstr>17_SPマットコンビポリ</vt:lpstr>
      <vt:lpstr>18_SPバイオマスポリ</vt:lpstr>
      <vt:lpstr>'01_SPZIP'!Print_Area</vt:lpstr>
      <vt:lpstr>'02_SPラミ'!Print_Area</vt:lpstr>
      <vt:lpstr>'03_SP和紙雲竜'!Print_Area</vt:lpstr>
      <vt:lpstr>'04_SP和紙・ソフトクラフト（ロール）'!Print_Area</vt:lpstr>
      <vt:lpstr>'05_SP和紙・ソフトクラフト (単袋)'!Print_Area</vt:lpstr>
      <vt:lpstr>'06_SP真空ラミ'!Print_Area</vt:lpstr>
      <vt:lpstr>'07_SP真空和紙包'!Print_Area</vt:lpstr>
      <vt:lpstr>'08_SP和紙包 (ロール)'!Print_Area</vt:lpstr>
      <vt:lpstr>'09_SP和紙包（単袋）'!Print_Area</vt:lpstr>
      <vt:lpstr>'10_SP金銀和紙・和紙雲竜（単）・クラフト（単）'!Print_Area</vt:lpstr>
      <vt:lpstr>'11_SPポリポリ'!Print_Area</vt:lpstr>
      <vt:lpstr>'12_SPマットポリポリ'!Print_Area</vt:lpstr>
      <vt:lpstr>'13_SPポリ'!Print_Area</vt:lpstr>
      <vt:lpstr>'14_SPNEWマットポリ・マットポリ・コンビポリ'!Print_Area</vt:lpstr>
      <vt:lpstr>'15_SPSFポリ'!Print_Area</vt:lpstr>
      <vt:lpstr>'16_SPSFマットポリ'!Print_Area</vt:lpstr>
      <vt:lpstr>'17_SPマットコンビポリ'!Print_Area</vt:lpstr>
      <vt:lpstr>'18_SPバイオマスポリ'!Print_Area</vt:lpstr>
      <vt:lpstr>'09_SP和紙包（単袋）'!Print_Titles</vt:lpstr>
      <vt:lpstr>'17_SPマットコンビポリ'!Print_Titles</vt:lpstr>
      <vt:lpstr>'18_SPバイオマスポリ'!Print_Titles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親吾 津田</dc:creator>
  <cp:lastModifiedBy>親吾 津田</cp:lastModifiedBy>
  <cp:lastPrinted>2026-04-28T14:24:01Z</cp:lastPrinted>
  <dcterms:created xsi:type="dcterms:W3CDTF">2026-04-18T01:33:21Z</dcterms:created>
  <dcterms:modified xsi:type="dcterms:W3CDTF">2026-04-28T15:42:06Z</dcterms:modified>
</cp:coreProperties>
</file>